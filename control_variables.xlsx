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60" activeTab="2"/>
  </bookViews>
  <sheets>
    <sheet name="Control Variables(originaldata)" sheetId="1" r:id="rId1"/>
    <sheet name="Control variables" sheetId="4" r:id="rId2"/>
    <sheet name="variables' explanation" sheetId="2" r:id="rId3"/>
  </sheets>
  <definedNames>
    <definedName name="_xlnm._FilterDatabase" localSheetId="0" hidden="1">'Control Variables(originaldata)'!$A$1:$AG$312</definedName>
    <definedName name="_xlnm._FilterDatabase" localSheetId="1" hidden="1">'Control variables'!$A$1:$C$311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<sst xmlns="http://schemas.openxmlformats.org/spreadsheetml/2006/main" count="781" uniqueCount="142">
  <si>
    <t>year</t>
  </si>
  <si>
    <t>id</t>
  </si>
  <si>
    <t>province</t>
  </si>
  <si>
    <r>
      <rPr>
        <sz val="10"/>
        <rFont val="宋体"/>
        <charset val="134"/>
      </rPr>
      <t>地区生产总值</t>
    </r>
    <r>
      <rPr>
        <sz val="10"/>
        <rFont val="Times New Roman Regular"/>
        <charset val="134"/>
      </rPr>
      <t>(</t>
    </r>
    <r>
      <rPr>
        <sz val="10"/>
        <rFont val="宋体"/>
        <charset val="134"/>
      </rPr>
      <t>亿元</t>
    </r>
    <r>
      <rPr>
        <sz val="10"/>
        <rFont val="Times New Roman Regular"/>
        <charset val="134"/>
      </rPr>
      <t>) gdp</t>
    </r>
  </si>
  <si>
    <r>
      <rPr>
        <sz val="10"/>
        <rFont val="宋体"/>
        <charset val="134"/>
      </rPr>
      <t>年末常住人口</t>
    </r>
    <r>
      <rPr>
        <sz val="10"/>
        <rFont val="Times New Roman Regular"/>
        <charset val="134"/>
      </rPr>
      <t>(</t>
    </r>
    <r>
      <rPr>
        <sz val="10"/>
        <rFont val="宋体"/>
        <charset val="134"/>
      </rPr>
      <t>万人</t>
    </r>
    <r>
      <rPr>
        <sz val="10"/>
        <rFont val="Times New Roman Regular"/>
        <charset val="134"/>
      </rPr>
      <t>) population</t>
    </r>
  </si>
  <si>
    <r>
      <rPr>
        <sz val="10"/>
        <rFont val="宋体"/>
        <charset val="134"/>
      </rPr>
      <t>土地面积（万平方公里</t>
    </r>
    <r>
      <rPr>
        <sz val="10"/>
        <rFont val="Times New Roman Regular"/>
        <charset val="134"/>
      </rPr>
      <t>) land_area</t>
    </r>
  </si>
  <si>
    <r>
      <rPr>
        <sz val="10"/>
        <rFont val="宋体"/>
        <charset val="134"/>
      </rPr>
      <t>城镇人口（万人）</t>
    </r>
    <r>
      <rPr>
        <sz val="10"/>
        <rFont val="Times New Roman Regular"/>
        <charset val="134"/>
      </rPr>
      <t>urban_pop</t>
    </r>
  </si>
  <si>
    <r>
      <rPr>
        <sz val="10"/>
        <rFont val="宋体"/>
        <charset val="134"/>
      </rPr>
      <t>各地区高等学校在校人数（人）</t>
    </r>
    <r>
      <rPr>
        <sz val="10"/>
        <rFont val="Times New Roman Regular"/>
        <charset val="134"/>
      </rPr>
      <t>college_students</t>
    </r>
  </si>
  <si>
    <r>
      <rPr>
        <sz val="10"/>
        <rFont val="宋体"/>
        <charset val="134"/>
      </rPr>
      <t>固定资产投资额</t>
    </r>
    <r>
      <rPr>
        <sz val="10"/>
        <rFont val="Times New Roman Regular"/>
        <charset val="134"/>
      </rPr>
      <t>(</t>
    </r>
    <r>
      <rPr>
        <sz val="10"/>
        <rFont val="宋体"/>
        <charset val="134"/>
      </rPr>
      <t>亿元</t>
    </r>
    <r>
      <rPr>
        <sz val="10"/>
        <rFont val="Times New Roman Regular"/>
        <charset val="134"/>
      </rPr>
      <t>) investment_fa</t>
    </r>
  </si>
  <si>
    <r>
      <rPr>
        <sz val="10"/>
        <rFont val="宋体"/>
        <charset val="134"/>
      </rPr>
      <t>财政支出（亿元）</t>
    </r>
    <r>
      <rPr>
        <sz val="10"/>
        <rFont val="Times New Roman Regular"/>
        <charset val="134"/>
      </rPr>
      <t>fiscal_exp</t>
    </r>
  </si>
  <si>
    <r>
      <rPr>
        <sz val="10"/>
        <rFont val="Times New Roman Regular"/>
        <charset val="134"/>
      </rPr>
      <t>RD</t>
    </r>
    <r>
      <rPr>
        <sz val="10"/>
        <rFont val="宋体"/>
        <charset val="134"/>
      </rPr>
      <t>经费内部支出</t>
    </r>
    <r>
      <rPr>
        <sz val="10"/>
        <rFont val="Times New Roman Regular"/>
        <charset val="134"/>
      </rPr>
      <t>(</t>
    </r>
    <r>
      <rPr>
        <sz val="10"/>
        <rFont val="宋体"/>
        <charset val="134"/>
      </rPr>
      <t>万元</t>
    </r>
    <r>
      <rPr>
        <sz val="10"/>
        <rFont val="Times New Roman Regular"/>
        <charset val="134"/>
      </rPr>
      <t>)rd_exp</t>
    </r>
  </si>
  <si>
    <r>
      <rPr>
        <sz val="10"/>
        <color theme="1"/>
        <rFont val="宋体"/>
        <charset val="134"/>
      </rPr>
      <t>总就业人数（万人）</t>
    </r>
    <r>
      <rPr>
        <sz val="10"/>
        <color theme="1"/>
        <rFont val="Times New Roman Regular"/>
        <charset val="134"/>
      </rPr>
      <t>employment</t>
    </r>
  </si>
  <si>
    <r>
      <rPr>
        <sz val="10"/>
        <color theme="1"/>
        <rFont val="宋体"/>
        <charset val="134"/>
      </rPr>
      <t>经营单位所在地进出口总额</t>
    </r>
    <r>
      <rPr>
        <sz val="10"/>
        <color theme="1"/>
        <rFont val="Times New Roman Regular"/>
        <charset val="134"/>
      </rPr>
      <t>(</t>
    </r>
    <r>
      <rPr>
        <sz val="10"/>
        <color theme="1"/>
        <rFont val="宋体"/>
        <charset val="134"/>
      </rPr>
      <t>亿元</t>
    </r>
    <r>
      <rPr>
        <sz val="10"/>
        <color theme="1"/>
        <rFont val="Times New Roman Regular"/>
        <charset val="134"/>
      </rPr>
      <t>) trade_ie</t>
    </r>
  </si>
  <si>
    <r>
      <rPr>
        <sz val="10"/>
        <color theme="1"/>
        <rFont val="宋体"/>
        <charset val="134"/>
      </rPr>
      <t>技术市场成交额（亿元）</t>
    </r>
    <r>
      <rPr>
        <sz val="10"/>
        <color theme="1"/>
        <rFont val="Times New Roman Regular"/>
        <charset val="134"/>
      </rPr>
      <t>tech_transaction</t>
    </r>
  </si>
  <si>
    <r>
      <rPr>
        <sz val="10"/>
        <color theme="1"/>
        <rFont val="宋体"/>
        <charset val="134"/>
      </rPr>
      <t>邮电业务总量</t>
    </r>
    <r>
      <rPr>
        <sz val="10"/>
        <color theme="1"/>
        <rFont val="Times New Roman Regular"/>
        <charset val="134"/>
      </rPr>
      <t>(</t>
    </r>
    <r>
      <rPr>
        <sz val="10"/>
        <color theme="1"/>
        <rFont val="宋体"/>
        <charset val="134"/>
      </rPr>
      <t>亿元</t>
    </r>
    <r>
      <rPr>
        <sz val="10"/>
        <color theme="1"/>
        <rFont val="Times New Roman Regular"/>
        <charset val="134"/>
      </rPr>
      <t>) post_telecom</t>
    </r>
  </si>
  <si>
    <r>
      <rPr>
        <sz val="9"/>
        <color theme="1"/>
        <rFont val="宋体"/>
        <charset val="134"/>
      </rPr>
      <t>公路里程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公里</t>
    </r>
    <r>
      <rPr>
        <sz val="9"/>
        <color theme="1"/>
        <rFont val="Times New Roman"/>
        <charset val="134"/>
      </rPr>
      <t>)(highway mileage</t>
    </r>
  </si>
  <si>
    <t>货运量合计（万吨）volume of goods transported</t>
  </si>
  <si>
    <t>金融机构人民币各项贷款余额（亿元）</t>
  </si>
  <si>
    <r>
      <rPr>
        <sz val="9"/>
        <color theme="1"/>
        <rFont val="宋体-简"/>
        <charset val="134"/>
      </rPr>
      <t>社会消费品零售总额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-简"/>
        <charset val="134"/>
      </rPr>
      <t>亿元</t>
    </r>
    <r>
      <rPr>
        <sz val="9"/>
        <color theme="1"/>
        <rFont val="Times New Roman"/>
        <charset val="134"/>
      </rPr>
      <t>)total retail sales of consumer goods</t>
    </r>
  </si>
  <si>
    <r>
      <rPr>
        <sz val="9"/>
        <rFont val="宋体"/>
        <charset val="134"/>
      </rPr>
      <t>工业增加值（亿元）</t>
    </r>
    <r>
      <rPr>
        <sz val="9"/>
        <rFont val="Times New Roman"/>
        <charset val="134"/>
      </rPr>
      <t>industrial added valu</t>
    </r>
  </si>
  <si>
    <r>
      <t>农村居民人均可支配收入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)Per capita disposable income of rural residents (yuan)</t>
    </r>
  </si>
  <si>
    <r>
      <t>城镇居民人均可支配收入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元</t>
    </r>
    <r>
      <rPr>
        <sz val="9"/>
        <rFont val="Times New Roman"/>
        <charset val="134"/>
      </rPr>
      <t>)Per capita disposable income of urban residents (yuan)</t>
    </r>
  </si>
  <si>
    <r>
      <rPr>
        <sz val="10"/>
        <color theme="1"/>
        <rFont val="宋体"/>
        <charset val="134"/>
      </rPr>
      <t>经济发展水平</t>
    </r>
    <r>
      <rPr>
        <sz val="10"/>
        <color theme="1"/>
        <rFont val="Times New Roman Regular"/>
        <charset val="134"/>
      </rPr>
      <t xml:space="preserve">1 gdp_pc1
</t>
    </r>
    <r>
      <rPr>
        <sz val="10"/>
        <color theme="1"/>
        <rFont val="宋体"/>
        <charset val="134"/>
      </rPr>
      <t>（人均</t>
    </r>
    <r>
      <rPr>
        <sz val="10"/>
        <rFont val="Times New Roman Regular"/>
        <charset val="134"/>
      </rPr>
      <t>GDP(</t>
    </r>
    <r>
      <rPr>
        <sz val="10"/>
        <rFont val="宋体"/>
        <charset val="134"/>
      </rPr>
      <t>元</t>
    </r>
    <r>
      <rPr>
        <sz val="10"/>
        <rFont val="Times New Roman Regular"/>
        <charset val="134"/>
      </rPr>
      <t>/</t>
    </r>
    <r>
      <rPr>
        <sz val="10"/>
        <rFont val="宋体"/>
        <charset val="134"/>
      </rPr>
      <t>人</t>
    </r>
    <r>
      <rPr>
        <sz val="10"/>
        <rFont val="Times New Roman Regular"/>
        <charset val="134"/>
      </rPr>
      <t>)</t>
    </r>
    <r>
      <rPr>
        <sz val="10"/>
        <rFont val="宋体"/>
        <charset val="134"/>
      </rPr>
      <t>）</t>
    </r>
  </si>
  <si>
    <r>
      <rPr>
        <sz val="10"/>
        <color theme="1"/>
        <rFont val="宋体"/>
        <charset val="134"/>
      </rPr>
      <t>经济发展水平</t>
    </r>
    <r>
      <rPr>
        <sz val="10"/>
        <color theme="1"/>
        <rFont val="Times New Roman Regular"/>
        <charset val="134"/>
      </rPr>
      <t>2</t>
    </r>
    <r>
      <rPr>
        <sz val="10"/>
        <color theme="1"/>
        <rFont val="宋体"/>
        <charset val="134"/>
      </rPr>
      <t>（人均</t>
    </r>
    <r>
      <rPr>
        <sz val="10"/>
        <color theme="1"/>
        <rFont val="Times New Roman Regular"/>
        <charset val="134"/>
      </rPr>
      <t>GDP(</t>
    </r>
    <r>
      <rPr>
        <sz val="10"/>
        <color theme="1"/>
        <rFont val="宋体"/>
        <charset val="134"/>
      </rPr>
      <t>元</t>
    </r>
    <r>
      <rPr>
        <sz val="10"/>
        <color theme="1"/>
        <rFont val="Times New Roman Regular"/>
        <charset val="134"/>
      </rPr>
      <t>/</t>
    </r>
    <r>
      <rPr>
        <sz val="10"/>
        <color theme="1"/>
        <rFont val="宋体"/>
        <charset val="134"/>
      </rPr>
      <t>人</t>
    </r>
    <r>
      <rPr>
        <sz val="10"/>
        <color theme="1"/>
        <rFont val="Times New Roman Regular"/>
        <charset val="134"/>
      </rPr>
      <t>)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 Regular"/>
        <charset val="134"/>
      </rPr>
      <t>gdp_pc2</t>
    </r>
  </si>
  <si>
    <r>
      <rPr>
        <sz val="10"/>
        <color theme="1"/>
        <rFont val="宋体"/>
        <charset val="134"/>
      </rPr>
      <t>经济发展水平</t>
    </r>
    <r>
      <rPr>
        <sz val="10"/>
        <color theme="1"/>
        <rFont val="Times New Roman Regular"/>
        <charset val="134"/>
      </rPr>
      <t xml:space="preserve">3 investment_gap_ratiao
</t>
    </r>
    <r>
      <rPr>
        <sz val="10"/>
        <color theme="1"/>
        <rFont val="宋体"/>
        <charset val="134"/>
      </rPr>
      <t>固定资产投资</t>
    </r>
    <r>
      <rPr>
        <sz val="10"/>
        <color theme="1"/>
        <rFont val="Times New Roman Regular"/>
        <charset val="134"/>
      </rPr>
      <t>/GDP</t>
    </r>
  </si>
  <si>
    <r>
      <rPr>
        <sz val="10"/>
        <color theme="1"/>
        <rFont val="宋体"/>
        <charset val="134"/>
      </rPr>
      <t>人均固定资产投资额（元</t>
    </r>
    <r>
      <rPr>
        <sz val="10"/>
        <color theme="1"/>
        <rFont val="Times New Roman Regular"/>
        <charset val="134"/>
      </rPr>
      <t>/</t>
    </r>
    <r>
      <rPr>
        <sz val="10"/>
        <color theme="1"/>
        <rFont val="宋体"/>
        <charset val="134"/>
      </rPr>
      <t>人）</t>
    </r>
    <r>
      <rPr>
        <sz val="10"/>
        <color theme="1"/>
        <rFont val="Times New Roman Regular"/>
        <charset val="134"/>
      </rPr>
      <t>investment_pc</t>
    </r>
  </si>
  <si>
    <r>
      <rPr>
        <sz val="10"/>
        <color theme="1"/>
        <rFont val="宋体"/>
        <charset val="134"/>
      </rPr>
      <t>城镇化率</t>
    </r>
    <r>
      <rPr>
        <sz val="10"/>
        <color theme="1"/>
        <rFont val="Times New Roman Regular"/>
        <charset val="134"/>
      </rPr>
      <t xml:space="preserve"> urban_rate</t>
    </r>
  </si>
  <si>
    <r>
      <rPr>
        <sz val="10"/>
        <color theme="1"/>
        <rFont val="宋体"/>
        <charset val="134"/>
      </rPr>
      <t>人力资本水平</t>
    </r>
    <r>
      <rPr>
        <sz val="10"/>
        <color theme="1"/>
        <rFont val="Times New Roman Regular"/>
        <charset val="134"/>
      </rPr>
      <t>human_capital</t>
    </r>
  </si>
  <si>
    <r>
      <rPr>
        <sz val="10"/>
        <color theme="1"/>
        <rFont val="宋体"/>
        <charset val="134"/>
      </rPr>
      <t>政府干预程度</t>
    </r>
    <r>
      <rPr>
        <sz val="10"/>
        <color theme="1"/>
        <rFont val="Times New Roman Regular"/>
        <charset val="134"/>
      </rPr>
      <t>gov_intervention</t>
    </r>
  </si>
  <si>
    <r>
      <rPr>
        <sz val="10"/>
        <color theme="1"/>
        <rFont val="宋体"/>
        <charset val="134"/>
      </rPr>
      <t>研发强度</t>
    </r>
    <r>
      <rPr>
        <sz val="10"/>
        <color theme="1"/>
        <rFont val="Times New Roman Regular"/>
        <charset val="134"/>
      </rPr>
      <t xml:space="preserve"> rd_intensity</t>
    </r>
  </si>
  <si>
    <r>
      <rPr>
        <sz val="10"/>
        <color theme="1"/>
        <rFont val="宋体"/>
        <charset val="134"/>
      </rPr>
      <t>劳动力水平</t>
    </r>
    <r>
      <rPr>
        <sz val="10"/>
        <color theme="1"/>
        <rFont val="Times New Roman Regular"/>
        <charset val="134"/>
      </rPr>
      <t xml:space="preserve"> labor_force</t>
    </r>
  </si>
  <si>
    <r>
      <rPr>
        <sz val="10"/>
        <color theme="1"/>
        <rFont val="宋体"/>
        <charset val="134"/>
      </rPr>
      <t>对外开放程度</t>
    </r>
    <r>
      <rPr>
        <sz val="10"/>
        <color theme="1"/>
        <rFont val="Times New Roman Regular"/>
        <charset val="134"/>
      </rPr>
      <t xml:space="preserve"> openness</t>
    </r>
  </si>
  <si>
    <r>
      <rPr>
        <sz val="10"/>
        <color theme="1"/>
        <rFont val="宋体"/>
        <charset val="134"/>
      </rPr>
      <t>技术市场发展水平</t>
    </r>
    <r>
      <rPr>
        <sz val="10"/>
        <color theme="1"/>
        <rFont val="Times New Roman Regular"/>
        <charset val="134"/>
      </rPr>
      <t xml:space="preserve"> tech_market</t>
    </r>
  </si>
  <si>
    <r>
      <rPr>
        <sz val="10"/>
        <color theme="1"/>
        <rFont val="宋体"/>
        <charset val="134"/>
      </rPr>
      <t>信息化水平</t>
    </r>
    <r>
      <rPr>
        <sz val="10"/>
        <color theme="1"/>
        <rFont val="Times New Roman Regular"/>
        <charset val="134"/>
      </rPr>
      <t xml:space="preserve"> digitalization</t>
    </r>
  </si>
  <si>
    <r>
      <rPr>
        <sz val="10"/>
        <color theme="1"/>
        <rFont val="宋体"/>
        <charset val="134"/>
      </rPr>
      <t>人口密度</t>
    </r>
    <r>
      <rPr>
        <sz val="10"/>
        <color theme="1"/>
        <rFont val="Times New Roman Regular"/>
        <charset val="134"/>
      </rPr>
      <t xml:space="preserve"> pop_density</t>
    </r>
  </si>
  <si>
    <t>金融发展水平finance</t>
  </si>
  <si>
    <t>交通基础设施水平transp</t>
  </si>
  <si>
    <t>社会消费水平consumption</t>
  </si>
  <si>
    <r>
      <rPr>
        <sz val="10"/>
        <color theme="1"/>
        <rFont val="宋体-简"/>
        <charset val="134"/>
      </rPr>
      <t>工业化水平</t>
    </r>
    <r>
      <rPr>
        <sz val="10"/>
        <color theme="1"/>
        <rFont val="Times New Roman Regular"/>
        <charset val="134"/>
      </rPr>
      <t>level of industrialization</t>
    </r>
  </si>
  <si>
    <r>
      <t>城乡居民收入差距</t>
    </r>
    <r>
      <rPr>
        <sz val="10"/>
        <color theme="1"/>
        <rFont val="Times New Roman Regular"/>
        <charset val="134"/>
      </rPr>
      <t>income gap between urban and rural residents</t>
    </r>
  </si>
  <si>
    <r>
      <rPr>
        <sz val="10"/>
        <rFont val="宋体-简"/>
        <charset val="134"/>
      </rPr>
      <t>安徽省</t>
    </r>
  </si>
  <si>
    <r>
      <rPr>
        <sz val="10"/>
        <rFont val="宋体-简"/>
        <charset val="134"/>
      </rPr>
      <t>北京市</t>
    </r>
  </si>
  <si>
    <r>
      <rPr>
        <sz val="10"/>
        <rFont val="宋体-简"/>
        <charset val="134"/>
      </rPr>
      <t>福建省</t>
    </r>
  </si>
  <si>
    <r>
      <rPr>
        <sz val="10"/>
        <rFont val="宋体-简"/>
        <charset val="134"/>
      </rPr>
      <t>甘肃省</t>
    </r>
  </si>
  <si>
    <t>z</t>
  </si>
  <si>
    <r>
      <rPr>
        <sz val="10"/>
        <rFont val="宋体-简"/>
        <charset val="134"/>
      </rPr>
      <t>广东省</t>
    </r>
  </si>
  <si>
    <r>
      <rPr>
        <sz val="10"/>
        <rFont val="宋体-简"/>
        <charset val="134"/>
      </rPr>
      <t>广西壮族自治区</t>
    </r>
  </si>
  <si>
    <r>
      <rPr>
        <sz val="10"/>
        <rFont val="宋体-简"/>
        <charset val="134"/>
      </rPr>
      <t>贵州省</t>
    </r>
  </si>
  <si>
    <r>
      <rPr>
        <sz val="10"/>
        <rFont val="宋体-简"/>
        <charset val="134"/>
      </rPr>
      <t>海南省</t>
    </r>
  </si>
  <si>
    <r>
      <rPr>
        <sz val="10"/>
        <rFont val="宋体-简"/>
        <charset val="134"/>
      </rPr>
      <t>河北省</t>
    </r>
  </si>
  <si>
    <r>
      <rPr>
        <sz val="10"/>
        <rFont val="宋体-简"/>
        <charset val="134"/>
      </rPr>
      <t>河南省</t>
    </r>
  </si>
  <si>
    <r>
      <rPr>
        <sz val="10"/>
        <rFont val="宋体-简"/>
        <charset val="134"/>
      </rPr>
      <t>黑龙江省</t>
    </r>
  </si>
  <si>
    <r>
      <rPr>
        <sz val="10"/>
        <rFont val="宋体-简"/>
        <charset val="134"/>
      </rPr>
      <t>湖北省</t>
    </r>
  </si>
  <si>
    <r>
      <rPr>
        <sz val="10"/>
        <rFont val="宋体-简"/>
        <charset val="134"/>
      </rPr>
      <t>湖南省</t>
    </r>
  </si>
  <si>
    <r>
      <rPr>
        <sz val="10"/>
        <rFont val="宋体-简"/>
        <charset val="134"/>
      </rPr>
      <t>吉林省</t>
    </r>
  </si>
  <si>
    <r>
      <rPr>
        <sz val="10"/>
        <rFont val="宋体-简"/>
        <charset val="134"/>
      </rPr>
      <t>江苏省</t>
    </r>
  </si>
  <si>
    <r>
      <rPr>
        <sz val="10"/>
        <rFont val="宋体-简"/>
        <charset val="134"/>
      </rPr>
      <t>江西省</t>
    </r>
  </si>
  <si>
    <r>
      <rPr>
        <sz val="10"/>
        <rFont val="宋体-简"/>
        <charset val="134"/>
      </rPr>
      <t>辽宁省</t>
    </r>
  </si>
  <si>
    <r>
      <rPr>
        <sz val="10"/>
        <rFont val="宋体-简"/>
        <charset val="134"/>
      </rPr>
      <t>内蒙古自治区</t>
    </r>
  </si>
  <si>
    <r>
      <rPr>
        <sz val="10"/>
        <rFont val="宋体-简"/>
        <charset val="134"/>
      </rPr>
      <t>宁夏回族自治区</t>
    </r>
  </si>
  <si>
    <r>
      <rPr>
        <sz val="10"/>
        <rFont val="宋体-简"/>
        <charset val="134"/>
      </rPr>
      <t>青海省</t>
    </r>
  </si>
  <si>
    <r>
      <rPr>
        <sz val="10"/>
        <rFont val="宋体-简"/>
        <charset val="134"/>
      </rPr>
      <t>山东省</t>
    </r>
  </si>
  <si>
    <r>
      <rPr>
        <sz val="10"/>
        <rFont val="宋体-简"/>
        <charset val="134"/>
      </rPr>
      <t>山西省</t>
    </r>
  </si>
  <si>
    <r>
      <rPr>
        <sz val="10"/>
        <rFont val="宋体-简"/>
        <charset val="134"/>
      </rPr>
      <t>陕西省</t>
    </r>
  </si>
  <si>
    <r>
      <rPr>
        <sz val="10"/>
        <rFont val="宋体-简"/>
        <charset val="134"/>
      </rPr>
      <t>上海市</t>
    </r>
  </si>
  <si>
    <r>
      <rPr>
        <sz val="10"/>
        <rFont val="宋体-简"/>
        <charset val="134"/>
      </rPr>
      <t>四川省</t>
    </r>
  </si>
  <si>
    <r>
      <rPr>
        <sz val="10"/>
        <rFont val="宋体-简"/>
        <charset val="134"/>
      </rPr>
      <t>天津市</t>
    </r>
  </si>
  <si>
    <r>
      <rPr>
        <sz val="10"/>
        <rFont val="宋体-简"/>
        <charset val="134"/>
      </rPr>
      <t>西藏自治区</t>
    </r>
  </si>
  <si>
    <r>
      <rPr>
        <sz val="10"/>
        <rFont val="宋体-简"/>
        <charset val="134"/>
      </rPr>
      <t>新疆维吾尔自治区</t>
    </r>
  </si>
  <si>
    <r>
      <rPr>
        <sz val="10"/>
        <rFont val="宋体-简"/>
        <charset val="134"/>
      </rPr>
      <t>云南省</t>
    </r>
  </si>
  <si>
    <r>
      <rPr>
        <sz val="10"/>
        <rFont val="宋体-简"/>
        <charset val="134"/>
      </rPr>
      <t>浙江省</t>
    </r>
  </si>
  <si>
    <r>
      <rPr>
        <sz val="10"/>
        <rFont val="宋体-简"/>
        <charset val="134"/>
      </rPr>
      <t>重庆市</t>
    </r>
  </si>
  <si>
    <r>
      <rPr>
        <sz val="10"/>
        <color theme="1"/>
        <rFont val="宋体"/>
        <charset val="134"/>
      </rPr>
      <t>重庆市</t>
    </r>
  </si>
  <si>
    <t>gdp_pc1</t>
  </si>
  <si>
    <t>gdp_pc2</t>
  </si>
  <si>
    <t>investment_gap_ratiao</t>
  </si>
  <si>
    <t>investment_pc</t>
  </si>
  <si>
    <t>urban_rate</t>
  </si>
  <si>
    <t>human_capital</t>
  </si>
  <si>
    <t>gov_intervension</t>
  </si>
  <si>
    <t>rd_intensity</t>
  </si>
  <si>
    <t>labor_force</t>
  </si>
  <si>
    <t>openness</t>
  </si>
  <si>
    <t>tech_market</t>
  </si>
  <si>
    <t>digitalization</t>
  </si>
  <si>
    <t>pop_density</t>
  </si>
  <si>
    <t>finance</t>
  </si>
  <si>
    <t>transp</t>
  </si>
  <si>
    <t>consumption</t>
  </si>
  <si>
    <t>industry</t>
  </si>
  <si>
    <t>income_gap</t>
  </si>
  <si>
    <t>variable name</t>
  </si>
  <si>
    <t>variables</t>
  </si>
  <si>
    <t>measurement method</t>
  </si>
  <si>
    <t>数据来源</t>
  </si>
  <si>
    <t>备注</t>
  </si>
  <si>
    <t>2013-2022</t>
  </si>
  <si>
    <t>economic development level 1</t>
  </si>
  <si>
    <t>gdp per capital</t>
  </si>
  <si>
    <r>
      <rPr>
        <sz val="9"/>
        <color theme="1"/>
        <rFont val="宋体"/>
        <charset val="134"/>
      </rPr>
      <t>国家统计局</t>
    </r>
    <r>
      <rPr>
        <sz val="9"/>
        <color theme="1"/>
        <rFont val="Times New Roman Regular"/>
        <charset val="134"/>
      </rPr>
      <t>State Statistics Bureau</t>
    </r>
  </si>
  <si>
    <t>economic development level 2</t>
  </si>
  <si>
    <r>
      <rPr>
        <sz val="9"/>
        <color theme="1"/>
        <rFont val="宋体"/>
        <charset val="134"/>
      </rPr>
      <t>各省市国民经济和社会发展统计公报</t>
    </r>
    <r>
      <rPr>
        <sz val="9"/>
        <color theme="1"/>
        <rFont val="Times New Roman Regular"/>
        <charset val="134"/>
      </rPr>
      <t>Statistical Bulletins on the National Economic and Social Development of each province and municipality</t>
    </r>
  </si>
  <si>
    <t>investment_gdp_ratiao</t>
  </si>
  <si>
    <t>economic development level 3</t>
  </si>
  <si>
    <t>Fixed asset investment/GDP</t>
  </si>
  <si>
    <r>
      <rPr>
        <sz val="9"/>
        <color theme="1"/>
        <rFont val="宋体"/>
        <charset val="134"/>
      </rPr>
      <t>各省市统计年鉴、中国固定资产投资统计年鉴</t>
    </r>
    <r>
      <rPr>
        <sz val="9"/>
        <color theme="1"/>
        <rFont val="Times New Roman Regular"/>
        <charset val="134"/>
      </rPr>
      <t>Statistical yearbooks of various provinces and cities, China Fixed Asset Investment Statistical Yearbook</t>
    </r>
  </si>
  <si>
    <t>The data for 2000-2017 is from the "China Fixed Asset Investment Statistical Yearbook". As the data for 2018-2022 is not provided, it is obtained based on the growth of fixed asset investment compared with the previous year in the statistical yearbooks of various provinces and cities</t>
  </si>
  <si>
    <t>Fixed asset investment per capita</t>
  </si>
  <si>
    <t>Fixed asset investment/population</t>
  </si>
  <si>
    <t>Urbanization rate</t>
  </si>
  <si>
    <t>urban population/Population</t>
  </si>
  <si>
    <t>The sum of all fiscal expenditures</t>
  </si>
  <si>
    <t>Human capital</t>
  </si>
  <si>
    <t>college student/population</t>
  </si>
  <si>
    <r>
      <rPr>
        <sz val="9"/>
        <color theme="1"/>
        <rFont val="宋体"/>
        <charset val="134"/>
      </rPr>
      <t>中国科技统计年鉴、各省市统计年鉴</t>
    </r>
    <r>
      <rPr>
        <sz val="9"/>
        <color theme="1"/>
        <rFont val="Times New Roman Regular"/>
        <charset val="134"/>
      </rPr>
      <t>China Science and Technology Statistical Yearbook, Statistical Yearbooks of Various Provinces and Cities</t>
    </r>
  </si>
  <si>
    <t>gov_intervention</t>
  </si>
  <si>
    <t>Government intervention</t>
  </si>
  <si>
    <t>fiscal expenditure/GDP</t>
  </si>
  <si>
    <t>RD intensity</t>
  </si>
  <si>
    <t>RD expenditure/GDP</t>
  </si>
  <si>
    <t>Labor force</t>
  </si>
  <si>
    <t>ln(total employment)</t>
  </si>
  <si>
    <t>(import+export)/GDP</t>
  </si>
  <si>
    <t>Tech market development</t>
  </si>
  <si>
    <t>Tech market transaction/GDP</t>
  </si>
  <si>
    <t>Informatization level</t>
  </si>
  <si>
    <t>Postal telecom/GDP</t>
  </si>
  <si>
    <r>
      <rPr>
        <sz val="9"/>
        <color theme="1"/>
        <rFont val="Times New Roman Regular"/>
        <charset val="134"/>
      </rPr>
      <t>2013-2022</t>
    </r>
    <r>
      <rPr>
        <sz val="9"/>
        <color theme="1"/>
        <rFont val="宋体"/>
        <charset val="134"/>
      </rPr>
      <t>年</t>
    </r>
  </si>
  <si>
    <t>population density</t>
  </si>
  <si>
    <t>population/Land area</t>
  </si>
  <si>
    <r>
      <rPr>
        <sz val="9"/>
        <color theme="1"/>
        <rFont val="宋体"/>
        <charset val="134"/>
      </rPr>
      <t>各省市统计年鉴</t>
    </r>
    <r>
      <rPr>
        <sz val="9"/>
        <color theme="1"/>
        <rFont val="Times New Roman Regular"/>
        <charset val="134"/>
      </rPr>
      <t>Statistical yearbooks of various provinces and cities</t>
    </r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</si>
  <si>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注：常住人口包括：居住在本乡镇街道且户口在本乡镇街道或户口待定的人；居住在本乡镇街道且离开户口登记地所在的乡镇街道半年以上的人；户口在本乡镇街道且外出不满半年或在境外工作学习的人。Note: The permanent resident population includes those who live in this township or sub-district and whose household registration is in this township or sub-district or whose household registration is undetermined. Persons who have resided in this township or sub-district and have been away from the township or sub-district where their household registration is located for more than half a year; People whose household registration is in this township or sub-district and who have been away from home for less than half a year or have been working or studying abroad.</t>
  </si>
  <si>
    <t>finance development level</t>
  </si>
  <si>
    <t>The balance of various RMB loans of financial institutions/GDP</t>
  </si>
  <si>
    <t>The level of transportation infrastructure</t>
  </si>
  <si>
    <t>ln(highway mileage)+ ln(volume of goods transported)</t>
  </si>
  <si>
    <t>social consumption level</t>
  </si>
  <si>
    <t>total retail sales of consumer goods/GDP</t>
  </si>
  <si>
    <t>level of industrialization</t>
  </si>
  <si>
    <t>industrial added valu/GDP</t>
  </si>
  <si>
    <t>income gap between urban and rural residents</t>
  </si>
  <si>
    <t>Per capita disposable income of urban residents/Per capita disposable income of rural residents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</si>
</sst>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  <numFmt numFmtId="179" formatCode="0.00_);[Red]\(0.00\)"/>
  </numFmts>
  <fonts count="36">
    <font>
      <sz val="11"/>
      <color theme="1"/>
      <name val="宋体"/>
      <charset val="134"/>
      <scheme val="minor"/>
    </font>
    <font>
      <sz val="9"/>
      <color theme="1"/>
      <name val="Times New Roman Regular"/>
      <charset val="134"/>
    </font>
    <font>
      <sz val="10"/>
      <color theme="1"/>
      <name val="Times New Roman Regular"/>
      <charset val="134"/>
    </font>
    <font>
      <sz val="9"/>
      <color theme="1"/>
      <name val="宋体"/>
      <charset val="134"/>
    </font>
    <font>
      <sz val="9"/>
      <color theme="1"/>
      <name val="宋体-简"/>
      <charset val="134"/>
    </font>
    <font>
      <sz val="10"/>
      <name val="Times New Roman Regular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sz val="10"/>
      <name val="宋体"/>
      <charset val="134"/>
    </font>
    <font>
      <sz val="10"/>
      <color indexed="8"/>
      <name val="Times New Roman Regular"/>
      <charset val="134"/>
    </font>
    <font>
      <sz val="10"/>
      <color theme="1"/>
      <name val="宋体"/>
      <charset val="134"/>
    </font>
    <font>
      <sz val="10"/>
      <name val="Times New Roman Regular"/>
      <charset val="0"/>
    </font>
    <font>
      <sz val="9"/>
      <name val="宋体"/>
      <charset val="134"/>
    </font>
    <font>
      <sz val="10"/>
      <color rgb="FF000000"/>
      <name val="Times New Roman"/>
      <charset val="134"/>
    </font>
    <font>
      <sz val="10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7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5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77" fontId="5" fillId="0" borderId="1" xfId="0" applyNumberFormat="1" applyFont="1" applyFill="1" applyBorder="1" applyAlignment="1">
      <alignment vertical="center" wrapText="1"/>
    </xf>
    <xf numFmtId="176" fontId="5" fillId="0" borderId="0" xfId="0" applyNumberFormat="1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177" fontId="5" fillId="0" borderId="0" xfId="0" applyNumberFormat="1" applyFont="1" applyFill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78" fontId="2" fillId="0" borderId="0" xfId="0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179" fontId="5" fillId="0" borderId="0" xfId="0" applyNumberFormat="1" applyFont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49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Fill="1" applyAlignment="1">
      <alignment horizontal="left" vertical="center" wrapText="1"/>
    </xf>
    <xf numFmtId="179" fontId="13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5" fillId="0" borderId="0" xfId="0" applyNumberFormat="1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48576"/>
  <sheetViews>
    <sheetView zoomScale="46" zoomScaleNormal="46" workbookViewId="0">
      <pane xSplit="3" topLeftCell="J1" activePane="topRight" state="frozen"/>
      <selection/>
      <selection pane="topRight" activeCell="U1" sqref="U1"/>
    </sheetView>
  </sheetViews>
  <sheetFormatPr defaultColWidth="9.23076923076923" defaultRowHeight="15.2"/>
  <cols>
    <col min="1" max="3" width="9.23076923076923" style="10"/>
    <col min="4" max="4" width="9.69230769230769" style="10"/>
    <col min="5" max="8" width="9.23076923076923" style="10"/>
    <col min="9" max="9" width="9.61538461538461" style="10"/>
    <col min="10" max="10" width="10.3076923076923" style="10"/>
    <col min="11" max="11" width="12.9230769230769" style="10"/>
    <col min="12" max="12" width="9.23076923076923" style="10"/>
    <col min="13" max="13" width="10.6923076923077" style="10"/>
    <col min="14" max="14" width="9.23076923076923" style="10"/>
    <col min="15" max="15" width="11.7692307692308" style="10"/>
    <col min="16" max="17" width="11.7692307692308" style="19"/>
    <col min="18" max="18" width="10.6923076923077" style="10"/>
    <col min="19" max="19" width="10.6923076923077" style="20"/>
    <col min="20" max="20" width="10.6923076923077" style="21"/>
    <col min="21" max="22" width="10.6923076923077" style="22"/>
    <col min="23" max="23" width="10.6923076923077" style="10"/>
    <col min="24" max="40" width="12.9230769230769" style="10"/>
    <col min="41" max="16384" width="9.23076923076923" style="10"/>
  </cols>
  <sheetData>
    <row r="1" s="10" customFormat="1" ht="123" spans="1:40">
      <c r="A1" s="11" t="s">
        <v>0</v>
      </c>
      <c r="B1" s="12" t="s">
        <v>1</v>
      </c>
      <c r="C1" s="1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8" t="s">
        <v>9</v>
      </c>
      <c r="K1" s="24" t="s">
        <v>10</v>
      </c>
      <c r="L1" s="29" t="s">
        <v>11</v>
      </c>
      <c r="M1" s="33" t="s">
        <v>12</v>
      </c>
      <c r="N1" s="29" t="s">
        <v>13</v>
      </c>
      <c r="O1" s="29" t="s">
        <v>14</v>
      </c>
      <c r="P1" s="34" t="s">
        <v>15</v>
      </c>
      <c r="Q1" s="34" t="s">
        <v>16</v>
      </c>
      <c r="R1" s="33" t="s">
        <v>17</v>
      </c>
      <c r="S1" s="36" t="s">
        <v>18</v>
      </c>
      <c r="T1" s="37" t="s">
        <v>19</v>
      </c>
      <c r="U1" s="40" t="s">
        <v>20</v>
      </c>
      <c r="V1" s="40" t="s">
        <v>21</v>
      </c>
      <c r="W1" s="33" t="s">
        <v>22</v>
      </c>
      <c r="X1" s="33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33" t="s">
        <v>35</v>
      </c>
      <c r="AK1" s="41" t="s">
        <v>36</v>
      </c>
      <c r="AL1" s="41" t="s">
        <v>37</v>
      </c>
      <c r="AM1" s="41" t="s">
        <v>38</v>
      </c>
      <c r="AN1" s="41" t="s">
        <v>39</v>
      </c>
    </row>
    <row r="2" ht="16" spans="1:40">
      <c r="A2" s="14">
        <v>2013</v>
      </c>
      <c r="B2" s="15">
        <v>340000</v>
      </c>
      <c r="C2" s="16" t="s">
        <v>40</v>
      </c>
      <c r="D2" s="24">
        <v>20584</v>
      </c>
      <c r="E2" s="25">
        <v>5988</v>
      </c>
      <c r="F2" s="26">
        <v>14.01</v>
      </c>
      <c r="G2" s="27">
        <v>2866</v>
      </c>
      <c r="H2" s="10">
        <v>1052123</v>
      </c>
      <c r="I2" s="30">
        <v>18621.9</v>
      </c>
      <c r="J2" s="31">
        <v>4345.56</v>
      </c>
      <c r="K2" s="24">
        <v>3520832.6</v>
      </c>
      <c r="L2" s="10">
        <v>4275.9</v>
      </c>
      <c r="M2" s="10">
        <v>2819.0808</v>
      </c>
      <c r="N2" s="10">
        <v>130.83</v>
      </c>
      <c r="O2" s="10">
        <v>533.9834</v>
      </c>
      <c r="P2" s="19">
        <v>173763</v>
      </c>
      <c r="Q2" s="19">
        <v>396391</v>
      </c>
      <c r="R2" s="38">
        <v>19088.79</v>
      </c>
      <c r="S2" s="20">
        <v>7044.7</v>
      </c>
      <c r="T2" s="39">
        <v>8045.3</v>
      </c>
      <c r="U2" s="22">
        <v>8850</v>
      </c>
      <c r="V2" s="22">
        <v>22789</v>
      </c>
      <c r="W2" s="32">
        <v>34404</v>
      </c>
      <c r="X2" s="10">
        <v>32000.8938</v>
      </c>
      <c r="Y2" s="10">
        <f>I2/D2</f>
        <v>0.904678390983288</v>
      </c>
      <c r="Z2" s="10">
        <f>(I2/E2)*10000</f>
        <v>31098.6973947896</v>
      </c>
      <c r="AA2" s="10">
        <f>G2/E2</f>
        <v>0.478623914495658</v>
      </c>
      <c r="AB2" s="10">
        <f>H2/(E2*10000)</f>
        <v>0.0175705243820975</v>
      </c>
      <c r="AC2" s="10">
        <f>J2/D2</f>
        <v>0.211113486202876</v>
      </c>
      <c r="AD2" s="10">
        <f>K2/(D2*10000)</f>
        <v>0.0171047055965799</v>
      </c>
      <c r="AE2" s="10">
        <f>LN(L2)</f>
        <v>8.3607498855291</v>
      </c>
      <c r="AF2" s="10">
        <f>M2/D2</f>
        <v>0.136954955305091</v>
      </c>
      <c r="AG2" s="10">
        <f>N2/D2</f>
        <v>0.00635590750097163</v>
      </c>
      <c r="AH2" s="10">
        <f>O2/D2</f>
        <v>0.0259416731441897</v>
      </c>
      <c r="AI2" s="10">
        <f>E2/F2</f>
        <v>427.408993576017</v>
      </c>
      <c r="AJ2" s="10">
        <f>R2/D2</f>
        <v>0.927360571317528</v>
      </c>
      <c r="AK2" s="10">
        <f>LN(P2)+LN(Q2)</f>
        <v>24.9556039576132</v>
      </c>
      <c r="AL2" s="10">
        <f>S2/D2</f>
        <v>0.342241546832491</v>
      </c>
      <c r="AM2" s="10">
        <f>T2/D2</f>
        <v>0.390852118150019</v>
      </c>
      <c r="AN2" s="10">
        <f>V2/U2</f>
        <v>2.57502824858757</v>
      </c>
    </row>
    <row r="3" ht="16" spans="1:40">
      <c r="A3" s="14">
        <v>2014</v>
      </c>
      <c r="B3" s="15">
        <v>340000</v>
      </c>
      <c r="C3" s="16" t="s">
        <v>40</v>
      </c>
      <c r="D3" s="24">
        <v>22519.7</v>
      </c>
      <c r="E3" s="25">
        <v>5997</v>
      </c>
      <c r="F3" s="26">
        <v>14.01</v>
      </c>
      <c r="G3" s="27">
        <v>2957</v>
      </c>
      <c r="H3" s="10">
        <v>1080545</v>
      </c>
      <c r="I3" s="30">
        <v>21875.58</v>
      </c>
      <c r="J3" s="31">
        <v>4660.38</v>
      </c>
      <c r="K3" s="24">
        <v>3936069.8</v>
      </c>
      <c r="L3" s="10">
        <v>4311.03</v>
      </c>
      <c r="M3" s="10">
        <v>3020.8632</v>
      </c>
      <c r="N3" s="10">
        <v>169.83</v>
      </c>
      <c r="O3" s="10">
        <v>630.0226</v>
      </c>
      <c r="P3" s="19">
        <v>174373</v>
      </c>
      <c r="Q3" s="19">
        <v>434298</v>
      </c>
      <c r="R3" s="38">
        <v>22088.3</v>
      </c>
      <c r="S3" s="20">
        <v>7957</v>
      </c>
      <c r="T3" s="39">
        <v>8595.2</v>
      </c>
      <c r="U3" s="22">
        <v>9916</v>
      </c>
      <c r="V3" s="22">
        <v>24839</v>
      </c>
      <c r="W3" s="32">
        <v>37580</v>
      </c>
      <c r="X3" s="10">
        <v>34424.6122</v>
      </c>
      <c r="Y3" s="10">
        <f t="shared" ref="Y3:Y15" si="0">I3/D3</f>
        <v>0.971397487533138</v>
      </c>
      <c r="Z3" s="10">
        <f t="shared" ref="Z3:Z47" si="1">(I3/E3)*10000</f>
        <v>36477.5387693847</v>
      </c>
      <c r="AA3" s="10">
        <f t="shared" ref="AA3:AA46" si="2">G3/E3</f>
        <v>0.493079873269968</v>
      </c>
      <c r="AB3" s="10">
        <f t="shared" ref="AB3:AB43" si="3">H3/(E3*10000)</f>
        <v>0.0180180923795231</v>
      </c>
      <c r="AC3" s="10">
        <f t="shared" ref="AC3:AC43" si="4">J3/D3</f>
        <v>0.2069468065738</v>
      </c>
      <c r="AD3" s="10">
        <f t="shared" ref="AD3:AD35" si="5">K3/(D3*10000)</f>
        <v>0.0174783402976061</v>
      </c>
      <c r="AE3" s="10">
        <f t="shared" ref="AE3:AE43" si="6">LN(L3)</f>
        <v>8.36893213366516</v>
      </c>
      <c r="AF3" s="10">
        <f t="shared" ref="AF3:AF28" si="7">M3/D3</f>
        <v>0.134143136897916</v>
      </c>
      <c r="AG3" s="10">
        <f t="shared" ref="AG3:AG29" si="8">N3/D3</f>
        <v>0.00754139708788305</v>
      </c>
      <c r="AH3" s="10">
        <f t="shared" ref="AH3:AH66" si="9">O3/D3</f>
        <v>0.027976509456165</v>
      </c>
      <c r="AI3" s="10">
        <f t="shared" ref="AI3:AI66" si="10">E3/F3</f>
        <v>428.051391862955</v>
      </c>
      <c r="AJ3" s="10">
        <f t="shared" ref="AJ3:AJ10" si="11">R3/D3</f>
        <v>0.980843439299813</v>
      </c>
      <c r="AK3" s="10">
        <f t="shared" ref="AK3:AK34" si="12">LN(P3)+LN(Q3)</f>
        <v>25.0504381753586</v>
      </c>
      <c r="AL3" s="10">
        <f t="shared" ref="AL3:AL49" si="13">S3/D3</f>
        <v>0.35333507995222</v>
      </c>
      <c r="AM3" s="10">
        <f t="shared" ref="AM3:AM34" si="14">T3/D3</f>
        <v>0.381674711474842</v>
      </c>
      <c r="AN3" s="10">
        <f t="shared" ref="AN3:AN44" si="15">V3/U3</f>
        <v>2.50494150867285</v>
      </c>
    </row>
    <row r="4" ht="16" spans="1:40">
      <c r="A4" s="14">
        <v>2015</v>
      </c>
      <c r="B4" s="15">
        <v>340000</v>
      </c>
      <c r="C4" s="16" t="s">
        <v>40</v>
      </c>
      <c r="D4" s="24">
        <v>23831.2</v>
      </c>
      <c r="E4" s="25">
        <v>6011</v>
      </c>
      <c r="F4" s="26">
        <v>14.01</v>
      </c>
      <c r="G4" s="27">
        <v>3064</v>
      </c>
      <c r="H4" s="10">
        <v>1130748</v>
      </c>
      <c r="I4" s="30">
        <v>24385.97</v>
      </c>
      <c r="J4" s="31">
        <v>5233.92</v>
      </c>
      <c r="K4" s="24">
        <v>4317510.6</v>
      </c>
      <c r="L4" s="10">
        <v>4342.1</v>
      </c>
      <c r="M4" s="10">
        <v>2979.9488</v>
      </c>
      <c r="N4" s="10">
        <v>190.47</v>
      </c>
      <c r="O4" s="10">
        <v>823.4581</v>
      </c>
      <c r="P4" s="19">
        <v>186940</v>
      </c>
      <c r="Q4" s="19">
        <v>345756</v>
      </c>
      <c r="R4" s="38">
        <v>25489.05</v>
      </c>
      <c r="S4" s="20">
        <v>11190.8</v>
      </c>
      <c r="T4" s="39">
        <v>8360.5</v>
      </c>
      <c r="U4" s="22">
        <v>10821</v>
      </c>
      <c r="V4" s="22">
        <v>26936</v>
      </c>
      <c r="W4" s="32">
        <v>39692</v>
      </c>
      <c r="X4" s="10">
        <v>35996.5641</v>
      </c>
      <c r="Y4" s="10">
        <f t="shared" si="0"/>
        <v>1.02327914666488</v>
      </c>
      <c r="Z4" s="10">
        <f t="shared" si="1"/>
        <v>40568.9070038263</v>
      </c>
      <c r="AA4" s="10">
        <f t="shared" si="2"/>
        <v>0.509732157710863</v>
      </c>
      <c r="AB4" s="10">
        <f t="shared" si="3"/>
        <v>0.0188113125935784</v>
      </c>
      <c r="AC4" s="10">
        <f t="shared" si="4"/>
        <v>0.219624693678875</v>
      </c>
      <c r="AD4" s="10">
        <f t="shared" si="5"/>
        <v>0.0181170507569908</v>
      </c>
      <c r="AE4" s="10">
        <f t="shared" si="6"/>
        <v>8.37611338103438</v>
      </c>
      <c r="AF4" s="10">
        <f t="shared" si="7"/>
        <v>0.12504400953372</v>
      </c>
      <c r="AG4" s="10">
        <f t="shared" si="8"/>
        <v>0.00799246366108295</v>
      </c>
      <c r="AH4" s="10">
        <f t="shared" si="9"/>
        <v>0.0345537824364698</v>
      </c>
      <c r="AI4" s="10">
        <f t="shared" si="10"/>
        <v>429.050678087081</v>
      </c>
      <c r="AJ4" s="10">
        <f t="shared" si="11"/>
        <v>1.06956636677968</v>
      </c>
      <c r="AK4" s="10">
        <f t="shared" si="12"/>
        <v>24.8920315916922</v>
      </c>
      <c r="AL4" s="10">
        <f t="shared" si="13"/>
        <v>0.469586088824734</v>
      </c>
      <c r="AM4" s="10">
        <f t="shared" si="14"/>
        <v>0.350821612004431</v>
      </c>
      <c r="AN4" s="10">
        <f t="shared" si="15"/>
        <v>2.48923389705203</v>
      </c>
    </row>
    <row r="5" ht="16" spans="1:40">
      <c r="A5" s="14">
        <v>2016</v>
      </c>
      <c r="B5" s="15">
        <v>340000</v>
      </c>
      <c r="C5" s="16" t="s">
        <v>40</v>
      </c>
      <c r="D5" s="24">
        <v>26307.7</v>
      </c>
      <c r="E5" s="25">
        <v>6033</v>
      </c>
      <c r="F5" s="26">
        <v>14.01</v>
      </c>
      <c r="G5" s="27">
        <v>3175</v>
      </c>
      <c r="H5" s="10">
        <v>1145007</v>
      </c>
      <c r="I5" s="30">
        <v>27033.38</v>
      </c>
      <c r="J5" s="31">
        <v>5517.59</v>
      </c>
      <c r="K5" s="24">
        <v>4751301</v>
      </c>
      <c r="L5" s="10">
        <v>4361.6</v>
      </c>
      <c r="M5" s="10">
        <v>2950.0355</v>
      </c>
      <c r="N5" s="10">
        <v>217.37</v>
      </c>
      <c r="O5" s="10">
        <v>664.4502</v>
      </c>
      <c r="P5" s="19">
        <v>197588</v>
      </c>
      <c r="Q5" s="19">
        <v>364567</v>
      </c>
      <c r="R5" s="38">
        <v>30180.73</v>
      </c>
      <c r="S5" s="20">
        <v>12662.5</v>
      </c>
      <c r="T5" s="39">
        <v>8909.4</v>
      </c>
      <c r="U5" s="22">
        <v>11720</v>
      </c>
      <c r="V5" s="22">
        <v>29156</v>
      </c>
      <c r="W5" s="32">
        <v>43686</v>
      </c>
      <c r="X5" s="10">
        <v>39561</v>
      </c>
      <c r="Y5" s="10">
        <f t="shared" si="0"/>
        <v>1.02758431941979</v>
      </c>
      <c r="Z5" s="10">
        <f t="shared" si="1"/>
        <v>44809.1828277805</v>
      </c>
      <c r="AA5" s="10">
        <f t="shared" si="2"/>
        <v>0.526272169733134</v>
      </c>
      <c r="AB5" s="10">
        <f t="shared" si="3"/>
        <v>0.0189790651417205</v>
      </c>
      <c r="AC5" s="10">
        <f t="shared" si="4"/>
        <v>0.209732891890967</v>
      </c>
      <c r="AD5" s="10">
        <f t="shared" si="5"/>
        <v>0.0180604955963463</v>
      </c>
      <c r="AE5" s="10">
        <f t="shared" si="6"/>
        <v>8.38059424150221</v>
      </c>
      <c r="AF5" s="10">
        <f t="shared" si="7"/>
        <v>0.11213581955093</v>
      </c>
      <c r="AG5" s="10">
        <f t="shared" si="8"/>
        <v>0.0082625999232164</v>
      </c>
      <c r="AH5" s="10">
        <f t="shared" si="9"/>
        <v>0.0252568715623183</v>
      </c>
      <c r="AI5" s="10">
        <f t="shared" si="10"/>
        <v>430.620985010707</v>
      </c>
      <c r="AJ5" s="10">
        <f t="shared" si="11"/>
        <v>1.14722039554959</v>
      </c>
      <c r="AK5" s="10">
        <f t="shared" si="12"/>
        <v>25.0004049606892</v>
      </c>
      <c r="AL5" s="10">
        <f t="shared" si="13"/>
        <v>0.481322958677497</v>
      </c>
      <c r="AM5" s="10">
        <f t="shared" si="14"/>
        <v>0.338661304484999</v>
      </c>
      <c r="AN5" s="10">
        <f t="shared" si="15"/>
        <v>2.4877133105802</v>
      </c>
    </row>
    <row r="6" ht="16" spans="1:40">
      <c r="A6" s="14">
        <v>2017</v>
      </c>
      <c r="B6" s="15">
        <v>340000</v>
      </c>
      <c r="C6" s="16" t="s">
        <v>40</v>
      </c>
      <c r="D6" s="24">
        <v>29676.2</v>
      </c>
      <c r="E6" s="25">
        <v>6057</v>
      </c>
      <c r="F6" s="26">
        <v>14.01</v>
      </c>
      <c r="G6" s="27">
        <v>3288</v>
      </c>
      <c r="H6" s="10">
        <v>1147401</v>
      </c>
      <c r="I6" s="30">
        <v>29275.06</v>
      </c>
      <c r="J6" s="31">
        <v>6198.41</v>
      </c>
      <c r="K6" s="24">
        <v>5649198</v>
      </c>
      <c r="L6" s="10">
        <v>4377.9</v>
      </c>
      <c r="M6" s="10">
        <v>3647.4321</v>
      </c>
      <c r="N6" s="10">
        <v>249.57</v>
      </c>
      <c r="O6" s="10">
        <v>1079.7846</v>
      </c>
      <c r="P6" s="19">
        <v>203285</v>
      </c>
      <c r="Q6" s="19">
        <v>403426</v>
      </c>
      <c r="R6" s="38">
        <v>34481.2</v>
      </c>
      <c r="S6" s="20">
        <v>14328.8</v>
      </c>
      <c r="T6" s="39">
        <v>9739.9</v>
      </c>
      <c r="U6" s="22">
        <v>12758</v>
      </c>
      <c r="V6" s="22">
        <v>31640</v>
      </c>
      <c r="W6" s="32">
        <v>49092</v>
      </c>
      <c r="X6" s="10">
        <v>43401.3638</v>
      </c>
      <c r="Y6" s="10">
        <f t="shared" si="0"/>
        <v>0.986482770705144</v>
      </c>
      <c r="Z6" s="10">
        <f t="shared" si="1"/>
        <v>48332.6069011062</v>
      </c>
      <c r="AA6" s="10">
        <f t="shared" si="2"/>
        <v>0.54284299157999</v>
      </c>
      <c r="AB6" s="10">
        <f t="shared" si="3"/>
        <v>0.0189433878157504</v>
      </c>
      <c r="AC6" s="10">
        <f t="shared" si="4"/>
        <v>0.208868049143758</v>
      </c>
      <c r="AD6" s="10">
        <f t="shared" si="5"/>
        <v>0.0190361232233237</v>
      </c>
      <c r="AE6" s="10">
        <f t="shared" si="6"/>
        <v>8.38432443634181</v>
      </c>
      <c r="AF6" s="10">
        <f t="shared" si="7"/>
        <v>0.122907653270971</v>
      </c>
      <c r="AG6" s="10">
        <f t="shared" si="8"/>
        <v>0.00840976944487502</v>
      </c>
      <c r="AH6" s="10">
        <f t="shared" si="9"/>
        <v>0.0363855412755002</v>
      </c>
      <c r="AI6" s="10">
        <f t="shared" si="10"/>
        <v>432.334047109208</v>
      </c>
      <c r="AJ6" s="10">
        <f t="shared" si="11"/>
        <v>1.16191426125986</v>
      </c>
      <c r="AK6" s="10">
        <f t="shared" si="12"/>
        <v>25.130112568889</v>
      </c>
      <c r="AL6" s="10">
        <f t="shared" si="13"/>
        <v>0.482838099217555</v>
      </c>
      <c r="AM6" s="10">
        <f t="shared" si="14"/>
        <v>0.328205767584799</v>
      </c>
      <c r="AN6" s="10">
        <f t="shared" si="15"/>
        <v>2.48001254115065</v>
      </c>
    </row>
    <row r="7" ht="16" spans="1:40">
      <c r="A7" s="14">
        <v>2018</v>
      </c>
      <c r="B7" s="15">
        <v>340000</v>
      </c>
      <c r="C7" s="16" t="s">
        <v>40</v>
      </c>
      <c r="D7" s="24">
        <v>34010.9</v>
      </c>
      <c r="E7" s="25">
        <v>6076</v>
      </c>
      <c r="F7" s="26">
        <v>14.01</v>
      </c>
      <c r="G7" s="27">
        <v>3381</v>
      </c>
      <c r="H7" s="10">
        <v>1139112</v>
      </c>
      <c r="I7" s="30">
        <v>32729.51708</v>
      </c>
      <c r="J7" s="31">
        <v>6565.53</v>
      </c>
      <c r="K7" s="24">
        <v>6489541</v>
      </c>
      <c r="L7" s="10">
        <v>4385.3</v>
      </c>
      <c r="M7" s="10">
        <v>4158.3951</v>
      </c>
      <c r="N7" s="10">
        <v>321.31</v>
      </c>
      <c r="O7" s="10">
        <v>2577.6959</v>
      </c>
      <c r="P7" s="19">
        <v>208826</v>
      </c>
      <c r="Q7" s="19">
        <v>406761</v>
      </c>
      <c r="R7" s="38">
        <v>38815.25</v>
      </c>
      <c r="S7" s="20">
        <v>16156.2</v>
      </c>
      <c r="T7" s="39">
        <v>10639.8</v>
      </c>
      <c r="U7" s="22">
        <v>13996</v>
      </c>
      <c r="V7" s="22">
        <v>34393</v>
      </c>
      <c r="W7" s="32">
        <v>56063</v>
      </c>
      <c r="X7" s="10">
        <v>47711.6644</v>
      </c>
      <c r="Y7" s="10">
        <f t="shared" si="0"/>
        <v>0.962324345430436</v>
      </c>
      <c r="Z7" s="10">
        <f t="shared" si="1"/>
        <v>53866.8813034891</v>
      </c>
      <c r="AA7" s="10">
        <f t="shared" si="2"/>
        <v>0.556451612903226</v>
      </c>
      <c r="AB7" s="10">
        <f t="shared" si="3"/>
        <v>0.0187477287689269</v>
      </c>
      <c r="AC7" s="10">
        <f t="shared" si="4"/>
        <v>0.193041936555634</v>
      </c>
      <c r="AD7" s="10">
        <f t="shared" si="5"/>
        <v>0.0190807682243046</v>
      </c>
      <c r="AE7" s="10">
        <f t="shared" si="6"/>
        <v>8.38601331751739</v>
      </c>
      <c r="AF7" s="10">
        <f t="shared" si="7"/>
        <v>0.122266541020673</v>
      </c>
      <c r="AG7" s="10">
        <f t="shared" si="8"/>
        <v>0.00944726543549274</v>
      </c>
      <c r="AH7" s="10">
        <f t="shared" si="9"/>
        <v>0.0757902878194932</v>
      </c>
      <c r="AI7" s="10">
        <f t="shared" si="10"/>
        <v>433.690221270521</v>
      </c>
      <c r="AJ7" s="10">
        <f t="shared" si="11"/>
        <v>1.14125912575086</v>
      </c>
      <c r="AK7" s="10">
        <f t="shared" si="12"/>
        <v>25.1652377166655</v>
      </c>
      <c r="AL7" s="10">
        <f t="shared" si="13"/>
        <v>0.475030063891282</v>
      </c>
      <c r="AM7" s="10">
        <f t="shared" si="14"/>
        <v>0.31283500289613</v>
      </c>
      <c r="AN7" s="10">
        <f t="shared" si="15"/>
        <v>2.45734495570163</v>
      </c>
    </row>
    <row r="8" ht="16" spans="1:40">
      <c r="A8" s="14">
        <v>2019</v>
      </c>
      <c r="B8" s="15">
        <v>340000</v>
      </c>
      <c r="C8" s="16" t="s">
        <v>40</v>
      </c>
      <c r="D8" s="24">
        <v>36845.5</v>
      </c>
      <c r="E8" s="25">
        <v>6092</v>
      </c>
      <c r="F8" s="26">
        <v>14.01</v>
      </c>
      <c r="G8" s="27">
        <v>3474</v>
      </c>
      <c r="H8" s="10">
        <v>1241151</v>
      </c>
      <c r="I8" s="30">
        <v>35740.63265136</v>
      </c>
      <c r="J8" s="31">
        <v>7358.36</v>
      </c>
      <c r="K8" s="24">
        <v>7540286</v>
      </c>
      <c r="L8" s="10">
        <v>4384</v>
      </c>
      <c r="M8" s="10">
        <v>4741.3614</v>
      </c>
      <c r="N8" s="10">
        <v>449.61</v>
      </c>
      <c r="O8" s="10">
        <v>4447.4787</v>
      </c>
      <c r="P8" s="19">
        <v>218295</v>
      </c>
      <c r="Q8" s="19">
        <v>368248</v>
      </c>
      <c r="R8" s="38">
        <v>44289.31</v>
      </c>
      <c r="S8" s="20">
        <v>17862.1</v>
      </c>
      <c r="T8" s="39">
        <v>11181.7</v>
      </c>
      <c r="U8" s="22">
        <v>15416</v>
      </c>
      <c r="V8" s="22">
        <v>37540</v>
      </c>
      <c r="W8" s="32">
        <v>60561</v>
      </c>
      <c r="X8" s="10">
        <v>58495.57</v>
      </c>
      <c r="Y8" s="10">
        <f t="shared" si="0"/>
        <v>0.97001350643525</v>
      </c>
      <c r="Z8" s="10">
        <f t="shared" si="1"/>
        <v>58668.1428945502</v>
      </c>
      <c r="AA8" s="10">
        <f t="shared" si="2"/>
        <v>0.570256073539068</v>
      </c>
      <c r="AB8" s="10">
        <f t="shared" si="3"/>
        <v>0.0203734569927774</v>
      </c>
      <c r="AC8" s="10">
        <f t="shared" si="4"/>
        <v>0.19970851257277</v>
      </c>
      <c r="AD8" s="10">
        <f t="shared" si="5"/>
        <v>0.0204646049042624</v>
      </c>
      <c r="AE8" s="10">
        <f t="shared" si="6"/>
        <v>8.38571682862785</v>
      </c>
      <c r="AF8" s="10">
        <f t="shared" si="7"/>
        <v>0.128682237993785</v>
      </c>
      <c r="AG8" s="10">
        <f t="shared" si="8"/>
        <v>0.0122025756198179</v>
      </c>
      <c r="AH8" s="10">
        <f t="shared" si="9"/>
        <v>0.120706156789839</v>
      </c>
      <c r="AI8" s="10">
        <f t="shared" si="10"/>
        <v>434.832262669522</v>
      </c>
      <c r="AJ8" s="10">
        <f t="shared" si="11"/>
        <v>1.20202765602312</v>
      </c>
      <c r="AK8" s="10">
        <f t="shared" si="12"/>
        <v>25.1101145412327</v>
      </c>
      <c r="AL8" s="10">
        <f t="shared" si="13"/>
        <v>0.484783759210758</v>
      </c>
      <c r="AM8" s="10">
        <f t="shared" si="14"/>
        <v>0.303475322630986</v>
      </c>
      <c r="AN8" s="10">
        <f t="shared" si="15"/>
        <v>2.4351323300467</v>
      </c>
    </row>
    <row r="9" ht="16" spans="1:40">
      <c r="A9" s="14">
        <v>2020</v>
      </c>
      <c r="B9" s="15">
        <v>340000</v>
      </c>
      <c r="C9" s="16" t="s">
        <v>40</v>
      </c>
      <c r="D9" s="24">
        <v>38061.5</v>
      </c>
      <c r="E9" s="25">
        <v>6105</v>
      </c>
      <c r="F9" s="26">
        <v>14.01</v>
      </c>
      <c r="G9" s="27">
        <v>3561</v>
      </c>
      <c r="H9" s="10">
        <v>1148737</v>
      </c>
      <c r="I9" s="30">
        <v>37563.4049165794</v>
      </c>
      <c r="J9" s="31">
        <v>7409.27</v>
      </c>
      <c r="K9" s="24">
        <v>8831833</v>
      </c>
      <c r="L9" s="10">
        <v>3243</v>
      </c>
      <c r="M9" s="10">
        <v>5428.6899</v>
      </c>
      <c r="N9" s="10">
        <v>659.57</v>
      </c>
      <c r="O9" s="10">
        <v>5662.0154</v>
      </c>
      <c r="P9" s="19">
        <v>236483</v>
      </c>
      <c r="Q9" s="19">
        <v>374503</v>
      </c>
      <c r="R9" s="38">
        <v>51520.5</v>
      </c>
      <c r="S9" s="20">
        <v>18334</v>
      </c>
      <c r="T9" s="39">
        <v>11235.5</v>
      </c>
      <c r="U9" s="22">
        <v>16620</v>
      </c>
      <c r="V9" s="22">
        <v>39442</v>
      </c>
      <c r="W9" s="32">
        <v>62411</v>
      </c>
      <c r="X9" s="10">
        <v>63426.47</v>
      </c>
      <c r="Y9" s="10">
        <f t="shared" si="0"/>
        <v>0.986913414252707</v>
      </c>
      <c r="Z9" s="10">
        <f t="shared" si="1"/>
        <v>61528.9187822758</v>
      </c>
      <c r="AA9" s="10">
        <f t="shared" si="2"/>
        <v>0.583292383292383</v>
      </c>
      <c r="AB9" s="10">
        <f t="shared" si="3"/>
        <v>0.0188163308763309</v>
      </c>
      <c r="AC9" s="10">
        <f t="shared" si="4"/>
        <v>0.194665738344521</v>
      </c>
      <c r="AD9" s="10">
        <f t="shared" si="5"/>
        <v>0.0232041117664832</v>
      </c>
      <c r="AE9" s="10">
        <f t="shared" si="6"/>
        <v>8.08425410630732</v>
      </c>
      <c r="AF9" s="10">
        <f t="shared" si="7"/>
        <v>0.142629426060455</v>
      </c>
      <c r="AG9" s="10">
        <f t="shared" si="8"/>
        <v>0.0173290595483625</v>
      </c>
      <c r="AH9" s="10">
        <f t="shared" si="9"/>
        <v>0.148759649514601</v>
      </c>
      <c r="AI9" s="10">
        <f t="shared" si="10"/>
        <v>435.76017130621</v>
      </c>
      <c r="AJ9" s="10">
        <f t="shared" si="11"/>
        <v>1.35361191755448</v>
      </c>
      <c r="AK9" s="10">
        <f t="shared" si="12"/>
        <v>25.206986695312</v>
      </c>
      <c r="AL9" s="10">
        <f t="shared" si="13"/>
        <v>0.481694100337612</v>
      </c>
      <c r="AM9" s="10">
        <f t="shared" si="14"/>
        <v>0.295193305571247</v>
      </c>
      <c r="AN9" s="10">
        <f t="shared" si="15"/>
        <v>2.37316486161252</v>
      </c>
    </row>
    <row r="10" ht="16" spans="1:40">
      <c r="A10" s="14">
        <v>2021</v>
      </c>
      <c r="B10" s="15">
        <v>340000</v>
      </c>
      <c r="C10" s="16" t="s">
        <v>40</v>
      </c>
      <c r="D10" s="24">
        <v>42565.2</v>
      </c>
      <c r="E10" s="25">
        <v>6113</v>
      </c>
      <c r="F10" s="26">
        <v>14.01</v>
      </c>
      <c r="G10" s="27">
        <v>3631</v>
      </c>
      <c r="H10" s="10">
        <v>1504991</v>
      </c>
      <c r="I10" s="30">
        <v>41094.3649787378</v>
      </c>
      <c r="J10" s="31">
        <v>7547.67</v>
      </c>
      <c r="K10" s="24">
        <v>10061245</v>
      </c>
      <c r="L10" s="10">
        <v>3215</v>
      </c>
      <c r="M10" s="10">
        <v>6903.105</v>
      </c>
      <c r="N10" s="10">
        <v>1787.71</v>
      </c>
      <c r="O10" s="10">
        <v>995.97</v>
      </c>
      <c r="P10" s="19">
        <v>237411</v>
      </c>
      <c r="Q10" s="19">
        <v>401415</v>
      </c>
      <c r="R10" s="38">
        <v>58151</v>
      </c>
      <c r="S10" s="20">
        <v>21471.2</v>
      </c>
      <c r="T10" s="39">
        <v>12790.8</v>
      </c>
      <c r="U10" s="22">
        <v>18372</v>
      </c>
      <c r="V10" s="22">
        <v>43009</v>
      </c>
      <c r="W10" s="32">
        <v>69676</v>
      </c>
      <c r="X10" s="10">
        <v>70321</v>
      </c>
      <c r="Y10" s="10">
        <f t="shared" si="0"/>
        <v>0.965445128385108</v>
      </c>
      <c r="Z10" s="10">
        <f t="shared" si="1"/>
        <v>67224.546014621</v>
      </c>
      <c r="AA10" s="10">
        <f t="shared" si="2"/>
        <v>0.593980042532308</v>
      </c>
      <c r="AB10" s="10">
        <f t="shared" si="3"/>
        <v>0.0246195157860298</v>
      </c>
      <c r="AC10" s="10">
        <f t="shared" si="4"/>
        <v>0.177320205238082</v>
      </c>
      <c r="AD10" s="10">
        <f t="shared" si="5"/>
        <v>0.0236372553165497</v>
      </c>
      <c r="AE10" s="10">
        <f t="shared" si="6"/>
        <v>8.07558263667172</v>
      </c>
      <c r="AF10" s="10">
        <f t="shared" si="7"/>
        <v>0.162177201093851</v>
      </c>
      <c r="AG10" s="10">
        <f t="shared" si="8"/>
        <v>0.0419993327882872</v>
      </c>
      <c r="AH10" s="10">
        <f t="shared" si="9"/>
        <v>0.0233986918891489</v>
      </c>
      <c r="AI10" s="10">
        <f t="shared" si="10"/>
        <v>436.33119200571</v>
      </c>
      <c r="AJ10" s="10">
        <f t="shared" si="11"/>
        <v>1.3661629688102</v>
      </c>
      <c r="AK10" s="10">
        <f t="shared" si="12"/>
        <v>25.2802991792373</v>
      </c>
      <c r="AL10" s="10">
        <f t="shared" si="13"/>
        <v>0.504430849614239</v>
      </c>
      <c r="AM10" s="10">
        <f t="shared" si="14"/>
        <v>0.300498999182431</v>
      </c>
      <c r="AN10" s="10">
        <f t="shared" si="15"/>
        <v>2.34100805573699</v>
      </c>
    </row>
    <row r="11" ht="16" spans="1:40">
      <c r="A11" s="14">
        <v>2022</v>
      </c>
      <c r="B11" s="15">
        <v>340000</v>
      </c>
      <c r="C11" s="16" t="s">
        <v>40</v>
      </c>
      <c r="D11" s="24">
        <v>44607.7</v>
      </c>
      <c r="E11" s="25">
        <v>6127</v>
      </c>
      <c r="F11" s="26">
        <v>14.01</v>
      </c>
      <c r="G11" s="27">
        <v>3686</v>
      </c>
      <c r="H11" s="10">
        <v>1553535</v>
      </c>
      <c r="I11" s="30">
        <v>44792.8578268242</v>
      </c>
      <c r="J11" s="31">
        <v>8330.87</v>
      </c>
      <c r="K11" s="24">
        <v>11525148</v>
      </c>
      <c r="L11" s="10">
        <v>3176</v>
      </c>
      <c r="M11" s="10">
        <v>7606.5465</v>
      </c>
      <c r="N11" s="10">
        <v>2875.45</v>
      </c>
      <c r="O11" s="10">
        <v>1046.1859</v>
      </c>
      <c r="P11" s="35">
        <v>237967</v>
      </c>
      <c r="Q11" s="35">
        <v>394061</v>
      </c>
      <c r="R11" s="38">
        <v>67048.39</v>
      </c>
      <c r="S11" s="20">
        <v>21518.4</v>
      </c>
      <c r="T11" s="39">
        <v>13400.2</v>
      </c>
      <c r="U11" s="22">
        <v>19575</v>
      </c>
      <c r="V11" s="22">
        <v>45133</v>
      </c>
      <c r="W11" s="32">
        <v>72888</v>
      </c>
      <c r="X11" s="10">
        <v>73603</v>
      </c>
      <c r="Y11" s="10">
        <f t="shared" si="0"/>
        <v>1.00415080416216</v>
      </c>
      <c r="Z11" s="10">
        <f t="shared" si="1"/>
        <v>73107.324672473</v>
      </c>
      <c r="AA11" s="10">
        <f t="shared" si="2"/>
        <v>0.60159947772156</v>
      </c>
      <c r="AB11" s="10">
        <f t="shared" si="3"/>
        <v>0.0253555573690224</v>
      </c>
      <c r="AC11" s="10">
        <f t="shared" si="4"/>
        <v>0.186758564104404</v>
      </c>
      <c r="AD11" s="10">
        <f t="shared" si="5"/>
        <v>0.0258366784209901</v>
      </c>
      <c r="AE11" s="10">
        <f t="shared" si="6"/>
        <v>8.06337782236703</v>
      </c>
      <c r="AF11" s="10">
        <f t="shared" si="7"/>
        <v>0.170520930242985</v>
      </c>
      <c r="AG11" s="10">
        <f t="shared" si="8"/>
        <v>0.0644608442040276</v>
      </c>
      <c r="AH11" s="10">
        <f t="shared" si="9"/>
        <v>0.0234530338932516</v>
      </c>
      <c r="AI11" s="10">
        <f t="shared" si="10"/>
        <v>437.330478229836</v>
      </c>
      <c r="AJ11" s="10">
        <f t="shared" ref="AJ11:AJ56" si="16">R11/D11</f>
        <v>1.50306763182141</v>
      </c>
      <c r="AK11" s="10">
        <f t="shared" si="12"/>
        <v>25.2641482862092</v>
      </c>
      <c r="AL11" s="10">
        <f t="shared" si="13"/>
        <v>0.482392053389886</v>
      </c>
      <c r="AM11" s="10">
        <f t="shared" si="14"/>
        <v>0.300401051836342</v>
      </c>
      <c r="AN11" s="10">
        <f t="shared" si="15"/>
        <v>2.30564495530013</v>
      </c>
    </row>
    <row r="12" ht="16" spans="1:40">
      <c r="A12" s="14">
        <v>2013</v>
      </c>
      <c r="B12" s="15">
        <v>110000</v>
      </c>
      <c r="C12" s="16" t="s">
        <v>41</v>
      </c>
      <c r="D12" s="24">
        <v>21134.6</v>
      </c>
      <c r="E12" s="25">
        <v>2125</v>
      </c>
      <c r="F12" s="26">
        <v>1.64</v>
      </c>
      <c r="G12" s="27">
        <v>1836</v>
      </c>
      <c r="H12" s="10">
        <v>598904</v>
      </c>
      <c r="I12" s="30">
        <v>6847.1</v>
      </c>
      <c r="J12" s="31">
        <v>4158.05</v>
      </c>
      <c r="K12" s="32">
        <v>11850469</v>
      </c>
      <c r="L12" s="10">
        <v>1137.2</v>
      </c>
      <c r="M12" s="10">
        <v>26568.569</v>
      </c>
      <c r="N12" s="10">
        <v>2851.72</v>
      </c>
      <c r="O12" s="10">
        <v>757.0354</v>
      </c>
      <c r="P12" s="19">
        <v>21673</v>
      </c>
      <c r="Q12" s="19">
        <v>25747.6</v>
      </c>
      <c r="R12" s="38">
        <v>40506.7</v>
      </c>
      <c r="S12" s="20">
        <v>8872.1</v>
      </c>
      <c r="T12" s="39">
        <v>3336.6</v>
      </c>
      <c r="U12" s="22">
        <v>17101</v>
      </c>
      <c r="V12" s="22">
        <v>44564</v>
      </c>
      <c r="W12" s="32">
        <v>100569</v>
      </c>
      <c r="X12" s="10">
        <v>94647.8813</v>
      </c>
      <c r="Y12" s="10">
        <f t="shared" si="0"/>
        <v>0.323975850027916</v>
      </c>
      <c r="Z12" s="10">
        <f t="shared" si="1"/>
        <v>32221.6470588235</v>
      </c>
      <c r="AA12" s="10">
        <f t="shared" si="2"/>
        <v>0.864</v>
      </c>
      <c r="AB12" s="10">
        <f t="shared" si="3"/>
        <v>0.0281837176470588</v>
      </c>
      <c r="AC12" s="10">
        <f t="shared" si="4"/>
        <v>0.196741362505086</v>
      </c>
      <c r="AD12" s="10">
        <f t="shared" si="5"/>
        <v>0.0560714137007561</v>
      </c>
      <c r="AE12" s="10">
        <f t="shared" si="6"/>
        <v>7.03632437977684</v>
      </c>
      <c r="AF12" s="10">
        <f t="shared" si="7"/>
        <v>1.25711246013646</v>
      </c>
      <c r="AG12" s="10">
        <f t="shared" si="8"/>
        <v>0.134931344808986</v>
      </c>
      <c r="AH12" s="10">
        <f t="shared" si="9"/>
        <v>0.0358197174301856</v>
      </c>
      <c r="AI12" s="10">
        <f t="shared" si="10"/>
        <v>1295.73170731707</v>
      </c>
      <c r="AJ12" s="10">
        <f t="shared" si="16"/>
        <v>1.9166059447541</v>
      </c>
      <c r="AK12" s="10">
        <f t="shared" si="12"/>
        <v>20.139919223053</v>
      </c>
      <c r="AL12" s="10">
        <f t="shared" si="13"/>
        <v>0.419790296480653</v>
      </c>
      <c r="AM12" s="10">
        <f t="shared" si="14"/>
        <v>0.157873818288494</v>
      </c>
      <c r="AN12" s="10">
        <f t="shared" si="15"/>
        <v>2.60592947780832</v>
      </c>
    </row>
    <row r="13" ht="16" spans="1:40">
      <c r="A13" s="14">
        <v>2014</v>
      </c>
      <c r="B13" s="15">
        <v>110000</v>
      </c>
      <c r="C13" s="16" t="s">
        <v>41</v>
      </c>
      <c r="D13" s="24">
        <v>22926</v>
      </c>
      <c r="E13" s="25">
        <v>2171</v>
      </c>
      <c r="F13" s="26">
        <v>1.64</v>
      </c>
      <c r="G13" s="27">
        <v>1878</v>
      </c>
      <c r="H13" s="10">
        <v>604578</v>
      </c>
      <c r="I13" s="30">
        <v>6924.23</v>
      </c>
      <c r="J13" s="31">
        <v>4506.65</v>
      </c>
      <c r="K13" s="32">
        <v>12687952.8</v>
      </c>
      <c r="L13" s="10">
        <v>1141.8</v>
      </c>
      <c r="M13" s="10">
        <v>25524.476</v>
      </c>
      <c r="N13" s="10">
        <v>3137.19</v>
      </c>
      <c r="O13" s="10">
        <v>889.8948</v>
      </c>
      <c r="P13" s="19">
        <v>21849</v>
      </c>
      <c r="Q13" s="19">
        <v>26550.7</v>
      </c>
      <c r="R13" s="38">
        <v>45458.71</v>
      </c>
      <c r="S13" s="20">
        <v>9638</v>
      </c>
      <c r="T13" s="39">
        <v>3522.8</v>
      </c>
      <c r="U13" s="22">
        <v>18867</v>
      </c>
      <c r="V13" s="22">
        <v>48532</v>
      </c>
      <c r="W13" s="32">
        <v>106732</v>
      </c>
      <c r="X13" s="10">
        <v>99995</v>
      </c>
      <c r="Y13" s="10">
        <f t="shared" si="0"/>
        <v>0.302025211550205</v>
      </c>
      <c r="Z13" s="10">
        <f t="shared" si="1"/>
        <v>31894.1962229387</v>
      </c>
      <c r="AA13" s="10">
        <f t="shared" si="2"/>
        <v>0.865039152464302</v>
      </c>
      <c r="AB13" s="10">
        <f t="shared" si="3"/>
        <v>0.0278479041916168</v>
      </c>
      <c r="AC13" s="10">
        <f t="shared" si="4"/>
        <v>0.196573759050859</v>
      </c>
      <c r="AD13" s="10">
        <f t="shared" si="5"/>
        <v>0.0553430724941115</v>
      </c>
      <c r="AE13" s="10">
        <f t="shared" si="6"/>
        <v>7.04036124353016</v>
      </c>
      <c r="AF13" s="10">
        <f t="shared" si="7"/>
        <v>1.11334188257873</v>
      </c>
      <c r="AG13" s="10">
        <f t="shared" si="8"/>
        <v>0.13683983250458</v>
      </c>
      <c r="AH13" s="10">
        <f t="shared" si="9"/>
        <v>0.0388159644072232</v>
      </c>
      <c r="AI13" s="10">
        <f t="shared" si="10"/>
        <v>1323.78048780488</v>
      </c>
      <c r="AJ13" s="10">
        <f t="shared" si="16"/>
        <v>1.98284524121085</v>
      </c>
      <c r="AK13" s="10">
        <f t="shared" si="12"/>
        <v>20.178721824557</v>
      </c>
      <c r="AL13" s="10">
        <f t="shared" si="13"/>
        <v>0.420396056878653</v>
      </c>
      <c r="AM13" s="10">
        <f t="shared" si="14"/>
        <v>0.153659600453633</v>
      </c>
      <c r="AN13" s="10">
        <f t="shared" si="15"/>
        <v>2.57232204378014</v>
      </c>
    </row>
    <row r="14" ht="16" spans="1:40">
      <c r="A14" s="14">
        <v>2015</v>
      </c>
      <c r="B14" s="15">
        <v>110000</v>
      </c>
      <c r="C14" s="16" t="s">
        <v>41</v>
      </c>
      <c r="D14" s="24">
        <v>24779.1</v>
      </c>
      <c r="E14" s="25">
        <v>2188</v>
      </c>
      <c r="F14" s="26">
        <v>1.64</v>
      </c>
      <c r="G14" s="27">
        <v>1897</v>
      </c>
      <c r="H14" s="10">
        <v>603557</v>
      </c>
      <c r="I14" s="30">
        <v>7495.99</v>
      </c>
      <c r="J14" s="31">
        <v>5714.63</v>
      </c>
      <c r="K14" s="32">
        <v>13840231.1</v>
      </c>
      <c r="L14" s="10">
        <v>1164.4</v>
      </c>
      <c r="M14" s="10">
        <v>19896.036</v>
      </c>
      <c r="N14" s="10">
        <v>3453.89</v>
      </c>
      <c r="O14" s="10">
        <v>1181.8752</v>
      </c>
      <c r="P14" s="19">
        <v>21885</v>
      </c>
      <c r="Q14" s="19">
        <v>20078</v>
      </c>
      <c r="R14" s="38">
        <v>50559.52</v>
      </c>
      <c r="S14" s="20">
        <v>12271.9</v>
      </c>
      <c r="T14" s="39">
        <v>3458.9</v>
      </c>
      <c r="U14" s="22">
        <v>20569</v>
      </c>
      <c r="V14" s="22">
        <v>52859</v>
      </c>
      <c r="W14" s="32">
        <v>113692</v>
      </c>
      <c r="X14" s="10">
        <v>106497</v>
      </c>
      <c r="Y14" s="10">
        <f t="shared" si="0"/>
        <v>0.302512601345489</v>
      </c>
      <c r="Z14" s="10">
        <f t="shared" si="1"/>
        <v>34259.5521023766</v>
      </c>
      <c r="AA14" s="10">
        <f t="shared" si="2"/>
        <v>0.867001828153565</v>
      </c>
      <c r="AB14" s="10">
        <f t="shared" si="3"/>
        <v>0.0275848720292505</v>
      </c>
      <c r="AC14" s="10">
        <f t="shared" si="4"/>
        <v>0.230622984692745</v>
      </c>
      <c r="AD14" s="10">
        <f t="shared" si="5"/>
        <v>0.0558544543587136</v>
      </c>
      <c r="AE14" s="10">
        <f t="shared" si="6"/>
        <v>7.05996121187147</v>
      </c>
      <c r="AF14" s="10">
        <f t="shared" si="7"/>
        <v>0.80293618412291</v>
      </c>
      <c r="AG14" s="10">
        <f t="shared" si="8"/>
        <v>0.139387225524737</v>
      </c>
      <c r="AH14" s="10">
        <f t="shared" si="9"/>
        <v>0.0476964538663632</v>
      </c>
      <c r="AI14" s="10">
        <f t="shared" si="10"/>
        <v>1334.14634146341</v>
      </c>
      <c r="AJ14" s="10">
        <f t="shared" si="16"/>
        <v>2.04040986153654</v>
      </c>
      <c r="AK14" s="10">
        <f t="shared" si="12"/>
        <v>19.9009367168765</v>
      </c>
      <c r="AL14" s="10">
        <f t="shared" si="13"/>
        <v>0.49525204708807</v>
      </c>
      <c r="AM14" s="10">
        <f t="shared" si="14"/>
        <v>0.139589412044828</v>
      </c>
      <c r="AN14" s="10">
        <f t="shared" si="15"/>
        <v>2.5698381058875</v>
      </c>
    </row>
    <row r="15" ht="16" spans="1:40">
      <c r="A15" s="14">
        <v>2016</v>
      </c>
      <c r="B15" s="15">
        <v>110000</v>
      </c>
      <c r="C15" s="16" t="s">
        <v>41</v>
      </c>
      <c r="D15" s="24">
        <v>27041.2</v>
      </c>
      <c r="E15" s="25">
        <v>2195</v>
      </c>
      <c r="F15" s="26">
        <v>1.64</v>
      </c>
      <c r="G15" s="27">
        <v>1904</v>
      </c>
      <c r="H15" s="10">
        <v>599188</v>
      </c>
      <c r="I15" s="30">
        <v>7943.89</v>
      </c>
      <c r="J15" s="31">
        <v>6364.77</v>
      </c>
      <c r="K15" s="32">
        <v>14845762.3</v>
      </c>
      <c r="L15" s="10">
        <v>1187.6</v>
      </c>
      <c r="M15" s="10">
        <v>18754.465</v>
      </c>
      <c r="N15" s="10">
        <v>3940.98</v>
      </c>
      <c r="O15" s="10">
        <v>979.0841</v>
      </c>
      <c r="P15" s="19">
        <v>22026</v>
      </c>
      <c r="Q15" s="19">
        <v>20734</v>
      </c>
      <c r="R15" s="38">
        <v>56618.87</v>
      </c>
      <c r="S15" s="20">
        <v>13134.9</v>
      </c>
      <c r="T15" s="39">
        <v>3635.5</v>
      </c>
      <c r="U15" s="22">
        <v>22310</v>
      </c>
      <c r="V15" s="22">
        <v>57275</v>
      </c>
      <c r="W15" s="32">
        <v>123391</v>
      </c>
      <c r="X15" s="10">
        <v>118198</v>
      </c>
      <c r="Y15" s="10">
        <f t="shared" si="0"/>
        <v>0.293769877076461</v>
      </c>
      <c r="Z15" s="10">
        <f t="shared" si="1"/>
        <v>36190.8428246014</v>
      </c>
      <c r="AA15" s="10">
        <f t="shared" si="2"/>
        <v>0.867425968109339</v>
      </c>
      <c r="AB15" s="10">
        <f t="shared" si="3"/>
        <v>0.0272978587699317</v>
      </c>
      <c r="AC15" s="10">
        <f t="shared" si="4"/>
        <v>0.235373060367143</v>
      </c>
      <c r="AD15" s="10">
        <f t="shared" si="5"/>
        <v>0.0549005306717158</v>
      </c>
      <c r="AE15" s="10">
        <f t="shared" si="6"/>
        <v>7.0796897428896</v>
      </c>
      <c r="AF15" s="10">
        <f t="shared" si="7"/>
        <v>0.693551506589944</v>
      </c>
      <c r="AG15" s="10">
        <f t="shared" si="8"/>
        <v>0.145739834031034</v>
      </c>
      <c r="AH15" s="10">
        <f t="shared" si="9"/>
        <v>0.0362071246838158</v>
      </c>
      <c r="AI15" s="10">
        <f t="shared" si="10"/>
        <v>1338.41463414634</v>
      </c>
      <c r="AJ15" s="10">
        <f t="shared" si="16"/>
        <v>2.0938002011745</v>
      </c>
      <c r="AK15" s="10">
        <f t="shared" si="12"/>
        <v>19.9395089966079</v>
      </c>
      <c r="AL15" s="10">
        <f t="shared" si="13"/>
        <v>0.485736579737586</v>
      </c>
      <c r="AM15" s="10">
        <f t="shared" si="14"/>
        <v>0.134442998091801</v>
      </c>
      <c r="AN15" s="10">
        <f t="shared" si="15"/>
        <v>2.5672344240251</v>
      </c>
    </row>
    <row r="16" ht="16" spans="1:40">
      <c r="A16" s="14">
        <v>2017</v>
      </c>
      <c r="B16" s="15">
        <v>110000</v>
      </c>
      <c r="C16" s="16" t="s">
        <v>41</v>
      </c>
      <c r="D16" s="24">
        <v>29883</v>
      </c>
      <c r="E16" s="25">
        <v>2194</v>
      </c>
      <c r="F16" s="26">
        <v>1.64</v>
      </c>
      <c r="G16" s="27">
        <v>1907</v>
      </c>
      <c r="H16" s="10">
        <v>592878</v>
      </c>
      <c r="I16" s="30">
        <v>8370.44</v>
      </c>
      <c r="J16" s="31">
        <v>6754.86</v>
      </c>
      <c r="K16" s="32">
        <v>15796512.3</v>
      </c>
      <c r="L16" s="10">
        <v>1191.3</v>
      </c>
      <c r="M16" s="10">
        <v>21877.008</v>
      </c>
      <c r="N16" s="10">
        <v>4486.89</v>
      </c>
      <c r="O16" s="10">
        <v>1289.9017</v>
      </c>
      <c r="P16" s="19">
        <v>22226</v>
      </c>
      <c r="Q16" s="19">
        <v>20110</v>
      </c>
      <c r="R16" s="38">
        <v>63382.55</v>
      </c>
      <c r="S16" s="20">
        <v>13933.7</v>
      </c>
      <c r="T16" s="39">
        <v>3885.9</v>
      </c>
      <c r="U16" s="22">
        <v>24240</v>
      </c>
      <c r="V16" s="22">
        <v>62406</v>
      </c>
      <c r="W16" s="32">
        <v>136172</v>
      </c>
      <c r="X16" s="10">
        <v>128994.1063</v>
      </c>
      <c r="Y16" s="10">
        <f t="shared" ref="Y16:Y37" si="17">I16/D16</f>
        <v>0.280107084295419</v>
      </c>
      <c r="Z16" s="10">
        <f t="shared" si="1"/>
        <v>38151.5041020966</v>
      </c>
      <c r="AA16" s="10">
        <f t="shared" si="2"/>
        <v>0.86918869644485</v>
      </c>
      <c r="AB16" s="10">
        <f t="shared" si="3"/>
        <v>0.0270226982680036</v>
      </c>
      <c r="AC16" s="10">
        <f t="shared" si="4"/>
        <v>0.226043569922699</v>
      </c>
      <c r="AD16" s="10">
        <f t="shared" si="5"/>
        <v>0.0528611996787471</v>
      </c>
      <c r="AE16" s="10">
        <f t="shared" si="6"/>
        <v>7.08280042680532</v>
      </c>
      <c r="AF16" s="10">
        <f t="shared" si="7"/>
        <v>0.732088746109828</v>
      </c>
      <c r="AG16" s="10">
        <f t="shared" si="8"/>
        <v>0.150148579459894</v>
      </c>
      <c r="AH16" s="10">
        <f t="shared" si="9"/>
        <v>0.0431650670950038</v>
      </c>
      <c r="AI16" s="10">
        <f t="shared" si="10"/>
        <v>1337.80487804878</v>
      </c>
      <c r="AJ16" s="10">
        <f t="shared" si="16"/>
        <v>2.12102365893652</v>
      </c>
      <c r="AK16" s="10">
        <f t="shared" si="12"/>
        <v>19.9179905365123</v>
      </c>
      <c r="AL16" s="10">
        <f t="shared" si="13"/>
        <v>0.466275139711542</v>
      </c>
      <c r="AM16" s="10">
        <f t="shared" si="14"/>
        <v>0.130037144864973</v>
      </c>
      <c r="AN16" s="10">
        <f t="shared" si="15"/>
        <v>2.57450495049505</v>
      </c>
    </row>
    <row r="17" ht="16" spans="1:40">
      <c r="A17" s="14">
        <v>2018</v>
      </c>
      <c r="B17" s="15">
        <v>110000</v>
      </c>
      <c r="C17" s="16" t="s">
        <v>41</v>
      </c>
      <c r="D17" s="24">
        <v>33106</v>
      </c>
      <c r="E17" s="25">
        <v>2192</v>
      </c>
      <c r="F17" s="26">
        <v>1.64</v>
      </c>
      <c r="G17" s="27">
        <v>1909</v>
      </c>
      <c r="H17" s="10">
        <v>594933</v>
      </c>
      <c r="I17" s="30">
        <v>7910.0658</v>
      </c>
      <c r="J17" s="31">
        <v>7410.98</v>
      </c>
      <c r="K17" s="32">
        <v>18707700.8</v>
      </c>
      <c r="L17" s="10">
        <v>1189.6</v>
      </c>
      <c r="M17" s="10">
        <v>27295.977</v>
      </c>
      <c r="N17" s="10">
        <v>4957.82</v>
      </c>
      <c r="O17" s="10">
        <v>2153.3897</v>
      </c>
      <c r="P17" s="19">
        <v>22255.8</v>
      </c>
      <c r="Q17" s="19">
        <v>20873.3</v>
      </c>
      <c r="R17" s="38">
        <v>66766.98</v>
      </c>
      <c r="S17" s="20">
        <v>14422.3</v>
      </c>
      <c r="T17" s="39">
        <v>4139.9</v>
      </c>
      <c r="U17" s="22">
        <v>26490</v>
      </c>
      <c r="V17" s="22">
        <v>67990</v>
      </c>
      <c r="W17" s="32">
        <v>150962</v>
      </c>
      <c r="X17" s="10">
        <v>140211.2419</v>
      </c>
      <c r="Y17" s="10">
        <f t="shared" si="17"/>
        <v>0.238931486739564</v>
      </c>
      <c r="Z17" s="10">
        <f t="shared" si="1"/>
        <v>36086.0666058394</v>
      </c>
      <c r="AA17" s="10">
        <f t="shared" si="2"/>
        <v>0.870894160583942</v>
      </c>
      <c r="AB17" s="10">
        <f t="shared" si="3"/>
        <v>0.0271411040145985</v>
      </c>
      <c r="AC17" s="10">
        <f t="shared" si="4"/>
        <v>0.2238560985924</v>
      </c>
      <c r="AD17" s="10">
        <f t="shared" si="5"/>
        <v>0.0565084903038724</v>
      </c>
      <c r="AE17" s="10">
        <f t="shared" si="6"/>
        <v>7.08137239514595</v>
      </c>
      <c r="AF17" s="10">
        <f t="shared" si="7"/>
        <v>0.824502416480396</v>
      </c>
      <c r="AG17" s="10">
        <f t="shared" si="8"/>
        <v>0.149755935479973</v>
      </c>
      <c r="AH17" s="10">
        <f t="shared" si="9"/>
        <v>0.0650452999456292</v>
      </c>
      <c r="AI17" s="10">
        <f t="shared" si="10"/>
        <v>1336.58536585366</v>
      </c>
      <c r="AJ17" s="10">
        <f t="shared" si="16"/>
        <v>2.01676372862925</v>
      </c>
      <c r="AK17" s="10">
        <f t="shared" si="12"/>
        <v>19.9565840370592</v>
      </c>
      <c r="AL17" s="10">
        <f t="shared" si="13"/>
        <v>0.435640065244971</v>
      </c>
      <c r="AM17" s="10">
        <f t="shared" si="14"/>
        <v>0.125049839908174</v>
      </c>
      <c r="AN17" s="10">
        <f t="shared" si="15"/>
        <v>2.56662891657229</v>
      </c>
    </row>
    <row r="18" ht="16" spans="1:40">
      <c r="A18" s="14">
        <v>2019</v>
      </c>
      <c r="B18" s="15">
        <v>110000</v>
      </c>
      <c r="C18" s="16" t="s">
        <v>41</v>
      </c>
      <c r="D18" s="24">
        <v>35445.1</v>
      </c>
      <c r="E18" s="25">
        <v>2190</v>
      </c>
      <c r="F18" s="26">
        <v>1.64</v>
      </c>
      <c r="G18" s="27">
        <v>1913</v>
      </c>
      <c r="H18" s="10">
        <v>601545</v>
      </c>
      <c r="I18" s="30">
        <v>7712.314155</v>
      </c>
      <c r="J18" s="31">
        <v>7300.94</v>
      </c>
      <c r="K18" s="32">
        <v>22335870</v>
      </c>
      <c r="L18" s="10">
        <v>1183.5</v>
      </c>
      <c r="M18" s="10">
        <v>28729.269</v>
      </c>
      <c r="N18" s="10">
        <v>5695.28</v>
      </c>
      <c r="O18" s="10">
        <v>3142.0945</v>
      </c>
      <c r="P18" s="19">
        <v>22365.9</v>
      </c>
      <c r="Q18" s="19">
        <v>22808.4</v>
      </c>
      <c r="R18" s="38">
        <v>73575.94</v>
      </c>
      <c r="S18" s="20">
        <v>15063.7</v>
      </c>
      <c r="T18" s="39">
        <v>4243.3</v>
      </c>
      <c r="U18" s="22">
        <v>28928</v>
      </c>
      <c r="V18" s="22">
        <v>73849</v>
      </c>
      <c r="W18" s="32">
        <v>161776</v>
      </c>
      <c r="X18" s="10">
        <v>164220</v>
      </c>
      <c r="Y18" s="10">
        <f t="shared" si="17"/>
        <v>0.217584776316049</v>
      </c>
      <c r="Z18" s="10">
        <f t="shared" si="1"/>
        <v>35216.046369863</v>
      </c>
      <c r="AA18" s="10">
        <f t="shared" si="2"/>
        <v>0.87351598173516</v>
      </c>
      <c r="AB18" s="10">
        <f t="shared" si="3"/>
        <v>0.0274678082191781</v>
      </c>
      <c r="AC18" s="10">
        <f t="shared" si="4"/>
        <v>0.205978823589156</v>
      </c>
      <c r="AD18" s="10">
        <f t="shared" si="5"/>
        <v>0.0630153956400179</v>
      </c>
      <c r="AE18" s="10">
        <f t="shared" si="6"/>
        <v>7.07623142895404</v>
      </c>
      <c r="AF18" s="10">
        <f t="shared" si="7"/>
        <v>0.810528648529698</v>
      </c>
      <c r="AG18" s="10">
        <f t="shared" si="8"/>
        <v>0.160678909073469</v>
      </c>
      <c r="AH18" s="10">
        <f t="shared" si="9"/>
        <v>0.088646794620413</v>
      </c>
      <c r="AI18" s="10">
        <f t="shared" si="10"/>
        <v>1335.36585365854</v>
      </c>
      <c r="AJ18" s="10">
        <f t="shared" si="16"/>
        <v>2.07577182741761</v>
      </c>
      <c r="AK18" s="10">
        <f t="shared" si="12"/>
        <v>20.0501769246508</v>
      </c>
      <c r="AL18" s="10">
        <f t="shared" si="13"/>
        <v>0.42498681058877</v>
      </c>
      <c r="AM18" s="10">
        <f t="shared" si="14"/>
        <v>0.119714713740404</v>
      </c>
      <c r="AN18" s="10">
        <f t="shared" si="15"/>
        <v>2.55285536504425</v>
      </c>
    </row>
    <row r="19" ht="16" spans="1:40">
      <c r="A19" s="14">
        <v>2020</v>
      </c>
      <c r="B19" s="15">
        <v>110000</v>
      </c>
      <c r="C19" s="16" t="s">
        <v>41</v>
      </c>
      <c r="D19" s="24">
        <v>35943.3</v>
      </c>
      <c r="E19" s="25">
        <v>2189</v>
      </c>
      <c r="F19" s="26">
        <v>1.64</v>
      </c>
      <c r="G19" s="27">
        <v>1916</v>
      </c>
      <c r="H19" s="10">
        <v>2492185</v>
      </c>
      <c r="I19" s="30">
        <v>7881.98506641</v>
      </c>
      <c r="J19" s="31">
        <v>7014.45</v>
      </c>
      <c r="K19" s="32">
        <v>23265792.6</v>
      </c>
      <c r="L19" s="10">
        <v>1163.8</v>
      </c>
      <c r="M19" s="10">
        <v>23208.912</v>
      </c>
      <c r="N19" s="10">
        <v>6316.16</v>
      </c>
      <c r="O19" s="10">
        <v>3727.8709</v>
      </c>
      <c r="P19" s="19">
        <v>22264</v>
      </c>
      <c r="Q19" s="19">
        <v>22202.9</v>
      </c>
      <c r="R19" s="38">
        <v>81035.19</v>
      </c>
      <c r="S19" s="20">
        <v>13716.4</v>
      </c>
      <c r="T19" s="39">
        <v>4255.1</v>
      </c>
      <c r="U19" s="22">
        <v>30126</v>
      </c>
      <c r="V19" s="22">
        <v>75602</v>
      </c>
      <c r="W19" s="32">
        <v>164158</v>
      </c>
      <c r="X19" s="10">
        <v>164889.47</v>
      </c>
      <c r="Y19" s="10">
        <f t="shared" si="17"/>
        <v>0.219289410443949</v>
      </c>
      <c r="Z19" s="10">
        <f t="shared" si="1"/>
        <v>36007.2410525811</v>
      </c>
      <c r="AA19" s="10">
        <f t="shared" si="2"/>
        <v>0.875285518501599</v>
      </c>
      <c r="AB19" s="10">
        <f t="shared" si="3"/>
        <v>0.113850388305162</v>
      </c>
      <c r="AC19" s="10">
        <f t="shared" si="4"/>
        <v>0.195153199622739</v>
      </c>
      <c r="AD19" s="10">
        <f t="shared" si="5"/>
        <v>0.0647291500780396</v>
      </c>
      <c r="AE19" s="10">
        <f t="shared" si="6"/>
        <v>7.05944579222257</v>
      </c>
      <c r="AF19" s="10">
        <f t="shared" si="7"/>
        <v>0.645708991661867</v>
      </c>
      <c r="AG19" s="10">
        <f t="shared" si="8"/>
        <v>0.175725656798346</v>
      </c>
      <c r="AH19" s="10">
        <f t="shared" si="9"/>
        <v>0.103715321075138</v>
      </c>
      <c r="AI19" s="10">
        <f t="shared" si="10"/>
        <v>1334.75609756098</v>
      </c>
      <c r="AJ19" s="10">
        <f t="shared" si="16"/>
        <v>2.25452838220197</v>
      </c>
      <c r="AK19" s="10">
        <f t="shared" si="12"/>
        <v>20.0187044931653</v>
      </c>
      <c r="AL19" s="10">
        <f t="shared" si="13"/>
        <v>0.381612150247751</v>
      </c>
      <c r="AM19" s="10">
        <f t="shared" si="14"/>
        <v>0.11838367651273</v>
      </c>
      <c r="AN19" s="10">
        <f t="shared" si="15"/>
        <v>2.50952665471686</v>
      </c>
    </row>
    <row r="20" ht="16" spans="1:40">
      <c r="A20" s="14">
        <v>2021</v>
      </c>
      <c r="B20" s="15">
        <v>110000</v>
      </c>
      <c r="C20" s="16" t="s">
        <v>41</v>
      </c>
      <c r="D20" s="24">
        <v>41045.6</v>
      </c>
      <c r="E20" s="25">
        <v>2189</v>
      </c>
      <c r="F20" s="26">
        <v>1.64</v>
      </c>
      <c r="G20" s="27">
        <v>1916</v>
      </c>
      <c r="H20" s="10">
        <v>616978</v>
      </c>
      <c r="I20" s="30">
        <v>8268.20233466409</v>
      </c>
      <c r="J20" s="31">
        <v>7096.33</v>
      </c>
      <c r="K20" s="32">
        <v>26293207.7</v>
      </c>
      <c r="L20" s="10">
        <v>1158</v>
      </c>
      <c r="M20" s="10">
        <v>30385.92</v>
      </c>
      <c r="N20" s="10">
        <v>7005.65</v>
      </c>
      <c r="O20" s="10">
        <v>795.96</v>
      </c>
      <c r="P20" s="19">
        <v>22320</v>
      </c>
      <c r="Q20" s="19">
        <v>23425</v>
      </c>
      <c r="R20" s="38">
        <v>86077.5</v>
      </c>
      <c r="S20" s="20">
        <v>14867.7</v>
      </c>
      <c r="T20" s="39">
        <v>5855.1</v>
      </c>
      <c r="U20" s="22">
        <v>33303</v>
      </c>
      <c r="V20" s="22">
        <v>81518</v>
      </c>
      <c r="W20" s="32">
        <v>187526</v>
      </c>
      <c r="X20" s="10">
        <v>183980</v>
      </c>
      <c r="Y20" s="10">
        <f t="shared" si="17"/>
        <v>0.201439431623952</v>
      </c>
      <c r="Z20" s="10">
        <f t="shared" si="1"/>
        <v>37771.5958641576</v>
      </c>
      <c r="AA20" s="10">
        <f t="shared" si="2"/>
        <v>0.875285518501599</v>
      </c>
      <c r="AB20" s="10">
        <f t="shared" si="3"/>
        <v>0.0281853814527181</v>
      </c>
      <c r="AC20" s="10">
        <f t="shared" si="4"/>
        <v>0.172888933283957</v>
      </c>
      <c r="AD20" s="10">
        <f t="shared" si="5"/>
        <v>0.0640585292942484</v>
      </c>
      <c r="AE20" s="10">
        <f t="shared" si="6"/>
        <v>7.05444965813294</v>
      </c>
      <c r="AF20" s="10">
        <f t="shared" si="7"/>
        <v>0.740296645681876</v>
      </c>
      <c r="AG20" s="10">
        <f t="shared" si="8"/>
        <v>0.17067968308418</v>
      </c>
      <c r="AH20" s="10">
        <f t="shared" si="9"/>
        <v>0.0193920907478512</v>
      </c>
      <c r="AI20" s="10">
        <f t="shared" si="10"/>
        <v>1334.75609756098</v>
      </c>
      <c r="AJ20" s="10">
        <f t="shared" si="16"/>
        <v>2.09711881419689</v>
      </c>
      <c r="AK20" s="10">
        <f t="shared" si="12"/>
        <v>20.0747975236019</v>
      </c>
      <c r="AL20" s="10">
        <f t="shared" si="13"/>
        <v>0.362223965540764</v>
      </c>
      <c r="AM20" s="10">
        <f t="shared" si="14"/>
        <v>0.142648663925001</v>
      </c>
      <c r="AN20" s="10">
        <f t="shared" si="15"/>
        <v>2.44776746839624</v>
      </c>
    </row>
    <row r="21" ht="16" spans="1:40">
      <c r="A21" s="14">
        <v>2022</v>
      </c>
      <c r="B21" s="15">
        <v>110000</v>
      </c>
      <c r="C21" s="16" t="s">
        <v>41</v>
      </c>
      <c r="D21" s="24">
        <v>41540.9</v>
      </c>
      <c r="E21" s="25">
        <v>2184</v>
      </c>
      <c r="F21" s="26">
        <v>1.64</v>
      </c>
      <c r="G21" s="27">
        <v>1913</v>
      </c>
      <c r="H21" s="10">
        <v>626590</v>
      </c>
      <c r="I21" s="30">
        <v>8565.857618712</v>
      </c>
      <c r="J21" s="31">
        <v>7358.08</v>
      </c>
      <c r="K21" s="32">
        <v>28433394.4</v>
      </c>
      <c r="L21" s="10">
        <v>1132.1</v>
      </c>
      <c r="M21" s="10">
        <v>36730.559</v>
      </c>
      <c r="N21" s="10">
        <v>7947.51</v>
      </c>
      <c r="O21" s="10">
        <v>842.5973</v>
      </c>
      <c r="P21" s="35">
        <v>22363</v>
      </c>
      <c r="Q21" s="35">
        <v>18918</v>
      </c>
      <c r="R21" s="38">
        <v>95496.89</v>
      </c>
      <c r="S21" s="20">
        <v>13794.2</v>
      </c>
      <c r="T21" s="39">
        <v>5115.5</v>
      </c>
      <c r="U21" s="22">
        <v>34754</v>
      </c>
      <c r="V21" s="22">
        <v>84023</v>
      </c>
      <c r="W21" s="32">
        <v>189988</v>
      </c>
      <c r="X21" s="10">
        <v>190313</v>
      </c>
      <c r="Y21" s="10">
        <f t="shared" si="17"/>
        <v>0.206202985941855</v>
      </c>
      <c r="Z21" s="10">
        <f t="shared" si="1"/>
        <v>39220.9597926374</v>
      </c>
      <c r="AA21" s="10">
        <f t="shared" si="2"/>
        <v>0.875915750915751</v>
      </c>
      <c r="AB21" s="10">
        <f t="shared" si="3"/>
        <v>0.0286900183150183</v>
      </c>
      <c r="AC21" s="10">
        <f t="shared" si="4"/>
        <v>0.177128564860174</v>
      </c>
      <c r="AD21" s="10">
        <f t="shared" si="5"/>
        <v>0.0684467462187868</v>
      </c>
      <c r="AE21" s="10">
        <f t="shared" si="6"/>
        <v>7.03182959408406</v>
      </c>
      <c r="AF21" s="10">
        <f t="shared" si="7"/>
        <v>0.884202292198773</v>
      </c>
      <c r="AG21" s="10">
        <f t="shared" si="8"/>
        <v>0.191317713386085</v>
      </c>
      <c r="AH21" s="10">
        <f t="shared" si="9"/>
        <v>0.0202835590947717</v>
      </c>
      <c r="AI21" s="10">
        <f t="shared" si="10"/>
        <v>1331.70731707317</v>
      </c>
      <c r="AJ21" s="10">
        <f t="shared" si="16"/>
        <v>2.29886425185781</v>
      </c>
      <c r="AK21" s="10">
        <f t="shared" si="12"/>
        <v>19.8630322151998</v>
      </c>
      <c r="AL21" s="10">
        <f t="shared" si="13"/>
        <v>0.332063099258803</v>
      </c>
      <c r="AM21" s="10">
        <f t="shared" si="14"/>
        <v>0.123143696934828</v>
      </c>
      <c r="AN21" s="10">
        <f t="shared" si="15"/>
        <v>2.4176497669333</v>
      </c>
    </row>
    <row r="22" ht="16" spans="1:40">
      <c r="A22" s="14">
        <v>2013</v>
      </c>
      <c r="B22" s="15">
        <v>350000</v>
      </c>
      <c r="C22" s="16" t="s">
        <v>42</v>
      </c>
      <c r="D22" s="24">
        <v>22503.8</v>
      </c>
      <c r="E22" s="25">
        <v>3885</v>
      </c>
      <c r="F22" s="26">
        <v>12.4</v>
      </c>
      <c r="G22" s="27">
        <v>2362</v>
      </c>
      <c r="H22" s="10">
        <v>730510</v>
      </c>
      <c r="I22" s="30">
        <v>15327.4</v>
      </c>
      <c r="J22" s="31">
        <v>3067.88</v>
      </c>
      <c r="K22" s="24">
        <v>3140600</v>
      </c>
      <c r="L22" s="10">
        <v>2200</v>
      </c>
      <c r="M22" s="10">
        <v>10486.382</v>
      </c>
      <c r="N22" s="10">
        <v>44.69</v>
      </c>
      <c r="O22" s="10">
        <v>738.4464</v>
      </c>
      <c r="P22" s="19">
        <v>99535</v>
      </c>
      <c r="Q22" s="19">
        <v>96673.9</v>
      </c>
      <c r="R22" s="38">
        <v>24487.53</v>
      </c>
      <c r="S22" s="20">
        <v>8275.3</v>
      </c>
      <c r="T22" s="39">
        <v>9650.2</v>
      </c>
      <c r="U22" s="22">
        <v>11405</v>
      </c>
      <c r="V22" s="22">
        <v>28174</v>
      </c>
      <c r="W22" s="32">
        <v>58254.83</v>
      </c>
      <c r="X22" s="10">
        <v>58145</v>
      </c>
      <c r="Y22" s="10">
        <f t="shared" si="17"/>
        <v>0.681102747091602</v>
      </c>
      <c r="Z22" s="10">
        <f t="shared" si="1"/>
        <v>39452.7670527671</v>
      </c>
      <c r="AA22" s="10">
        <f t="shared" si="2"/>
        <v>0.607979407979408</v>
      </c>
      <c r="AB22" s="10">
        <f t="shared" si="3"/>
        <v>0.0188033462033462</v>
      </c>
      <c r="AC22" s="10">
        <f t="shared" si="4"/>
        <v>0.136327198073214</v>
      </c>
      <c r="AD22" s="10">
        <f t="shared" si="5"/>
        <v>0.0139558652316498</v>
      </c>
      <c r="AE22" s="10">
        <f t="shared" si="6"/>
        <v>7.69621263934641</v>
      </c>
      <c r="AF22" s="10">
        <f t="shared" si="7"/>
        <v>0.465982722917907</v>
      </c>
      <c r="AG22" s="10">
        <f t="shared" si="8"/>
        <v>0.00198588682800238</v>
      </c>
      <c r="AH22" s="10">
        <f t="shared" si="9"/>
        <v>0.0328142980296661</v>
      </c>
      <c r="AI22" s="10">
        <f t="shared" si="10"/>
        <v>313.306451612903</v>
      </c>
      <c r="AJ22" s="10">
        <f t="shared" si="16"/>
        <v>1.0881508900719</v>
      </c>
      <c r="AK22" s="10">
        <f t="shared" si="12"/>
        <v>22.9873633581693</v>
      </c>
      <c r="AL22" s="10">
        <f t="shared" si="13"/>
        <v>0.367729005767915</v>
      </c>
      <c r="AM22" s="10">
        <f t="shared" si="14"/>
        <v>0.428825353940223</v>
      </c>
      <c r="AN22" s="10">
        <f t="shared" si="15"/>
        <v>2.47032003507234</v>
      </c>
    </row>
    <row r="23" ht="16" spans="1:40">
      <c r="A23" s="14">
        <v>2014</v>
      </c>
      <c r="B23" s="15">
        <v>350000</v>
      </c>
      <c r="C23" s="16" t="s">
        <v>42</v>
      </c>
      <c r="D23" s="24">
        <v>24942.1</v>
      </c>
      <c r="E23" s="25">
        <v>3945</v>
      </c>
      <c r="F23" s="26">
        <v>12.4</v>
      </c>
      <c r="G23" s="27">
        <v>2446</v>
      </c>
      <c r="H23" s="10">
        <v>748480</v>
      </c>
      <c r="I23" s="30">
        <v>18177.86</v>
      </c>
      <c r="J23" s="31">
        <v>3304.56</v>
      </c>
      <c r="K23" s="24">
        <v>3550300</v>
      </c>
      <c r="L23" s="10">
        <v>2219</v>
      </c>
      <c r="M23" s="10">
        <v>10897.809</v>
      </c>
      <c r="N23" s="10">
        <v>39.19</v>
      </c>
      <c r="O23" s="10">
        <v>856.9348</v>
      </c>
      <c r="P23" s="19">
        <v>101190</v>
      </c>
      <c r="Q23" s="19">
        <v>111757</v>
      </c>
      <c r="R23" s="38">
        <v>28417.7</v>
      </c>
      <c r="S23" s="20">
        <v>9346.7</v>
      </c>
      <c r="T23" s="39">
        <v>10682.2</v>
      </c>
      <c r="U23" s="22">
        <v>12650</v>
      </c>
      <c r="V23" s="22">
        <v>30722</v>
      </c>
      <c r="W23" s="32">
        <v>63708.99</v>
      </c>
      <c r="X23" s="10">
        <v>63472</v>
      </c>
      <c r="Y23" s="10">
        <f t="shared" si="17"/>
        <v>0.728802306141023</v>
      </c>
      <c r="Z23" s="10">
        <f t="shared" si="1"/>
        <v>46078.2256020279</v>
      </c>
      <c r="AA23" s="10">
        <f t="shared" si="2"/>
        <v>0.620025348542459</v>
      </c>
      <c r="AB23" s="10">
        <f t="shared" si="3"/>
        <v>0.0189728770595691</v>
      </c>
      <c r="AC23" s="10">
        <f t="shared" si="4"/>
        <v>0.132489245091632</v>
      </c>
      <c r="AD23" s="10">
        <f t="shared" si="5"/>
        <v>0.0142341663292185</v>
      </c>
      <c r="AE23" s="10">
        <f t="shared" si="6"/>
        <v>7.70481192293259</v>
      </c>
      <c r="AF23" s="10">
        <f t="shared" si="7"/>
        <v>0.436924276624663</v>
      </c>
      <c r="AG23" s="10">
        <f t="shared" si="8"/>
        <v>0.00157123898949968</v>
      </c>
      <c r="AH23" s="10">
        <f t="shared" si="9"/>
        <v>0.0343569627256727</v>
      </c>
      <c r="AI23" s="10">
        <f t="shared" si="10"/>
        <v>318.145161290323</v>
      </c>
      <c r="AJ23" s="10">
        <f t="shared" si="16"/>
        <v>1.13934672701978</v>
      </c>
      <c r="AK23" s="10">
        <f t="shared" si="12"/>
        <v>23.1488373670589</v>
      </c>
      <c r="AL23" s="10">
        <f t="shared" si="13"/>
        <v>0.374735888317343</v>
      </c>
      <c r="AM23" s="10">
        <f t="shared" si="14"/>
        <v>0.428279896239691</v>
      </c>
      <c r="AN23" s="10">
        <f t="shared" si="15"/>
        <v>2.42861660079051</v>
      </c>
    </row>
    <row r="24" ht="16" spans="1:40">
      <c r="A24" s="14">
        <v>2015</v>
      </c>
      <c r="B24" s="15">
        <v>350000</v>
      </c>
      <c r="C24" s="16" t="s">
        <v>42</v>
      </c>
      <c r="D24" s="24">
        <v>26819.5</v>
      </c>
      <c r="E24" s="25">
        <v>3984</v>
      </c>
      <c r="F24" s="26">
        <v>12.4</v>
      </c>
      <c r="G24" s="27">
        <v>2519</v>
      </c>
      <c r="H24" s="10">
        <v>758452</v>
      </c>
      <c r="I24" s="30">
        <v>21301.38</v>
      </c>
      <c r="J24" s="31">
        <v>3998.9</v>
      </c>
      <c r="K24" s="24">
        <v>3929298</v>
      </c>
      <c r="L24" s="10">
        <v>2255</v>
      </c>
      <c r="M24" s="10">
        <v>10516.4</v>
      </c>
      <c r="N24" s="10">
        <v>52.14</v>
      </c>
      <c r="O24" s="10">
        <v>1077.839</v>
      </c>
      <c r="P24" s="19">
        <v>104585</v>
      </c>
      <c r="Q24" s="19">
        <v>111041</v>
      </c>
      <c r="R24" s="38">
        <v>32132.96</v>
      </c>
      <c r="S24" s="20">
        <v>12273</v>
      </c>
      <c r="T24" s="39">
        <v>11008.7</v>
      </c>
      <c r="U24" s="22">
        <v>13793</v>
      </c>
      <c r="V24" s="22">
        <v>33275</v>
      </c>
      <c r="W24" s="32">
        <v>67649.04</v>
      </c>
      <c r="X24" s="10">
        <v>67965.5199</v>
      </c>
      <c r="Y24" s="10">
        <f t="shared" si="17"/>
        <v>0.794249706370365</v>
      </c>
      <c r="Z24" s="10">
        <f t="shared" si="1"/>
        <v>53467.3192771084</v>
      </c>
      <c r="AA24" s="10">
        <f t="shared" si="2"/>
        <v>0.632279116465863</v>
      </c>
      <c r="AB24" s="10">
        <f t="shared" si="3"/>
        <v>0.0190374497991968</v>
      </c>
      <c r="AC24" s="10">
        <f t="shared" si="4"/>
        <v>0.149104196573389</v>
      </c>
      <c r="AD24" s="10">
        <f t="shared" si="5"/>
        <v>0.0146508995320569</v>
      </c>
      <c r="AE24" s="10">
        <f t="shared" si="6"/>
        <v>7.72090525193678</v>
      </c>
      <c r="AF24" s="10">
        <f t="shared" si="7"/>
        <v>0.392117675571879</v>
      </c>
      <c r="AG24" s="10">
        <f t="shared" si="8"/>
        <v>0.00194410783198792</v>
      </c>
      <c r="AH24" s="10">
        <f t="shared" si="9"/>
        <v>0.0401886314062529</v>
      </c>
      <c r="AI24" s="10">
        <f t="shared" si="10"/>
        <v>321.290322580645</v>
      </c>
      <c r="AJ24" s="10">
        <f t="shared" si="16"/>
        <v>1.1981192788829</v>
      </c>
      <c r="AK24" s="10">
        <f t="shared" si="12"/>
        <v>23.1754101983518</v>
      </c>
      <c r="AL24" s="10">
        <f t="shared" si="13"/>
        <v>0.457614795204981</v>
      </c>
      <c r="AM24" s="10">
        <f t="shared" si="14"/>
        <v>0.410473722478048</v>
      </c>
      <c r="AN24" s="10">
        <f t="shared" si="15"/>
        <v>2.41245559341695</v>
      </c>
    </row>
    <row r="25" ht="16" spans="1:40">
      <c r="A25" s="14">
        <v>2016</v>
      </c>
      <c r="B25" s="15">
        <v>350000</v>
      </c>
      <c r="C25" s="16" t="s">
        <v>42</v>
      </c>
      <c r="D25" s="24">
        <v>29609.4</v>
      </c>
      <c r="E25" s="25">
        <v>4016</v>
      </c>
      <c r="F25" s="26">
        <v>12.4</v>
      </c>
      <c r="G25" s="27">
        <v>2586</v>
      </c>
      <c r="H25" s="10">
        <v>756392</v>
      </c>
      <c r="I25" s="30">
        <v>23237.35</v>
      </c>
      <c r="J25" s="31">
        <v>4271.44</v>
      </c>
      <c r="K25" s="24">
        <v>4542920</v>
      </c>
      <c r="L25" s="10">
        <v>2248</v>
      </c>
      <c r="M25" s="10">
        <v>10416.866</v>
      </c>
      <c r="N25" s="10">
        <v>43.22</v>
      </c>
      <c r="O25" s="10">
        <v>889.2112</v>
      </c>
      <c r="P25" s="19">
        <v>106757</v>
      </c>
      <c r="Q25" s="19">
        <v>120352</v>
      </c>
      <c r="R25" s="38">
        <v>36356.06</v>
      </c>
      <c r="S25" s="20">
        <v>13703</v>
      </c>
      <c r="T25" s="39">
        <v>11712</v>
      </c>
      <c r="U25" s="22">
        <v>14999</v>
      </c>
      <c r="V25" s="22">
        <v>36014</v>
      </c>
      <c r="W25" s="32">
        <v>74023.58</v>
      </c>
      <c r="X25" s="10">
        <v>74707</v>
      </c>
      <c r="Y25" s="10">
        <f t="shared" si="17"/>
        <v>0.784796382229967</v>
      </c>
      <c r="Z25" s="10">
        <f t="shared" si="1"/>
        <v>57861.9272908367</v>
      </c>
      <c r="AA25" s="10">
        <f t="shared" si="2"/>
        <v>0.643924302788845</v>
      </c>
      <c r="AB25" s="10">
        <f t="shared" si="3"/>
        <v>0.0188344621513944</v>
      </c>
      <c r="AC25" s="10">
        <f t="shared" si="4"/>
        <v>0.144259593237283</v>
      </c>
      <c r="AD25" s="10">
        <f t="shared" si="5"/>
        <v>0.0153428303173992</v>
      </c>
      <c r="AE25" s="10">
        <f t="shared" si="6"/>
        <v>7.71779621101358</v>
      </c>
      <c r="AF25" s="10">
        <f t="shared" si="7"/>
        <v>0.351809425385182</v>
      </c>
      <c r="AG25" s="10">
        <f t="shared" si="8"/>
        <v>0.0014596715907786</v>
      </c>
      <c r="AH25" s="10">
        <f t="shared" si="9"/>
        <v>0.03003138192601</v>
      </c>
      <c r="AI25" s="10">
        <f t="shared" si="10"/>
        <v>323.870967741935</v>
      </c>
      <c r="AJ25" s="10">
        <f t="shared" si="16"/>
        <v>1.22785534323559</v>
      </c>
      <c r="AK25" s="10">
        <f t="shared" si="12"/>
        <v>23.2764865639816</v>
      </c>
      <c r="AL25" s="10">
        <f t="shared" si="13"/>
        <v>0.462792221389153</v>
      </c>
      <c r="AM25" s="10">
        <f t="shared" si="14"/>
        <v>0.395550061804697</v>
      </c>
      <c r="AN25" s="10">
        <f t="shared" si="15"/>
        <v>2.40109340622708</v>
      </c>
    </row>
    <row r="26" ht="16" spans="1:40">
      <c r="A26" s="14">
        <v>2017</v>
      </c>
      <c r="B26" s="15">
        <v>350000</v>
      </c>
      <c r="C26" s="16" t="s">
        <v>42</v>
      </c>
      <c r="D26" s="24">
        <v>33842.4</v>
      </c>
      <c r="E26" s="25">
        <v>4065</v>
      </c>
      <c r="F26" s="26">
        <v>12.4</v>
      </c>
      <c r="G26" s="27">
        <v>2674</v>
      </c>
      <c r="H26" s="10">
        <v>750987</v>
      </c>
      <c r="I26" s="30">
        <v>26416.28</v>
      </c>
      <c r="J26" s="31">
        <v>4677.91</v>
      </c>
      <c r="K26" s="24">
        <v>5430888</v>
      </c>
      <c r="L26" s="10">
        <v>2236</v>
      </c>
      <c r="M26" s="10">
        <v>11546.931</v>
      </c>
      <c r="N26" s="10">
        <v>75.46</v>
      </c>
      <c r="O26" s="10">
        <v>1301.8074</v>
      </c>
      <c r="P26" s="19">
        <v>108012</v>
      </c>
      <c r="Q26" s="19">
        <v>132227</v>
      </c>
      <c r="R26" s="38">
        <v>40484.93</v>
      </c>
      <c r="S26" s="20">
        <v>15393.9</v>
      </c>
      <c r="T26" s="39">
        <v>12864.9</v>
      </c>
      <c r="U26" s="22">
        <v>16335</v>
      </c>
      <c r="V26" s="22">
        <v>39001</v>
      </c>
      <c r="W26" s="32">
        <v>83758.05</v>
      </c>
      <c r="X26" s="10">
        <v>82677</v>
      </c>
      <c r="Y26" s="10">
        <f t="shared" si="17"/>
        <v>0.780567572039808</v>
      </c>
      <c r="Z26" s="10">
        <f t="shared" si="1"/>
        <v>64984.6986469865</v>
      </c>
      <c r="AA26" s="10">
        <f t="shared" si="2"/>
        <v>0.657810578105781</v>
      </c>
      <c r="AB26" s="10">
        <f t="shared" si="3"/>
        <v>0.0184744649446494</v>
      </c>
      <c r="AC26" s="10">
        <f t="shared" si="4"/>
        <v>0.138226307826868</v>
      </c>
      <c r="AD26" s="10">
        <f t="shared" si="5"/>
        <v>0.0160475852776399</v>
      </c>
      <c r="AE26" s="10">
        <f t="shared" si="6"/>
        <v>7.71244383427499</v>
      </c>
      <c r="AF26" s="10">
        <f t="shared" si="7"/>
        <v>0.341197166867598</v>
      </c>
      <c r="AG26" s="10">
        <f t="shared" si="8"/>
        <v>0.00222974729924592</v>
      </c>
      <c r="AH26" s="10">
        <f t="shared" si="9"/>
        <v>0.0384667576767605</v>
      </c>
      <c r="AI26" s="10">
        <f t="shared" si="10"/>
        <v>327.822580645161</v>
      </c>
      <c r="AJ26" s="10">
        <f t="shared" si="16"/>
        <v>1.19627833723377</v>
      </c>
      <c r="AK26" s="10">
        <f t="shared" si="12"/>
        <v>23.3822730325975</v>
      </c>
      <c r="AL26" s="10">
        <f t="shared" si="13"/>
        <v>0.454870221970073</v>
      </c>
      <c r="AM26" s="10">
        <f t="shared" si="14"/>
        <v>0.380141479327707</v>
      </c>
      <c r="AN26" s="10">
        <f t="shared" si="15"/>
        <v>2.38757269666361</v>
      </c>
    </row>
    <row r="27" ht="16" spans="1:40">
      <c r="A27" s="14">
        <v>2018</v>
      </c>
      <c r="B27" s="15">
        <v>350000</v>
      </c>
      <c r="C27" s="16" t="s">
        <v>42</v>
      </c>
      <c r="D27" s="24">
        <v>38687.8</v>
      </c>
      <c r="E27" s="25">
        <v>4104</v>
      </c>
      <c r="F27" s="26">
        <v>12.4</v>
      </c>
      <c r="G27" s="27">
        <v>2749</v>
      </c>
      <c r="H27" s="10">
        <v>772361</v>
      </c>
      <c r="I27" s="30">
        <v>29454.1522</v>
      </c>
      <c r="J27" s="31">
        <v>4827.59</v>
      </c>
      <c r="K27" s="24">
        <v>6427935</v>
      </c>
      <c r="L27" s="10">
        <v>2222</v>
      </c>
      <c r="M27" s="10">
        <v>12401.49</v>
      </c>
      <c r="N27" s="10">
        <v>84.52</v>
      </c>
      <c r="O27" s="10">
        <v>2525.2689</v>
      </c>
      <c r="P27" s="19">
        <v>108901</v>
      </c>
      <c r="Q27" s="19">
        <v>136947</v>
      </c>
      <c r="R27" s="38">
        <v>45173.87</v>
      </c>
      <c r="S27" s="20">
        <v>17178.4</v>
      </c>
      <c r="T27" s="39">
        <v>14781</v>
      </c>
      <c r="U27" s="22">
        <v>17821</v>
      </c>
      <c r="V27" s="22">
        <v>42121</v>
      </c>
      <c r="W27" s="32">
        <v>94718.5</v>
      </c>
      <c r="X27" s="10">
        <v>91197.2491</v>
      </c>
      <c r="Y27" s="10">
        <f t="shared" si="17"/>
        <v>0.76132920972503</v>
      </c>
      <c r="Z27" s="10">
        <f t="shared" si="1"/>
        <v>71769.376705653</v>
      </c>
      <c r="AA27" s="10">
        <f t="shared" si="2"/>
        <v>0.669834307992203</v>
      </c>
      <c r="AB27" s="10">
        <f t="shared" si="3"/>
        <v>0.0188197124756335</v>
      </c>
      <c r="AC27" s="10">
        <f t="shared" si="4"/>
        <v>0.124783265008607</v>
      </c>
      <c r="AD27" s="10">
        <f t="shared" si="5"/>
        <v>0.0166148889313944</v>
      </c>
      <c r="AE27" s="10">
        <f t="shared" si="6"/>
        <v>7.70616297019958</v>
      </c>
      <c r="AF27" s="10">
        <f t="shared" si="7"/>
        <v>0.320552990865337</v>
      </c>
      <c r="AG27" s="10">
        <f t="shared" si="8"/>
        <v>0.00218466803488438</v>
      </c>
      <c r="AH27" s="10">
        <f t="shared" si="9"/>
        <v>0.0652730033757412</v>
      </c>
      <c r="AI27" s="10">
        <f t="shared" si="10"/>
        <v>330.967741935484</v>
      </c>
      <c r="AJ27" s="10">
        <f t="shared" si="16"/>
        <v>1.16765155940632</v>
      </c>
      <c r="AK27" s="10">
        <f t="shared" si="12"/>
        <v>23.4255437602616</v>
      </c>
      <c r="AL27" s="10">
        <f t="shared" si="13"/>
        <v>0.444026282187149</v>
      </c>
      <c r="AM27" s="10">
        <f t="shared" si="14"/>
        <v>0.382058426687483</v>
      </c>
      <c r="AN27" s="10">
        <f t="shared" si="15"/>
        <v>2.36355984512654</v>
      </c>
    </row>
    <row r="28" ht="16" spans="1:40">
      <c r="A28" s="14">
        <v>2019</v>
      </c>
      <c r="B28" s="15">
        <v>350000</v>
      </c>
      <c r="C28" s="16" t="s">
        <v>42</v>
      </c>
      <c r="D28" s="24">
        <v>42326.6</v>
      </c>
      <c r="E28" s="25">
        <v>4137</v>
      </c>
      <c r="F28" s="26">
        <v>12.4</v>
      </c>
      <c r="G28" s="27">
        <v>2808</v>
      </c>
      <c r="H28" s="10">
        <v>861231</v>
      </c>
      <c r="I28" s="30">
        <v>31191.9471798</v>
      </c>
      <c r="J28" s="31">
        <v>5040.72</v>
      </c>
      <c r="K28" s="24">
        <v>7537466</v>
      </c>
      <c r="L28" s="10">
        <v>2210</v>
      </c>
      <c r="M28" s="10">
        <v>13321.773</v>
      </c>
      <c r="N28" s="10">
        <v>139.59</v>
      </c>
      <c r="O28" s="10">
        <v>3881.4619</v>
      </c>
      <c r="P28" s="19">
        <v>109785</v>
      </c>
      <c r="Q28" s="19">
        <v>134419</v>
      </c>
      <c r="R28" s="38">
        <v>51396.64</v>
      </c>
      <c r="S28" s="20">
        <v>18896.8</v>
      </c>
      <c r="T28" s="39">
        <v>15654</v>
      </c>
      <c r="U28" s="22">
        <v>19568</v>
      </c>
      <c r="V28" s="22">
        <v>45620</v>
      </c>
      <c r="W28" s="32">
        <v>102721.95</v>
      </c>
      <c r="X28" s="10">
        <v>107139.25</v>
      </c>
      <c r="Y28" s="10">
        <f t="shared" si="17"/>
        <v>0.736934863178238</v>
      </c>
      <c r="Z28" s="10">
        <f t="shared" si="1"/>
        <v>75397.5034561276</v>
      </c>
      <c r="AA28" s="10">
        <f t="shared" si="2"/>
        <v>0.678752719361856</v>
      </c>
      <c r="AB28" s="10">
        <f t="shared" si="3"/>
        <v>0.0208177664974619</v>
      </c>
      <c r="AC28" s="10">
        <f t="shared" si="4"/>
        <v>0.119091068028143</v>
      </c>
      <c r="AD28" s="10">
        <f t="shared" si="5"/>
        <v>0.017807870228178</v>
      </c>
      <c r="AE28" s="10">
        <f t="shared" si="6"/>
        <v>7.7007477945118</v>
      </c>
      <c r="AF28" s="10">
        <f t="shared" si="7"/>
        <v>0.314737611809122</v>
      </c>
      <c r="AG28" s="10">
        <f t="shared" si="8"/>
        <v>0.00329792612683277</v>
      </c>
      <c r="AH28" s="10">
        <f t="shared" si="9"/>
        <v>0.091702662155713</v>
      </c>
      <c r="AI28" s="10">
        <f t="shared" si="10"/>
        <v>333.629032258065</v>
      </c>
      <c r="AJ28" s="10">
        <f t="shared" si="16"/>
        <v>1.21428699682942</v>
      </c>
      <c r="AK28" s="10">
        <f t="shared" si="12"/>
        <v>23.4149962528306</v>
      </c>
      <c r="AL28" s="10">
        <f t="shared" si="13"/>
        <v>0.446452112855746</v>
      </c>
      <c r="AM28" s="10">
        <f t="shared" si="14"/>
        <v>0.369838352241853</v>
      </c>
      <c r="AN28" s="10">
        <f t="shared" si="15"/>
        <v>2.33135731807032</v>
      </c>
    </row>
    <row r="29" ht="16" spans="1:40">
      <c r="A29" s="14">
        <v>2020</v>
      </c>
      <c r="B29" s="15">
        <v>350000</v>
      </c>
      <c r="C29" s="16" t="s">
        <v>42</v>
      </c>
      <c r="D29" s="24">
        <v>43608.6</v>
      </c>
      <c r="E29" s="25">
        <v>4161</v>
      </c>
      <c r="F29" s="26">
        <v>12.4</v>
      </c>
      <c r="G29" s="27">
        <v>2861</v>
      </c>
      <c r="H29" s="10">
        <v>1368465</v>
      </c>
      <c r="I29" s="30">
        <v>31067.1793910808</v>
      </c>
      <c r="J29" s="31">
        <v>5173.54</v>
      </c>
      <c r="K29" s="24">
        <v>8424072</v>
      </c>
      <c r="L29" s="10">
        <v>2206</v>
      </c>
      <c r="M29" s="10">
        <v>14042.191</v>
      </c>
      <c r="N29" s="10">
        <v>163.54</v>
      </c>
      <c r="O29" s="10">
        <v>4764.9401</v>
      </c>
      <c r="P29" s="19">
        <v>110118</v>
      </c>
      <c r="Q29" s="19">
        <v>140698</v>
      </c>
      <c r="R29" s="38">
        <v>58589.49</v>
      </c>
      <c r="S29" s="20">
        <v>18626.5</v>
      </c>
      <c r="T29" s="39">
        <v>15615.5</v>
      </c>
      <c r="U29" s="22">
        <v>20880</v>
      </c>
      <c r="V29" s="22">
        <v>47160</v>
      </c>
      <c r="W29" s="32">
        <v>105106.17</v>
      </c>
      <c r="X29" s="10">
        <v>105818</v>
      </c>
      <c r="Y29" s="10">
        <f t="shared" si="17"/>
        <v>0.712409464900978</v>
      </c>
      <c r="Z29" s="10">
        <f t="shared" si="1"/>
        <v>74662.7719083893</v>
      </c>
      <c r="AA29" s="10">
        <f t="shared" si="2"/>
        <v>0.687575102138909</v>
      </c>
      <c r="AB29" s="10">
        <f t="shared" si="3"/>
        <v>0.0328878875270368</v>
      </c>
      <c r="AC29" s="10">
        <f t="shared" si="4"/>
        <v>0.118635773677669</v>
      </c>
      <c r="AD29" s="10">
        <f t="shared" si="5"/>
        <v>0.019317455731209</v>
      </c>
      <c r="AE29" s="10">
        <f t="shared" si="6"/>
        <v>7.69893619981345</v>
      </c>
      <c r="AF29" s="10">
        <f t="shared" ref="AF29:AF52" si="18">M29/D29</f>
        <v>0.322005086152731</v>
      </c>
      <c r="AG29" s="10">
        <f t="shared" si="8"/>
        <v>0.00375017771723926</v>
      </c>
      <c r="AH29" s="10">
        <f t="shared" si="9"/>
        <v>0.109266064491866</v>
      </c>
      <c r="AI29" s="10">
        <f t="shared" si="10"/>
        <v>335.564516129032</v>
      </c>
      <c r="AJ29" s="10">
        <f t="shared" si="16"/>
        <v>1.3435306338658</v>
      </c>
      <c r="AK29" s="10">
        <f t="shared" si="12"/>
        <v>23.4636788254469</v>
      </c>
      <c r="AL29" s="10">
        <f t="shared" si="13"/>
        <v>0.427129052526337</v>
      </c>
      <c r="AM29" s="10">
        <f t="shared" si="14"/>
        <v>0.358083038666685</v>
      </c>
      <c r="AN29" s="10">
        <f t="shared" si="15"/>
        <v>2.25862068965517</v>
      </c>
    </row>
    <row r="30" ht="16" spans="1:40">
      <c r="A30" s="14">
        <v>2021</v>
      </c>
      <c r="B30" s="15">
        <v>350000</v>
      </c>
      <c r="C30" s="16" t="s">
        <v>42</v>
      </c>
      <c r="D30" s="24">
        <v>49566.1</v>
      </c>
      <c r="E30" s="25">
        <v>4187</v>
      </c>
      <c r="F30" s="26">
        <v>12.4</v>
      </c>
      <c r="G30" s="27">
        <v>2918</v>
      </c>
      <c r="H30" s="10">
        <v>1023362</v>
      </c>
      <c r="I30" s="30">
        <v>32931.2101545456</v>
      </c>
      <c r="J30" s="31">
        <v>5164.19</v>
      </c>
      <c r="K30" s="24">
        <v>9687291.9</v>
      </c>
      <c r="L30" s="10">
        <v>2197</v>
      </c>
      <c r="M30" s="10">
        <v>18402.904</v>
      </c>
      <c r="N30" s="10">
        <v>196.798</v>
      </c>
      <c r="O30" s="10">
        <v>1005.31</v>
      </c>
      <c r="P30" s="19">
        <v>111031</v>
      </c>
      <c r="Q30" s="19">
        <v>166113</v>
      </c>
      <c r="R30" s="38">
        <v>65920.32</v>
      </c>
      <c r="S30" s="20">
        <v>20373.1</v>
      </c>
      <c r="T30" s="39">
        <v>18292.8</v>
      </c>
      <c r="U30" s="22">
        <v>23229</v>
      </c>
      <c r="V30" s="22">
        <v>51141</v>
      </c>
      <c r="W30" s="32">
        <v>118750</v>
      </c>
      <c r="X30" s="10">
        <v>116939</v>
      </c>
      <c r="Y30" s="10">
        <f t="shared" si="17"/>
        <v>0.664389777580758</v>
      </c>
      <c r="Z30" s="10">
        <f t="shared" si="1"/>
        <v>78651.0870660272</v>
      </c>
      <c r="AA30" s="10">
        <f t="shared" si="2"/>
        <v>0.69691903510867</v>
      </c>
      <c r="AB30" s="10">
        <f t="shared" si="3"/>
        <v>0.0244414139001672</v>
      </c>
      <c r="AC30" s="10">
        <f t="shared" si="4"/>
        <v>0.104187942969086</v>
      </c>
      <c r="AD30" s="10">
        <f t="shared" si="5"/>
        <v>0.0195441882657704</v>
      </c>
      <c r="AE30" s="10">
        <f t="shared" si="6"/>
        <v>7.69484807238461</v>
      </c>
      <c r="AF30" s="10">
        <f t="shared" si="18"/>
        <v>0.37128004825879</v>
      </c>
      <c r="AG30" s="10">
        <f t="shared" ref="AG30:AG93" si="19">N30/D30</f>
        <v>0.00397041526365802</v>
      </c>
      <c r="AH30" s="10">
        <f t="shared" si="9"/>
        <v>0.0202822090097869</v>
      </c>
      <c r="AI30" s="10">
        <f t="shared" si="10"/>
        <v>337.661290322581</v>
      </c>
      <c r="AJ30" s="10">
        <f t="shared" si="16"/>
        <v>1.32994768601928</v>
      </c>
      <c r="AK30" s="10">
        <f t="shared" si="12"/>
        <v>23.6379882792261</v>
      </c>
      <c r="AL30" s="10">
        <f t="shared" si="13"/>
        <v>0.411028908871184</v>
      </c>
      <c r="AM30" s="10">
        <f t="shared" si="14"/>
        <v>0.369058691323304</v>
      </c>
      <c r="AN30" s="10">
        <f t="shared" si="15"/>
        <v>2.20160144646778</v>
      </c>
    </row>
    <row r="31" ht="16" spans="1:40">
      <c r="A31" s="14">
        <v>2022</v>
      </c>
      <c r="B31" s="15">
        <v>350000</v>
      </c>
      <c r="C31" s="16" t="s">
        <v>42</v>
      </c>
      <c r="D31" s="24">
        <v>51765.1</v>
      </c>
      <c r="E31" s="25">
        <v>4188</v>
      </c>
      <c r="F31" s="26">
        <v>12.4</v>
      </c>
      <c r="G31" s="27">
        <v>2937</v>
      </c>
      <c r="H31" s="10">
        <v>1076050</v>
      </c>
      <c r="I31" s="30">
        <v>35401.0509161366</v>
      </c>
      <c r="J31" s="31">
        <v>5640.66</v>
      </c>
      <c r="K31" s="24">
        <v>10821348</v>
      </c>
      <c r="L31" s="10">
        <v>2174</v>
      </c>
      <c r="M31" s="10">
        <v>20002.749</v>
      </c>
      <c r="N31" s="10">
        <v>259.52</v>
      </c>
      <c r="O31" s="10">
        <v>1051.7434</v>
      </c>
      <c r="P31" s="35">
        <v>112878</v>
      </c>
      <c r="Q31" s="35">
        <v>169091</v>
      </c>
      <c r="R31" s="38">
        <v>74128.73</v>
      </c>
      <c r="S31" s="20">
        <v>21050.1</v>
      </c>
      <c r="T31" s="39">
        <v>18013.3</v>
      </c>
      <c r="U31" s="22">
        <v>24987</v>
      </c>
      <c r="V31" s="22">
        <v>53817</v>
      </c>
      <c r="W31" s="32">
        <v>123618</v>
      </c>
      <c r="X31" s="10">
        <v>126829</v>
      </c>
      <c r="Y31" s="10">
        <f t="shared" si="17"/>
        <v>0.683878731348662</v>
      </c>
      <c r="Z31" s="10">
        <f t="shared" si="1"/>
        <v>84529.729981224</v>
      </c>
      <c r="AA31" s="10">
        <f t="shared" si="2"/>
        <v>0.701289398280802</v>
      </c>
      <c r="AB31" s="10">
        <f t="shared" si="3"/>
        <v>0.0256936485195798</v>
      </c>
      <c r="AC31" s="10">
        <f t="shared" si="4"/>
        <v>0.108966465823499</v>
      </c>
      <c r="AD31" s="10">
        <f t="shared" si="5"/>
        <v>0.0209047176572633</v>
      </c>
      <c r="AE31" s="10">
        <f t="shared" si="6"/>
        <v>7.68432406768115</v>
      </c>
      <c r="AF31" s="10">
        <f t="shared" si="18"/>
        <v>0.386413800031295</v>
      </c>
      <c r="AG31" s="10">
        <f t="shared" si="19"/>
        <v>0.00501341637512533</v>
      </c>
      <c r="AH31" s="10">
        <f t="shared" si="9"/>
        <v>0.0203176155363363</v>
      </c>
      <c r="AI31" s="10">
        <f t="shared" si="10"/>
        <v>337.741935483871</v>
      </c>
      <c r="AJ31" s="10">
        <f t="shared" si="16"/>
        <v>1.43202138120085</v>
      </c>
      <c r="AK31" s="10">
        <f t="shared" si="12"/>
        <v>23.6722551789645</v>
      </c>
      <c r="AL31" s="10">
        <f t="shared" si="13"/>
        <v>0.40664656303185</v>
      </c>
      <c r="AM31" s="10">
        <f t="shared" si="14"/>
        <v>0.347981555140432</v>
      </c>
      <c r="AN31" s="10">
        <f t="shared" si="15"/>
        <v>2.15379997598751</v>
      </c>
    </row>
    <row r="32" ht="16" spans="1:40">
      <c r="A32" s="14">
        <v>2013</v>
      </c>
      <c r="B32" s="15">
        <v>620000</v>
      </c>
      <c r="C32" s="16" t="s">
        <v>43</v>
      </c>
      <c r="D32" s="24">
        <v>6014.5</v>
      </c>
      <c r="E32" s="25">
        <v>2537</v>
      </c>
      <c r="F32" s="26">
        <v>42.59</v>
      </c>
      <c r="G32" s="27">
        <v>1027</v>
      </c>
      <c r="H32" s="10">
        <v>442963</v>
      </c>
      <c r="I32" s="30">
        <v>6527.9</v>
      </c>
      <c r="J32" s="31">
        <v>2309.63</v>
      </c>
      <c r="K32" s="24">
        <v>669194</v>
      </c>
      <c r="L32" s="10">
        <v>1352</v>
      </c>
      <c r="M32" s="10">
        <v>633.94252</v>
      </c>
      <c r="N32" s="10">
        <v>99.99</v>
      </c>
      <c r="O32" s="10">
        <v>238.7094</v>
      </c>
      <c r="P32" s="19">
        <v>133597</v>
      </c>
      <c r="Q32" s="19">
        <v>51463.4</v>
      </c>
      <c r="R32" s="38">
        <v>8430.08</v>
      </c>
      <c r="S32" s="20">
        <v>2368.8</v>
      </c>
      <c r="T32" s="39">
        <v>2262.6</v>
      </c>
      <c r="U32" s="22">
        <v>5589</v>
      </c>
      <c r="V32" s="22">
        <v>19873</v>
      </c>
      <c r="W32" s="32">
        <v>23646.67</v>
      </c>
      <c r="X32" s="10">
        <v>24538.8511</v>
      </c>
      <c r="Y32" s="10">
        <f t="shared" si="17"/>
        <v>1.08536037908388</v>
      </c>
      <c r="Z32" s="10">
        <f t="shared" si="1"/>
        <v>25730.784391013</v>
      </c>
      <c r="AA32" s="10">
        <f t="shared" si="2"/>
        <v>0.404808829325976</v>
      </c>
      <c r="AB32" s="10">
        <f t="shared" si="3"/>
        <v>0.0174601103665747</v>
      </c>
      <c r="AC32" s="10">
        <f t="shared" si="4"/>
        <v>0.384010308421315</v>
      </c>
      <c r="AD32" s="10">
        <f t="shared" si="5"/>
        <v>0.0111263446670546</v>
      </c>
      <c r="AE32" s="10">
        <f t="shared" si="6"/>
        <v>7.20934025660291</v>
      </c>
      <c r="AF32" s="10">
        <f t="shared" si="18"/>
        <v>0.105402364286308</v>
      </c>
      <c r="AG32" s="10">
        <f t="shared" si="19"/>
        <v>0.0166248233435863</v>
      </c>
      <c r="AH32" s="10">
        <f t="shared" si="9"/>
        <v>0.0396889849530302</v>
      </c>
      <c r="AI32" s="10">
        <f t="shared" si="10"/>
        <v>59.5679737027471</v>
      </c>
      <c r="AJ32" s="10">
        <f t="shared" si="16"/>
        <v>1.40162607033004</v>
      </c>
      <c r="AK32" s="10">
        <f t="shared" si="12"/>
        <v>22.6512092391305</v>
      </c>
      <c r="AL32" s="10">
        <f t="shared" si="13"/>
        <v>0.393848200182891</v>
      </c>
      <c r="AM32" s="10">
        <f t="shared" si="14"/>
        <v>0.37619087205919</v>
      </c>
      <c r="AN32" s="10">
        <f t="shared" si="15"/>
        <v>3.55573447843979</v>
      </c>
    </row>
    <row r="33" ht="16" spans="1:40">
      <c r="A33" s="14">
        <v>2014</v>
      </c>
      <c r="B33" s="15">
        <v>620000</v>
      </c>
      <c r="C33" s="16" t="s">
        <v>43</v>
      </c>
      <c r="D33" s="24">
        <v>6518.4</v>
      </c>
      <c r="E33" s="25">
        <v>2531</v>
      </c>
      <c r="F33" s="26">
        <v>42.59</v>
      </c>
      <c r="G33" s="27">
        <v>1070</v>
      </c>
      <c r="H33" s="10">
        <v>452300</v>
      </c>
      <c r="I33" s="30">
        <v>7884.13</v>
      </c>
      <c r="J33" s="31">
        <v>2541.5</v>
      </c>
      <c r="K33" s="24">
        <v>768739</v>
      </c>
      <c r="L33" s="10">
        <v>1348</v>
      </c>
      <c r="M33" s="10">
        <v>530.7757</v>
      </c>
      <c r="N33" s="10">
        <v>114.52</v>
      </c>
      <c r="O33" s="10">
        <v>277.5203</v>
      </c>
      <c r="P33" s="19">
        <v>138084</v>
      </c>
      <c r="Q33" s="19">
        <v>57240</v>
      </c>
      <c r="R33" s="38">
        <v>10681.63</v>
      </c>
      <c r="S33" s="20">
        <v>2668.3</v>
      </c>
      <c r="T33" s="39">
        <v>2374.3</v>
      </c>
      <c r="U33" s="22">
        <v>6277</v>
      </c>
      <c r="V33" s="22">
        <v>21804</v>
      </c>
      <c r="W33" s="32">
        <v>25723.72</v>
      </c>
      <c r="X33" s="10">
        <v>26432.9157</v>
      </c>
      <c r="Y33" s="10">
        <f t="shared" si="17"/>
        <v>1.2095192071674</v>
      </c>
      <c r="Z33" s="10">
        <f t="shared" si="1"/>
        <v>31150.2568154879</v>
      </c>
      <c r="AA33" s="10">
        <f t="shared" si="2"/>
        <v>0.422757803239826</v>
      </c>
      <c r="AB33" s="10">
        <f t="shared" si="3"/>
        <v>0.0178704069537732</v>
      </c>
      <c r="AC33" s="10">
        <f t="shared" si="4"/>
        <v>0.389896293568974</v>
      </c>
      <c r="AD33" s="10">
        <f t="shared" si="5"/>
        <v>0.0117933695385371</v>
      </c>
      <c r="AE33" s="10">
        <f t="shared" si="6"/>
        <v>7.20637729147225</v>
      </c>
      <c r="AF33" s="10">
        <f t="shared" si="18"/>
        <v>0.0814272981099656</v>
      </c>
      <c r="AG33" s="10">
        <f t="shared" si="19"/>
        <v>0.0175687285223368</v>
      </c>
      <c r="AH33" s="10">
        <f t="shared" si="9"/>
        <v>0.0425749110211095</v>
      </c>
      <c r="AI33" s="10">
        <f t="shared" si="10"/>
        <v>59.4270955623386</v>
      </c>
      <c r="AJ33" s="10">
        <f t="shared" si="16"/>
        <v>1.63868894207167</v>
      </c>
      <c r="AK33" s="10">
        <f t="shared" si="12"/>
        <v>22.7906257082818</v>
      </c>
      <c r="AL33" s="10">
        <f t="shared" si="13"/>
        <v>0.409348919980363</v>
      </c>
      <c r="AM33" s="10">
        <f t="shared" si="14"/>
        <v>0.364245827196858</v>
      </c>
      <c r="AN33" s="10">
        <f t="shared" si="15"/>
        <v>3.47363390154532</v>
      </c>
    </row>
    <row r="34" ht="16" spans="1:40">
      <c r="A34" s="14">
        <v>2015</v>
      </c>
      <c r="B34" s="15">
        <v>620000</v>
      </c>
      <c r="C34" s="16" t="s">
        <v>43</v>
      </c>
      <c r="D34" s="24">
        <v>6556.6</v>
      </c>
      <c r="E34" s="25">
        <v>2523</v>
      </c>
      <c r="F34" s="26">
        <v>42.59</v>
      </c>
      <c r="G34" s="27">
        <v>1116</v>
      </c>
      <c r="H34" s="10">
        <v>450463</v>
      </c>
      <c r="I34" s="30">
        <v>8754.23</v>
      </c>
      <c r="J34" s="31">
        <v>2957.92</v>
      </c>
      <c r="K34" s="24">
        <v>827203.3</v>
      </c>
      <c r="L34" s="10">
        <v>1346</v>
      </c>
      <c r="M34" s="10">
        <v>495.28336</v>
      </c>
      <c r="N34" s="10">
        <v>129.7</v>
      </c>
      <c r="O34" s="10">
        <v>365.6148</v>
      </c>
      <c r="P34" s="19">
        <v>140052</v>
      </c>
      <c r="Q34" s="19">
        <v>58251</v>
      </c>
      <c r="R34" s="38">
        <v>13292.18</v>
      </c>
      <c r="S34" s="20">
        <v>2737.1</v>
      </c>
      <c r="T34" s="39">
        <v>2031.6</v>
      </c>
      <c r="U34" s="22">
        <v>6936</v>
      </c>
      <c r="V34" s="22">
        <v>23767</v>
      </c>
      <c r="W34" s="32">
        <v>25945.98</v>
      </c>
      <c r="X34" s="10">
        <v>26165.2608</v>
      </c>
      <c r="Y34" s="10">
        <f t="shared" si="17"/>
        <v>1.33517829362779</v>
      </c>
      <c r="Z34" s="10">
        <f t="shared" si="1"/>
        <v>34697.7011494253</v>
      </c>
      <c r="AA34" s="10">
        <f t="shared" si="2"/>
        <v>0.442330558858502</v>
      </c>
      <c r="AB34" s="10">
        <f t="shared" si="3"/>
        <v>0.0178542608006342</v>
      </c>
      <c r="AC34" s="10">
        <f t="shared" si="4"/>
        <v>0.451136259646768</v>
      </c>
      <c r="AD34" s="10">
        <f t="shared" si="5"/>
        <v>0.0126163453619254</v>
      </c>
      <c r="AE34" s="10">
        <f t="shared" si="6"/>
        <v>7.20489251020467</v>
      </c>
      <c r="AF34" s="10">
        <f t="shared" si="18"/>
        <v>0.0755396638501662</v>
      </c>
      <c r="AG34" s="10">
        <f t="shared" si="19"/>
        <v>0.0197815941189031</v>
      </c>
      <c r="AH34" s="10">
        <f t="shared" si="9"/>
        <v>0.0557628648994906</v>
      </c>
      <c r="AI34" s="10">
        <f t="shared" si="10"/>
        <v>59.2392580417938</v>
      </c>
      <c r="AJ34" s="10">
        <f t="shared" si="16"/>
        <v>2.02729768477565</v>
      </c>
      <c r="AK34" s="10">
        <f t="shared" si="12"/>
        <v>22.8222855998629</v>
      </c>
      <c r="AL34" s="10">
        <f t="shared" si="13"/>
        <v>0.417457218680414</v>
      </c>
      <c r="AM34" s="10">
        <f t="shared" si="14"/>
        <v>0.309855717902571</v>
      </c>
      <c r="AN34" s="10">
        <f t="shared" si="15"/>
        <v>3.42661476355248</v>
      </c>
    </row>
    <row r="35" ht="16" spans="1:40">
      <c r="A35" s="14">
        <v>2016</v>
      </c>
      <c r="B35" s="15">
        <v>620000</v>
      </c>
      <c r="C35" s="16" t="s">
        <v>43</v>
      </c>
      <c r="D35" s="24">
        <v>6907.9</v>
      </c>
      <c r="E35" s="25">
        <v>2520</v>
      </c>
      <c r="F35" s="26">
        <v>42.59</v>
      </c>
      <c r="G35" s="27">
        <v>1161</v>
      </c>
      <c r="H35" s="10">
        <v>457204</v>
      </c>
      <c r="I35" s="30">
        <v>9663.99</v>
      </c>
      <c r="J35" s="31">
        <v>3149.6</v>
      </c>
      <c r="K35" s="24">
        <v>869850</v>
      </c>
      <c r="L35" s="10">
        <v>1341</v>
      </c>
      <c r="M35" s="10">
        <v>453.86703</v>
      </c>
      <c r="N35" s="10">
        <v>150.66</v>
      </c>
      <c r="O35" s="10">
        <v>254.238</v>
      </c>
      <c r="P35" s="19">
        <v>143039</v>
      </c>
      <c r="Q35" s="19">
        <v>60660.7</v>
      </c>
      <c r="R35" s="38">
        <v>15650.47</v>
      </c>
      <c r="S35" s="20">
        <v>2984.2</v>
      </c>
      <c r="T35" s="39">
        <v>1995.5</v>
      </c>
      <c r="U35" s="22">
        <v>7457</v>
      </c>
      <c r="V35" s="22">
        <v>25693</v>
      </c>
      <c r="W35" s="32" t="s">
        <v>44</v>
      </c>
      <c r="X35" s="10">
        <v>27643</v>
      </c>
      <c r="Y35" s="10">
        <f t="shared" si="17"/>
        <v>1.39897653411312</v>
      </c>
      <c r="Z35" s="10">
        <f t="shared" si="1"/>
        <v>38349.1666666667</v>
      </c>
      <c r="AA35" s="10">
        <f t="shared" si="2"/>
        <v>0.460714285714286</v>
      </c>
      <c r="AB35" s="10">
        <f t="shared" si="3"/>
        <v>0.0181430158730159</v>
      </c>
      <c r="AC35" s="10">
        <f t="shared" si="4"/>
        <v>0.455941747853906</v>
      </c>
      <c r="AD35" s="10">
        <f t="shared" si="5"/>
        <v>0.0125921046917298</v>
      </c>
      <c r="AE35" s="10">
        <f t="shared" si="6"/>
        <v>7.20117088328168</v>
      </c>
      <c r="AF35" s="10">
        <f t="shared" si="18"/>
        <v>0.0657026057123004</v>
      </c>
      <c r="AG35" s="10">
        <f t="shared" si="19"/>
        <v>0.021809811954429</v>
      </c>
      <c r="AH35" s="10">
        <f t="shared" si="9"/>
        <v>0.0368039491017531</v>
      </c>
      <c r="AI35" s="10">
        <f t="shared" si="10"/>
        <v>59.1688189715896</v>
      </c>
      <c r="AJ35" s="10">
        <f t="shared" si="16"/>
        <v>2.26559012145515</v>
      </c>
      <c r="AK35" s="10">
        <f t="shared" ref="AK35:AK66" si="20">LN(P35)+LN(Q35)</f>
        <v>22.8839239202371</v>
      </c>
      <c r="AL35" s="10">
        <f t="shared" si="13"/>
        <v>0.431998147049031</v>
      </c>
      <c r="AM35" s="10">
        <f t="shared" ref="AM35:AM66" si="21">T35/D35</f>
        <v>0.288872160859306</v>
      </c>
      <c r="AN35" s="10">
        <f t="shared" si="15"/>
        <v>3.44548746144562</v>
      </c>
    </row>
    <row r="36" ht="16" spans="1:40">
      <c r="A36" s="14">
        <v>2017</v>
      </c>
      <c r="B36" s="15">
        <v>620000</v>
      </c>
      <c r="C36" s="16" t="s">
        <v>43</v>
      </c>
      <c r="D36" s="24">
        <v>7336.7</v>
      </c>
      <c r="E36" s="25">
        <v>2522</v>
      </c>
      <c r="F36" s="26">
        <v>42.59</v>
      </c>
      <c r="G36" s="27">
        <v>1214</v>
      </c>
      <c r="H36" s="10">
        <v>466185</v>
      </c>
      <c r="I36" s="30">
        <v>5827.75</v>
      </c>
      <c r="J36" s="31">
        <v>3304.06</v>
      </c>
      <c r="K36" s="24">
        <v>884070.2</v>
      </c>
      <c r="L36" s="10">
        <v>1337</v>
      </c>
      <c r="M36" s="10">
        <v>325.86435</v>
      </c>
      <c r="N36" s="10">
        <v>162.96</v>
      </c>
      <c r="O36" s="10">
        <v>482.9309</v>
      </c>
      <c r="P36" s="19">
        <v>142252</v>
      </c>
      <c r="Q36" s="19">
        <v>66203.8</v>
      </c>
      <c r="R36" s="38">
        <v>17404.56</v>
      </c>
      <c r="S36" s="20">
        <v>3206.2</v>
      </c>
      <c r="T36" s="39">
        <v>2020.5</v>
      </c>
      <c r="U36" s="22">
        <v>8076</v>
      </c>
      <c r="V36" s="22">
        <v>27763</v>
      </c>
      <c r="W36" s="32">
        <v>29102.5</v>
      </c>
      <c r="X36" s="10">
        <v>28496.501</v>
      </c>
      <c r="Y36" s="10">
        <f t="shared" si="17"/>
        <v>0.794328512819115</v>
      </c>
      <c r="Z36" s="10">
        <f t="shared" si="1"/>
        <v>23107.6526566217</v>
      </c>
      <c r="AA36" s="10">
        <f t="shared" si="2"/>
        <v>0.481363996827914</v>
      </c>
      <c r="AB36" s="10">
        <f t="shared" si="3"/>
        <v>0.0184847343378271</v>
      </c>
      <c r="AC36" s="10">
        <f t="shared" si="4"/>
        <v>0.450346886202244</v>
      </c>
      <c r="AD36" s="10">
        <f t="shared" ref="AD36:AD70" si="22">K36/(D36*10000)</f>
        <v>0.0120499706952717</v>
      </c>
      <c r="AE36" s="10">
        <f t="shared" si="6"/>
        <v>7.19818357710194</v>
      </c>
      <c r="AF36" s="10">
        <f t="shared" si="18"/>
        <v>0.0444156569029673</v>
      </c>
      <c r="AG36" s="10">
        <f t="shared" si="19"/>
        <v>0.0222116210285278</v>
      </c>
      <c r="AH36" s="10">
        <f t="shared" si="9"/>
        <v>0.0658239944389167</v>
      </c>
      <c r="AI36" s="10">
        <f t="shared" si="10"/>
        <v>59.2157783517258</v>
      </c>
      <c r="AJ36" s="10">
        <f t="shared" si="16"/>
        <v>2.37226000790546</v>
      </c>
      <c r="AK36" s="10">
        <f t="shared" si="20"/>
        <v>22.9658485537341</v>
      </c>
      <c r="AL36" s="10">
        <f t="shared" si="13"/>
        <v>0.437008464295937</v>
      </c>
      <c r="AM36" s="10">
        <f t="shared" si="21"/>
        <v>0.275396295337141</v>
      </c>
      <c r="AN36" s="10">
        <f t="shared" si="15"/>
        <v>3.4377166914314</v>
      </c>
    </row>
    <row r="37" ht="16" spans="1:40">
      <c r="A37" s="14">
        <v>2018</v>
      </c>
      <c r="B37" s="15">
        <v>620000</v>
      </c>
      <c r="C37" s="16" t="s">
        <v>43</v>
      </c>
      <c r="D37" s="24">
        <v>8104.1</v>
      </c>
      <c r="E37" s="25">
        <v>2515</v>
      </c>
      <c r="F37" s="26">
        <v>42.59</v>
      </c>
      <c r="G37" s="27">
        <v>1250</v>
      </c>
      <c r="H37" s="10">
        <v>483620</v>
      </c>
      <c r="I37" s="30">
        <v>5600.46775</v>
      </c>
      <c r="J37" s="31">
        <v>3771.83</v>
      </c>
      <c r="K37" s="24">
        <v>970536.7</v>
      </c>
      <c r="L37" s="10">
        <v>1337</v>
      </c>
      <c r="M37" s="10">
        <v>397.90605</v>
      </c>
      <c r="N37" s="10">
        <v>180.88</v>
      </c>
      <c r="O37" s="10">
        <v>1225.2527</v>
      </c>
      <c r="P37" s="19">
        <v>143228</v>
      </c>
      <c r="Q37" s="19">
        <v>70385.7</v>
      </c>
      <c r="R37" s="38">
        <v>19094.39</v>
      </c>
      <c r="S37" s="20">
        <v>3435.6</v>
      </c>
      <c r="T37" s="39">
        <v>2253.4</v>
      </c>
      <c r="U37" s="22">
        <v>8804</v>
      </c>
      <c r="V37" s="22">
        <v>29957</v>
      </c>
      <c r="W37" s="32">
        <v>32178.16</v>
      </c>
      <c r="X37" s="10">
        <v>31336.1252</v>
      </c>
      <c r="Y37" s="10">
        <f t="shared" si="17"/>
        <v>0.69106597277921</v>
      </c>
      <c r="Z37" s="10">
        <f t="shared" si="1"/>
        <v>22268.2614314115</v>
      </c>
      <c r="AA37" s="10">
        <f t="shared" si="2"/>
        <v>0.497017892644135</v>
      </c>
      <c r="AB37" s="10">
        <f t="shared" si="3"/>
        <v>0.0192294234592445</v>
      </c>
      <c r="AC37" s="10">
        <f t="shared" si="4"/>
        <v>0.465422440493084</v>
      </c>
      <c r="AD37" s="10">
        <f t="shared" si="22"/>
        <v>0.0119758727064079</v>
      </c>
      <c r="AE37" s="10">
        <f t="shared" si="6"/>
        <v>7.19818357710194</v>
      </c>
      <c r="AF37" s="10">
        <f t="shared" si="18"/>
        <v>0.0490993509458175</v>
      </c>
      <c r="AG37" s="10">
        <f t="shared" si="19"/>
        <v>0.0223195666391086</v>
      </c>
      <c r="AH37" s="10">
        <f t="shared" si="9"/>
        <v>0.151189237546427</v>
      </c>
      <c r="AI37" s="10">
        <f t="shared" si="10"/>
        <v>59.0514205212491</v>
      </c>
      <c r="AJ37" s="10">
        <f t="shared" si="16"/>
        <v>2.35613948495206</v>
      </c>
      <c r="AK37" s="10">
        <f t="shared" si="20"/>
        <v>23.0339384416348</v>
      </c>
      <c r="AL37" s="10">
        <f t="shared" si="13"/>
        <v>0.423933564492047</v>
      </c>
      <c r="AM37" s="10">
        <f t="shared" si="21"/>
        <v>0.278056786071248</v>
      </c>
      <c r="AN37" s="10">
        <f t="shared" si="15"/>
        <v>3.40265788278055</v>
      </c>
    </row>
    <row r="38" ht="16" spans="1:40">
      <c r="A38" s="14">
        <v>2019</v>
      </c>
      <c r="B38" s="15">
        <v>620000</v>
      </c>
      <c r="C38" s="16" t="s">
        <v>43</v>
      </c>
      <c r="D38" s="24">
        <v>8718.3</v>
      </c>
      <c r="E38" s="25">
        <v>2509</v>
      </c>
      <c r="F38" s="26">
        <v>42.59</v>
      </c>
      <c r="G38" s="27">
        <v>1272</v>
      </c>
      <c r="H38" s="10">
        <v>524948</v>
      </c>
      <c r="I38" s="30">
        <v>5970.0986215</v>
      </c>
      <c r="J38" s="31">
        <v>3925.54</v>
      </c>
      <c r="K38" s="24">
        <v>1102446</v>
      </c>
      <c r="L38" s="10">
        <v>1333</v>
      </c>
      <c r="M38" s="10">
        <v>380.80327</v>
      </c>
      <c r="N38" s="10">
        <v>196.42</v>
      </c>
      <c r="O38" s="10">
        <v>1997.5078</v>
      </c>
      <c r="P38" s="19">
        <v>151443</v>
      </c>
      <c r="Q38" s="19">
        <v>63609.6</v>
      </c>
      <c r="R38" s="38">
        <v>20424.3</v>
      </c>
      <c r="S38" s="20">
        <v>3700.3</v>
      </c>
      <c r="T38" s="39">
        <v>2319.8</v>
      </c>
      <c r="U38" s="22">
        <v>9629</v>
      </c>
      <c r="V38" s="22">
        <v>32323</v>
      </c>
      <c r="W38" s="32">
        <v>34706.61</v>
      </c>
      <c r="X38" s="10">
        <v>32994.56</v>
      </c>
      <c r="Y38" s="10">
        <f t="shared" ref="Y38:Y64" si="23">I38/D38</f>
        <v>0.684777837594485</v>
      </c>
      <c r="Z38" s="10">
        <f t="shared" si="1"/>
        <v>23794.7334455959</v>
      </c>
      <c r="AA38" s="10">
        <f t="shared" si="2"/>
        <v>0.50697489039458</v>
      </c>
      <c r="AB38" s="10">
        <f t="shared" si="3"/>
        <v>0.0209225986448784</v>
      </c>
      <c r="AC38" s="10">
        <f t="shared" si="4"/>
        <v>0.450264386405607</v>
      </c>
      <c r="AD38" s="10">
        <f t="shared" si="22"/>
        <v>0.0126451945906886</v>
      </c>
      <c r="AE38" s="10">
        <f t="shared" si="6"/>
        <v>7.19518732017871</v>
      </c>
      <c r="AF38" s="10">
        <f t="shared" si="18"/>
        <v>0.0436786150969799</v>
      </c>
      <c r="AG38" s="10">
        <f t="shared" si="19"/>
        <v>0.0225296216005414</v>
      </c>
      <c r="AH38" s="10">
        <f t="shared" si="9"/>
        <v>0.229116662652123</v>
      </c>
      <c r="AI38" s="10">
        <f t="shared" si="10"/>
        <v>58.9105423808406</v>
      </c>
      <c r="AJ38" s="10">
        <f t="shared" si="16"/>
        <v>2.34269295619559</v>
      </c>
      <c r="AK38" s="10">
        <f t="shared" si="20"/>
        <v>22.9884842768463</v>
      </c>
      <c r="AL38" s="10">
        <f t="shared" si="13"/>
        <v>0.424429074475529</v>
      </c>
      <c r="AM38" s="10">
        <f t="shared" si="21"/>
        <v>0.266083984262987</v>
      </c>
      <c r="AN38" s="10">
        <f t="shared" si="15"/>
        <v>3.35683871637761</v>
      </c>
    </row>
    <row r="39" ht="16" spans="1:40">
      <c r="A39" s="14">
        <v>2020</v>
      </c>
      <c r="B39" s="15">
        <v>620000</v>
      </c>
      <c r="C39" s="16" t="s">
        <v>43</v>
      </c>
      <c r="D39" s="24">
        <v>8979.7</v>
      </c>
      <c r="E39" s="25">
        <v>2501</v>
      </c>
      <c r="F39" s="26">
        <v>42.59</v>
      </c>
      <c r="G39" s="27">
        <v>1306</v>
      </c>
      <c r="H39" s="10">
        <v>581062</v>
      </c>
      <c r="I39" s="30">
        <v>6435.766313977</v>
      </c>
      <c r="J39" s="31">
        <v>4117.51</v>
      </c>
      <c r="K39" s="24">
        <v>1096443.9</v>
      </c>
      <c r="L39" s="10">
        <v>1331</v>
      </c>
      <c r="M39" s="10">
        <v>381.41859</v>
      </c>
      <c r="N39" s="10">
        <v>233.16</v>
      </c>
      <c r="O39" s="10">
        <v>2604.7686</v>
      </c>
      <c r="P39" s="19">
        <v>155957</v>
      </c>
      <c r="Q39" s="19">
        <v>67239.1</v>
      </c>
      <c r="R39" s="38">
        <v>21935.6</v>
      </c>
      <c r="S39" s="20">
        <v>3632.4</v>
      </c>
      <c r="T39" s="39">
        <v>2265.4</v>
      </c>
      <c r="U39" s="22">
        <v>10344</v>
      </c>
      <c r="V39" s="22">
        <v>33822</v>
      </c>
      <c r="W39" s="32">
        <v>35848</v>
      </c>
      <c r="X39" s="10">
        <v>35994.81</v>
      </c>
      <c r="Y39" s="10">
        <f t="shared" si="23"/>
        <v>0.716701706513246</v>
      </c>
      <c r="Z39" s="10">
        <f t="shared" si="1"/>
        <v>25732.7721470492</v>
      </c>
      <c r="AA39" s="10">
        <f t="shared" si="2"/>
        <v>0.52219112355058</v>
      </c>
      <c r="AB39" s="10">
        <f t="shared" si="3"/>
        <v>0.0232331867253099</v>
      </c>
      <c r="AC39" s="10">
        <f t="shared" si="4"/>
        <v>0.458535363096763</v>
      </c>
      <c r="AD39" s="10">
        <f t="shared" si="22"/>
        <v>0.0122102508992505</v>
      </c>
      <c r="AE39" s="10">
        <f t="shared" si="6"/>
        <v>7.19368581839511</v>
      </c>
      <c r="AF39" s="10">
        <f t="shared" si="18"/>
        <v>0.0424756495205853</v>
      </c>
      <c r="AG39" s="10">
        <f t="shared" si="19"/>
        <v>0.0259652326915153</v>
      </c>
      <c r="AH39" s="10">
        <f t="shared" si="9"/>
        <v>0.290073009120572</v>
      </c>
      <c r="AI39" s="10">
        <f t="shared" si="10"/>
        <v>58.7227048602958</v>
      </c>
      <c r="AJ39" s="10">
        <f t="shared" si="16"/>
        <v>2.44279875719679</v>
      </c>
      <c r="AK39" s="10">
        <f t="shared" si="20"/>
        <v>23.0733458097531</v>
      </c>
      <c r="AL39" s="10">
        <f t="shared" si="13"/>
        <v>0.404512400191543</v>
      </c>
      <c r="AM39" s="10">
        <f t="shared" si="21"/>
        <v>0.252280142989187</v>
      </c>
      <c r="AN39" s="10">
        <f t="shared" si="15"/>
        <v>3.26972157772622</v>
      </c>
    </row>
    <row r="40" ht="16" spans="1:40">
      <c r="A40" s="14">
        <v>2021</v>
      </c>
      <c r="B40" s="15">
        <v>620000</v>
      </c>
      <c r="C40" s="16" t="s">
        <v>43</v>
      </c>
      <c r="D40" s="24">
        <v>10225.5</v>
      </c>
      <c r="E40" s="25">
        <v>2490</v>
      </c>
      <c r="F40" s="26">
        <v>42.59</v>
      </c>
      <c r="G40" s="27">
        <v>1328</v>
      </c>
      <c r="H40" s="10">
        <v>613378</v>
      </c>
      <c r="I40" s="30">
        <v>7150.13637482845</v>
      </c>
      <c r="J40" s="31">
        <v>3994.05</v>
      </c>
      <c r="K40" s="24">
        <v>1294693.9</v>
      </c>
      <c r="L40" s="10">
        <v>1319</v>
      </c>
      <c r="M40" s="10">
        <v>490.95915</v>
      </c>
      <c r="N40" s="10">
        <v>280.392</v>
      </c>
      <c r="O40" s="10">
        <v>350.43</v>
      </c>
      <c r="P40" s="19">
        <v>156583</v>
      </c>
      <c r="Q40" s="19">
        <v>76109</v>
      </c>
      <c r="R40" s="38">
        <v>23730.4</v>
      </c>
      <c r="S40" s="20">
        <v>4037.1</v>
      </c>
      <c r="T40" s="39">
        <v>2835.4</v>
      </c>
      <c r="U40" s="22">
        <v>11433</v>
      </c>
      <c r="V40" s="22">
        <v>36187</v>
      </c>
      <c r="W40" s="32">
        <v>40976</v>
      </c>
      <c r="X40" s="10">
        <v>41046</v>
      </c>
      <c r="Y40" s="10">
        <f t="shared" si="23"/>
        <v>0.699245648117789</v>
      </c>
      <c r="Z40" s="10">
        <f t="shared" si="1"/>
        <v>28715.4071278251</v>
      </c>
      <c r="AA40" s="10">
        <f t="shared" si="2"/>
        <v>0.533333333333333</v>
      </c>
      <c r="AB40" s="10">
        <f t="shared" si="3"/>
        <v>0.0246336546184739</v>
      </c>
      <c r="AC40" s="10">
        <f t="shared" si="4"/>
        <v>0.390597036819715</v>
      </c>
      <c r="AD40" s="10">
        <f t="shared" si="22"/>
        <v>0.0126614238912523</v>
      </c>
      <c r="AE40" s="10">
        <f t="shared" si="6"/>
        <v>7.18462915271731</v>
      </c>
      <c r="AF40" s="10">
        <f t="shared" si="18"/>
        <v>0.048013216957606</v>
      </c>
      <c r="AG40" s="10">
        <f t="shared" si="19"/>
        <v>0.0274208596156667</v>
      </c>
      <c r="AH40" s="10">
        <f t="shared" si="9"/>
        <v>0.0342702068358515</v>
      </c>
      <c r="AI40" s="10">
        <f t="shared" si="10"/>
        <v>58.4644282695468</v>
      </c>
      <c r="AJ40" s="10">
        <f t="shared" si="16"/>
        <v>2.32070803383698</v>
      </c>
      <c r="AK40" s="10">
        <f t="shared" si="20"/>
        <v>23.2012633021106</v>
      </c>
      <c r="AL40" s="10">
        <f t="shared" si="13"/>
        <v>0.394807099897316</v>
      </c>
      <c r="AM40" s="10">
        <f t="shared" si="21"/>
        <v>0.277287174221309</v>
      </c>
      <c r="AN40" s="10">
        <f t="shared" si="15"/>
        <v>3.1651360097962</v>
      </c>
    </row>
    <row r="41" ht="16" spans="1:40">
      <c r="A41" s="14">
        <v>2022</v>
      </c>
      <c r="B41" s="15">
        <v>620000</v>
      </c>
      <c r="C41" s="16" t="s">
        <v>43</v>
      </c>
      <c r="D41" s="24">
        <v>11121.4</v>
      </c>
      <c r="E41" s="25">
        <v>2492</v>
      </c>
      <c r="F41" s="26">
        <v>42.59</v>
      </c>
      <c r="G41" s="27">
        <v>1351</v>
      </c>
      <c r="H41" s="10">
        <v>648141</v>
      </c>
      <c r="I41" s="30">
        <v>7872.30014868612</v>
      </c>
      <c r="J41" s="31">
        <v>4188.41</v>
      </c>
      <c r="K41" s="24">
        <v>1441494.3</v>
      </c>
      <c r="L41" s="10">
        <v>1307</v>
      </c>
      <c r="M41" s="10">
        <v>577.09938</v>
      </c>
      <c r="N41" s="10">
        <v>335.84</v>
      </c>
      <c r="O41" s="10">
        <v>347.3993</v>
      </c>
      <c r="P41" s="35">
        <v>157243</v>
      </c>
      <c r="Q41" s="35">
        <v>72945</v>
      </c>
      <c r="R41" s="38">
        <v>25281</v>
      </c>
      <c r="S41" s="20">
        <v>3922.2</v>
      </c>
      <c r="T41" s="39">
        <v>3274.7</v>
      </c>
      <c r="U41" s="22">
        <v>12165</v>
      </c>
      <c r="V41" s="22">
        <v>37572</v>
      </c>
      <c r="W41" s="32">
        <v>44646</v>
      </c>
      <c r="X41" s="10">
        <v>44968</v>
      </c>
      <c r="Y41" s="10">
        <f t="shared" si="23"/>
        <v>0.707851542853069</v>
      </c>
      <c r="Z41" s="10">
        <f t="shared" si="1"/>
        <v>31590.2895212124</v>
      </c>
      <c r="AA41" s="10">
        <f t="shared" si="2"/>
        <v>0.542134831460674</v>
      </c>
      <c r="AB41" s="10">
        <f t="shared" si="3"/>
        <v>0.0260088683788122</v>
      </c>
      <c r="AC41" s="10">
        <f t="shared" si="4"/>
        <v>0.376608160843059</v>
      </c>
      <c r="AD41" s="10">
        <f t="shared" si="22"/>
        <v>0.012961446400633</v>
      </c>
      <c r="AE41" s="10">
        <f t="shared" si="6"/>
        <v>7.17548971362422</v>
      </c>
      <c r="AF41" s="10">
        <f t="shared" si="18"/>
        <v>0.0518908932328664</v>
      </c>
      <c r="AG41" s="10">
        <f t="shared" si="19"/>
        <v>0.030197636988149</v>
      </c>
      <c r="AH41" s="10">
        <f t="shared" si="9"/>
        <v>0.0312370115273257</v>
      </c>
      <c r="AI41" s="10">
        <f t="shared" si="10"/>
        <v>58.511387649683</v>
      </c>
      <c r="AJ41" s="10">
        <f t="shared" si="16"/>
        <v>2.27318503066161</v>
      </c>
      <c r="AK41" s="10">
        <f t="shared" si="20"/>
        <v>23.1630086699745</v>
      </c>
      <c r="AL41" s="10">
        <f t="shared" si="13"/>
        <v>0.352671426259284</v>
      </c>
      <c r="AM41" s="10">
        <f t="shared" si="21"/>
        <v>0.294450338986099</v>
      </c>
      <c r="AN41" s="10">
        <f t="shared" si="15"/>
        <v>3.088532675709</v>
      </c>
    </row>
    <row r="42" ht="16" spans="1:40">
      <c r="A42" s="14">
        <v>2013</v>
      </c>
      <c r="B42" s="15">
        <v>440000</v>
      </c>
      <c r="C42" s="16" t="s">
        <v>45</v>
      </c>
      <c r="D42" s="24">
        <v>62503.4</v>
      </c>
      <c r="E42" s="25">
        <v>11270</v>
      </c>
      <c r="F42" s="26">
        <v>17.98</v>
      </c>
      <c r="G42" s="27">
        <v>7674</v>
      </c>
      <c r="H42" s="10">
        <v>1709881</v>
      </c>
      <c r="I42" s="30">
        <v>22308.4</v>
      </c>
      <c r="J42" s="31">
        <v>8384.23</v>
      </c>
      <c r="K42" s="24">
        <v>14434527.4</v>
      </c>
      <c r="L42" s="10">
        <v>6273</v>
      </c>
      <c r="M42" s="10">
        <v>67603.822</v>
      </c>
      <c r="N42" s="10">
        <v>529.39</v>
      </c>
      <c r="O42" s="10">
        <v>2768.0904</v>
      </c>
      <c r="P42" s="19">
        <v>202915</v>
      </c>
      <c r="Q42" s="19">
        <v>349011</v>
      </c>
      <c r="R42" s="38">
        <v>68491.93</v>
      </c>
      <c r="S42" s="20">
        <v>25453.9</v>
      </c>
      <c r="T42" s="39">
        <v>27142.1</v>
      </c>
      <c r="U42" s="22">
        <v>11068</v>
      </c>
      <c r="V42" s="22">
        <v>29537</v>
      </c>
      <c r="W42" s="32">
        <v>56029.21</v>
      </c>
      <c r="X42" s="10">
        <v>58833</v>
      </c>
      <c r="Y42" s="10">
        <f t="shared" si="23"/>
        <v>0.35691498382488</v>
      </c>
      <c r="Z42" s="10">
        <f t="shared" si="1"/>
        <v>19794.4986690328</v>
      </c>
      <c r="AA42" s="10">
        <f t="shared" si="2"/>
        <v>0.68092280390417</v>
      </c>
      <c r="AB42" s="10">
        <f t="shared" si="3"/>
        <v>0.0151719698314108</v>
      </c>
      <c r="AC42" s="10">
        <f t="shared" si="4"/>
        <v>0.134140382763178</v>
      </c>
      <c r="AD42" s="10">
        <f t="shared" si="22"/>
        <v>0.0230939875270785</v>
      </c>
      <c r="AE42" s="10">
        <f t="shared" si="6"/>
        <v>8.74400998809674</v>
      </c>
      <c r="AF42" s="10">
        <f t="shared" si="18"/>
        <v>1.08160231283418</v>
      </c>
      <c r="AG42" s="10">
        <f t="shared" si="19"/>
        <v>0.00846977924400913</v>
      </c>
      <c r="AH42" s="10">
        <f t="shared" si="9"/>
        <v>0.0442870371851771</v>
      </c>
      <c r="AI42" s="10">
        <f t="shared" si="10"/>
        <v>626.807563959955</v>
      </c>
      <c r="AJ42" s="10">
        <f t="shared" si="16"/>
        <v>1.09581126786703</v>
      </c>
      <c r="AK42" s="10">
        <f t="shared" si="20"/>
        <v>24.9834011704372</v>
      </c>
      <c r="AL42" s="10">
        <f t="shared" si="13"/>
        <v>0.40724024613061</v>
      </c>
      <c r="AM42" s="10">
        <f t="shared" si="21"/>
        <v>0.434249976801262</v>
      </c>
      <c r="AN42" s="10">
        <f t="shared" si="15"/>
        <v>2.66868449584387</v>
      </c>
    </row>
    <row r="43" ht="16" spans="1:40">
      <c r="A43" s="14">
        <v>2014</v>
      </c>
      <c r="B43" s="15">
        <v>440000</v>
      </c>
      <c r="C43" s="16" t="s">
        <v>45</v>
      </c>
      <c r="D43" s="24">
        <v>68173</v>
      </c>
      <c r="E43" s="25">
        <v>11489</v>
      </c>
      <c r="F43" s="26">
        <v>17.98</v>
      </c>
      <c r="G43" s="27">
        <v>7884</v>
      </c>
      <c r="H43" s="10">
        <v>1794188</v>
      </c>
      <c r="I43" s="30">
        <v>26293.93</v>
      </c>
      <c r="J43" s="31">
        <v>9102.88</v>
      </c>
      <c r="K43" s="24">
        <v>16054457.5</v>
      </c>
      <c r="L43" s="10">
        <v>6428</v>
      </c>
      <c r="M43" s="10">
        <v>66132.431</v>
      </c>
      <c r="N43" s="10">
        <v>413.25</v>
      </c>
      <c r="O43" s="10">
        <v>3353.3512</v>
      </c>
      <c r="P43" s="19">
        <v>212094</v>
      </c>
      <c r="Q43" s="19">
        <v>343491</v>
      </c>
      <c r="R43" s="38">
        <v>77889.5</v>
      </c>
      <c r="S43" s="20">
        <v>28471.1</v>
      </c>
      <c r="T43" s="39">
        <v>29497.8</v>
      </c>
      <c r="U43" s="22">
        <v>12246</v>
      </c>
      <c r="V43" s="22">
        <v>32148</v>
      </c>
      <c r="W43" s="32">
        <v>59908.63</v>
      </c>
      <c r="X43" s="10">
        <v>63469</v>
      </c>
      <c r="Y43" s="10">
        <f t="shared" si="23"/>
        <v>0.385694189781878</v>
      </c>
      <c r="Z43" s="10">
        <f t="shared" si="1"/>
        <v>22886.1780833841</v>
      </c>
      <c r="AA43" s="10">
        <f t="shared" si="2"/>
        <v>0.686221603272696</v>
      </c>
      <c r="AB43" s="10">
        <f t="shared" si="3"/>
        <v>0.0156165723735747</v>
      </c>
      <c r="AC43" s="10">
        <f t="shared" si="4"/>
        <v>0.133526176052103</v>
      </c>
      <c r="AD43" s="10">
        <f t="shared" si="22"/>
        <v>0.0235495834127881</v>
      </c>
      <c r="AE43" s="10">
        <f t="shared" si="6"/>
        <v>8.7684187268574</v>
      </c>
      <c r="AF43" s="10">
        <f t="shared" si="18"/>
        <v>0.970067783433324</v>
      </c>
      <c r="AG43" s="10">
        <f t="shared" si="19"/>
        <v>0.00606178399072947</v>
      </c>
      <c r="AH43" s="10">
        <f t="shared" si="9"/>
        <v>0.0491888460240858</v>
      </c>
      <c r="AI43" s="10">
        <f t="shared" si="10"/>
        <v>638.987764182425</v>
      </c>
      <c r="AJ43" s="10">
        <f t="shared" si="16"/>
        <v>1.14252710017162</v>
      </c>
      <c r="AK43" s="10">
        <f t="shared" si="20"/>
        <v>25.0117010410374</v>
      </c>
      <c r="AL43" s="10">
        <f t="shared" si="13"/>
        <v>0.417630146832324</v>
      </c>
      <c r="AM43" s="10">
        <f t="shared" si="21"/>
        <v>0.432690361286726</v>
      </c>
      <c r="AN43" s="10">
        <f t="shared" si="15"/>
        <v>2.62518373346399</v>
      </c>
    </row>
    <row r="44" ht="16" spans="1:40">
      <c r="A44" s="14">
        <v>2015</v>
      </c>
      <c r="B44" s="15">
        <v>440000</v>
      </c>
      <c r="C44" s="16" t="s">
        <v>45</v>
      </c>
      <c r="D44" s="24">
        <v>74732.4</v>
      </c>
      <c r="E44" s="25">
        <v>11678</v>
      </c>
      <c r="F44" s="26">
        <v>17.98</v>
      </c>
      <c r="G44" s="27">
        <v>8117</v>
      </c>
      <c r="H44" s="10">
        <v>1856355</v>
      </c>
      <c r="I44" s="30">
        <v>30343.03</v>
      </c>
      <c r="J44" s="31">
        <v>12756.04</v>
      </c>
      <c r="K44" s="24">
        <v>17981700</v>
      </c>
      <c r="L44" s="10">
        <v>6566</v>
      </c>
      <c r="M44" s="10">
        <v>63685.121</v>
      </c>
      <c r="N44" s="10">
        <v>662.58</v>
      </c>
      <c r="O44" s="10">
        <v>4378.7781</v>
      </c>
      <c r="P44" s="19">
        <v>216023</v>
      </c>
      <c r="Q44" s="19">
        <v>339225</v>
      </c>
      <c r="R44" s="38">
        <v>89289.27</v>
      </c>
      <c r="S44" s="20">
        <v>30326.8</v>
      </c>
      <c r="T44" s="39">
        <v>31315.5</v>
      </c>
      <c r="U44" s="22">
        <v>13360</v>
      </c>
      <c r="V44" s="22">
        <v>34757</v>
      </c>
      <c r="W44" s="32">
        <v>64516.26</v>
      </c>
      <c r="X44" s="10">
        <v>67503</v>
      </c>
      <c r="Y44" s="10">
        <f t="shared" si="23"/>
        <v>0.406022421332648</v>
      </c>
      <c r="Z44" s="10">
        <f t="shared" si="1"/>
        <v>25983.0707312896</v>
      </c>
      <c r="AA44" s="10">
        <f t="shared" si="2"/>
        <v>0.695067648569961</v>
      </c>
      <c r="AB44" s="10">
        <f t="shared" ref="AB44:AB67" si="24">H44/(E44*10000)</f>
        <v>0.0158961722897756</v>
      </c>
      <c r="AC44" s="10">
        <f t="shared" ref="AC44:AC91" si="25">J44/D44</f>
        <v>0.170689553660795</v>
      </c>
      <c r="AD44" s="10">
        <f t="shared" si="22"/>
        <v>0.0240614512580889</v>
      </c>
      <c r="AE44" s="10">
        <f t="shared" ref="AE44:AE81" si="26">LN(L44)</f>
        <v>8.78966009806154</v>
      </c>
      <c r="AF44" s="10">
        <f t="shared" si="18"/>
        <v>0.852175508882359</v>
      </c>
      <c r="AG44" s="10">
        <f t="shared" si="19"/>
        <v>0.00886603400934535</v>
      </c>
      <c r="AH44" s="10">
        <f t="shared" si="9"/>
        <v>0.0585927669926297</v>
      </c>
      <c r="AI44" s="10">
        <f t="shared" si="10"/>
        <v>649.499443826474</v>
      </c>
      <c r="AJ44" s="10">
        <f t="shared" si="16"/>
        <v>1.19478659858375</v>
      </c>
      <c r="AK44" s="10">
        <f t="shared" si="20"/>
        <v>25.0175590454932</v>
      </c>
      <c r="AL44" s="10">
        <f t="shared" si="13"/>
        <v>0.405805246452677</v>
      </c>
      <c r="AM44" s="10">
        <f t="shared" si="21"/>
        <v>0.419035117298521</v>
      </c>
      <c r="AN44" s="10">
        <f t="shared" si="15"/>
        <v>2.60157185628743</v>
      </c>
    </row>
    <row r="45" ht="16" spans="1:40">
      <c r="A45" s="14">
        <v>2016</v>
      </c>
      <c r="B45" s="15">
        <v>440000</v>
      </c>
      <c r="C45" s="16" t="s">
        <v>45</v>
      </c>
      <c r="D45" s="24">
        <v>82163.2</v>
      </c>
      <c r="E45" s="25">
        <v>11908</v>
      </c>
      <c r="F45" s="26">
        <v>17.98</v>
      </c>
      <c r="G45" s="27">
        <v>8353</v>
      </c>
      <c r="H45" s="10">
        <v>1892878</v>
      </c>
      <c r="I45" s="30">
        <v>33303.64</v>
      </c>
      <c r="J45" s="31">
        <v>13360.82</v>
      </c>
      <c r="K45" s="24">
        <v>20351439.9</v>
      </c>
      <c r="L45" s="10">
        <v>6703</v>
      </c>
      <c r="M45" s="10">
        <v>63453.76</v>
      </c>
      <c r="N45" s="10">
        <v>758.17</v>
      </c>
      <c r="O45" s="10">
        <v>3877.5616</v>
      </c>
      <c r="P45" s="19">
        <v>218085</v>
      </c>
      <c r="Q45" s="19">
        <v>366839</v>
      </c>
      <c r="R45" s="38">
        <v>103649.79</v>
      </c>
      <c r="S45" s="20">
        <v>33303.2</v>
      </c>
      <c r="T45" s="39">
        <v>32677.9</v>
      </c>
      <c r="U45" s="22">
        <v>14512</v>
      </c>
      <c r="V45" s="22">
        <v>37684</v>
      </c>
      <c r="W45" s="32">
        <v>69671.15</v>
      </c>
      <c r="X45" s="10">
        <v>74016</v>
      </c>
      <c r="Y45" s="10">
        <f t="shared" si="23"/>
        <v>0.405335235239134</v>
      </c>
      <c r="Z45" s="10">
        <f t="shared" si="1"/>
        <v>27967.4504534767</v>
      </c>
      <c r="AA45" s="10">
        <f t="shared" si="2"/>
        <v>0.701461202552906</v>
      </c>
      <c r="AB45" s="10">
        <f t="shared" si="24"/>
        <v>0.0158958515283843</v>
      </c>
      <c r="AC45" s="10">
        <f t="shared" si="25"/>
        <v>0.162613189359713</v>
      </c>
      <c r="AD45" s="10">
        <f t="shared" si="22"/>
        <v>0.024769531736836</v>
      </c>
      <c r="AE45" s="10">
        <f t="shared" si="26"/>
        <v>8.81031046635796</v>
      </c>
      <c r="AF45" s="10">
        <f t="shared" si="18"/>
        <v>0.772289297398349</v>
      </c>
      <c r="AG45" s="10">
        <f t="shared" si="19"/>
        <v>0.00922761041439477</v>
      </c>
      <c r="AH45" s="10">
        <f t="shared" si="9"/>
        <v>0.0471934101885029</v>
      </c>
      <c r="AI45" s="10">
        <f t="shared" si="10"/>
        <v>662.291434927697</v>
      </c>
      <c r="AJ45" s="10">
        <f t="shared" si="16"/>
        <v>1.26151111446487</v>
      </c>
      <c r="AK45" s="10">
        <f t="shared" si="20"/>
        <v>25.1053185127187</v>
      </c>
      <c r="AL45" s="10">
        <f t="shared" si="13"/>
        <v>0.40532988004362</v>
      </c>
      <c r="AM45" s="10">
        <f t="shared" si="21"/>
        <v>0.397719416965259</v>
      </c>
      <c r="AN45" s="10">
        <f t="shared" ref="AN45:AN74" si="27">V45/U45</f>
        <v>2.59674751929438</v>
      </c>
    </row>
    <row r="46" ht="16" spans="1:40">
      <c r="A46" s="14">
        <v>2017</v>
      </c>
      <c r="B46" s="15">
        <v>440000</v>
      </c>
      <c r="C46" s="16" t="s">
        <v>45</v>
      </c>
      <c r="D46" s="24">
        <v>91648.7</v>
      </c>
      <c r="E46" s="25">
        <v>12141</v>
      </c>
      <c r="F46" s="26">
        <v>17.98</v>
      </c>
      <c r="G46" s="27">
        <v>8589</v>
      </c>
      <c r="H46" s="10">
        <v>1925775</v>
      </c>
      <c r="I46" s="30">
        <v>37761.75</v>
      </c>
      <c r="J46" s="31">
        <v>14917.97</v>
      </c>
      <c r="K46" s="24">
        <v>23436283</v>
      </c>
      <c r="L46" s="10">
        <v>6858</v>
      </c>
      <c r="M46" s="10">
        <v>67968.91</v>
      </c>
      <c r="N46" s="10">
        <v>937.08</v>
      </c>
      <c r="O46" s="10">
        <v>6105.9862</v>
      </c>
      <c r="P46" s="19">
        <v>219580</v>
      </c>
      <c r="Q46" s="19">
        <v>392381</v>
      </c>
      <c r="R46" s="38">
        <v>118978.62</v>
      </c>
      <c r="S46" s="20">
        <v>36598.6</v>
      </c>
      <c r="T46" s="39">
        <v>35344</v>
      </c>
      <c r="U46" s="22">
        <v>15780</v>
      </c>
      <c r="V46" s="22">
        <v>40975</v>
      </c>
      <c r="W46" s="32">
        <v>76218.36</v>
      </c>
      <c r="X46" s="10">
        <v>80932</v>
      </c>
      <c r="Y46" s="10">
        <f t="shared" si="23"/>
        <v>0.41202712095207</v>
      </c>
      <c r="Z46" s="10">
        <f t="shared" si="1"/>
        <v>31102.6686434396</v>
      </c>
      <c r="AA46" s="10">
        <f t="shared" si="2"/>
        <v>0.707437608104769</v>
      </c>
      <c r="AB46" s="10">
        <f t="shared" si="24"/>
        <v>0.0158617494440326</v>
      </c>
      <c r="AC46" s="10">
        <f t="shared" si="25"/>
        <v>0.162773394494412</v>
      </c>
      <c r="AD46" s="10">
        <f t="shared" si="22"/>
        <v>0.0255718662676066</v>
      </c>
      <c r="AE46" s="10">
        <f t="shared" si="26"/>
        <v>8.83317113302287</v>
      </c>
      <c r="AF46" s="10">
        <f t="shared" si="18"/>
        <v>0.741624376559624</v>
      </c>
      <c r="AG46" s="10">
        <f t="shared" si="19"/>
        <v>0.010224694949301</v>
      </c>
      <c r="AH46" s="10">
        <f t="shared" si="9"/>
        <v>0.06662381681355</v>
      </c>
      <c r="AI46" s="10">
        <f t="shared" si="10"/>
        <v>675.250278086763</v>
      </c>
      <c r="AJ46" s="10">
        <f t="shared" si="16"/>
        <v>1.29820302961199</v>
      </c>
      <c r="AK46" s="10">
        <f t="shared" si="20"/>
        <v>25.1794604953102</v>
      </c>
      <c r="AL46" s="10">
        <f t="shared" si="13"/>
        <v>0.399335724347427</v>
      </c>
      <c r="AM46" s="10">
        <f t="shared" si="21"/>
        <v>0.385646495804087</v>
      </c>
      <c r="AN46" s="10">
        <f t="shared" si="27"/>
        <v>2.59664131812421</v>
      </c>
    </row>
    <row r="47" ht="16" spans="1:40">
      <c r="A47" s="14">
        <v>2018</v>
      </c>
      <c r="B47" s="15">
        <v>440000</v>
      </c>
      <c r="C47" s="16" t="s">
        <v>45</v>
      </c>
      <c r="D47" s="24">
        <v>99945.2</v>
      </c>
      <c r="E47" s="25">
        <v>12348</v>
      </c>
      <c r="F47" s="26">
        <v>17.98</v>
      </c>
      <c r="G47" s="27">
        <v>8867</v>
      </c>
      <c r="H47" s="10">
        <v>1963170</v>
      </c>
      <c r="I47" s="30">
        <v>41802.25725</v>
      </c>
      <c r="J47" s="31">
        <v>15621.91</v>
      </c>
      <c r="K47" s="24">
        <v>27046969.23</v>
      </c>
      <c r="L47" s="10">
        <v>6960</v>
      </c>
      <c r="M47" s="10">
        <v>71763.359</v>
      </c>
      <c r="N47" s="10">
        <v>1365.42</v>
      </c>
      <c r="O47" s="10">
        <v>11014.1775</v>
      </c>
      <c r="P47" s="19">
        <v>217699</v>
      </c>
      <c r="Q47" s="19">
        <v>416389</v>
      </c>
      <c r="R47" s="38">
        <v>139100.04</v>
      </c>
      <c r="S47" s="20">
        <v>39767.1</v>
      </c>
      <c r="T47" s="39">
        <v>37651.1</v>
      </c>
      <c r="U47" s="22">
        <v>17168</v>
      </c>
      <c r="V47" s="22">
        <v>44341</v>
      </c>
      <c r="W47" s="32">
        <v>81624.62</v>
      </c>
      <c r="X47" s="10">
        <v>86412</v>
      </c>
      <c r="Y47" s="10">
        <f t="shared" si="23"/>
        <v>0.418251774472411</v>
      </c>
      <c r="Z47" s="10">
        <f t="shared" si="1"/>
        <v>33853.4639212828</v>
      </c>
      <c r="AA47" s="10">
        <f t="shared" ref="AA47:AA76" si="28">G47/E47</f>
        <v>0.718091998704244</v>
      </c>
      <c r="AB47" s="10">
        <f t="shared" si="24"/>
        <v>0.0158986880466472</v>
      </c>
      <c r="AC47" s="10">
        <f t="shared" si="25"/>
        <v>0.156304755005743</v>
      </c>
      <c r="AD47" s="10">
        <f t="shared" si="22"/>
        <v>0.0270617990959046</v>
      </c>
      <c r="AE47" s="10">
        <f t="shared" si="26"/>
        <v>8.84793475332846</v>
      </c>
      <c r="AF47" s="10">
        <f t="shared" si="18"/>
        <v>0.718027068833721</v>
      </c>
      <c r="AG47" s="10">
        <f t="shared" si="19"/>
        <v>0.0136616866042591</v>
      </c>
      <c r="AH47" s="10">
        <f t="shared" si="9"/>
        <v>0.110202165786851</v>
      </c>
      <c r="AI47" s="10">
        <f t="shared" si="10"/>
        <v>686.763070077864</v>
      </c>
      <c r="AJ47" s="10">
        <f t="shared" si="16"/>
        <v>1.39176308617122</v>
      </c>
      <c r="AK47" s="10">
        <f t="shared" si="20"/>
        <v>25.230243852202</v>
      </c>
      <c r="AL47" s="10">
        <f t="shared" si="13"/>
        <v>0.397889043195671</v>
      </c>
      <c r="AM47" s="10">
        <f t="shared" si="21"/>
        <v>0.376717441157754</v>
      </c>
      <c r="AN47" s="10">
        <f t="shared" si="27"/>
        <v>2.58277027027027</v>
      </c>
    </row>
    <row r="48" ht="16" spans="1:40">
      <c r="A48" s="14">
        <v>2019</v>
      </c>
      <c r="B48" s="15">
        <v>440000</v>
      </c>
      <c r="C48" s="16" t="s">
        <v>45</v>
      </c>
      <c r="D48" s="24">
        <v>107986.9</v>
      </c>
      <c r="E48" s="25">
        <v>12489</v>
      </c>
      <c r="F48" s="26">
        <v>17.98</v>
      </c>
      <c r="G48" s="27">
        <v>9073</v>
      </c>
      <c r="H48" s="10">
        <v>2053977</v>
      </c>
      <c r="I48" s="30">
        <v>46442.30780475</v>
      </c>
      <c r="J48" s="31">
        <v>17081.72</v>
      </c>
      <c r="K48" s="24">
        <v>30984889.73</v>
      </c>
      <c r="L48" s="10">
        <v>6995</v>
      </c>
      <c r="M48" s="10">
        <v>71511.695</v>
      </c>
      <c r="N48" s="10">
        <v>2223.08</v>
      </c>
      <c r="O48" s="10">
        <v>16449.8025</v>
      </c>
      <c r="P48" s="19">
        <v>220290</v>
      </c>
      <c r="Q48" s="19">
        <v>358397</v>
      </c>
      <c r="R48" s="38">
        <v>162378.43</v>
      </c>
      <c r="S48" s="20">
        <v>42951.8</v>
      </c>
      <c r="T48" s="39">
        <v>39141.8</v>
      </c>
      <c r="U48" s="22">
        <v>18818</v>
      </c>
      <c r="V48" s="22">
        <v>48118</v>
      </c>
      <c r="W48" s="32">
        <v>86956.49</v>
      </c>
      <c r="X48" s="10">
        <v>94172</v>
      </c>
      <c r="Y48" s="10">
        <f t="shared" si="23"/>
        <v>0.430073534889417</v>
      </c>
      <c r="Z48" s="10">
        <f t="shared" ref="Z48:Z89" si="29">(I48/E48)*10000</f>
        <v>37186.5704257747</v>
      </c>
      <c r="AA48" s="10">
        <f t="shared" si="28"/>
        <v>0.726479301785571</v>
      </c>
      <c r="AB48" s="10">
        <f t="shared" si="24"/>
        <v>0.016446288734086</v>
      </c>
      <c r="AC48" s="10">
        <f t="shared" si="25"/>
        <v>0.158183261117784</v>
      </c>
      <c r="AD48" s="10">
        <f t="shared" si="22"/>
        <v>0.0286931930910138</v>
      </c>
      <c r="AE48" s="10">
        <f t="shared" si="26"/>
        <v>8.85295088709958</v>
      </c>
      <c r="AF48" s="10">
        <f t="shared" si="18"/>
        <v>0.662225649592682</v>
      </c>
      <c r="AG48" s="10">
        <f t="shared" si="19"/>
        <v>0.0205865711489079</v>
      </c>
      <c r="AH48" s="10">
        <f t="shared" si="9"/>
        <v>0.152331463353425</v>
      </c>
      <c r="AI48" s="10">
        <f t="shared" si="10"/>
        <v>694.60511679644</v>
      </c>
      <c r="AJ48" s="10">
        <f t="shared" si="16"/>
        <v>1.50368637306933</v>
      </c>
      <c r="AK48" s="10">
        <f t="shared" si="20"/>
        <v>25.0920967286259</v>
      </c>
      <c r="AL48" s="10">
        <f t="shared" si="13"/>
        <v>0.397750097465526</v>
      </c>
      <c r="AM48" s="10">
        <f t="shared" si="21"/>
        <v>0.362468040104865</v>
      </c>
      <c r="AN48" s="10">
        <f t="shared" si="27"/>
        <v>2.55701987458816</v>
      </c>
    </row>
    <row r="49" ht="16" spans="1:40">
      <c r="A49" s="14">
        <v>2020</v>
      </c>
      <c r="B49" s="15">
        <v>440000</v>
      </c>
      <c r="C49" s="16" t="s">
        <v>45</v>
      </c>
      <c r="D49" s="24">
        <v>111151.6</v>
      </c>
      <c r="E49" s="25">
        <v>12624</v>
      </c>
      <c r="F49" s="26">
        <v>17.98</v>
      </c>
      <c r="G49" s="27">
        <v>9361</v>
      </c>
      <c r="H49" s="10">
        <v>2400227</v>
      </c>
      <c r="I49" s="30">
        <v>49786.153966692</v>
      </c>
      <c r="J49" s="31">
        <v>17222.75</v>
      </c>
      <c r="K49" s="24">
        <v>34798833.3</v>
      </c>
      <c r="L49" s="10">
        <v>7039</v>
      </c>
      <c r="M49" s="10">
        <v>70633.111</v>
      </c>
      <c r="N49" s="10">
        <v>3267.21</v>
      </c>
      <c r="O49" s="10">
        <v>20833.1079</v>
      </c>
      <c r="P49" s="19">
        <v>221873</v>
      </c>
      <c r="Q49" s="19">
        <v>344578</v>
      </c>
      <c r="R49" s="38">
        <v>189802.41</v>
      </c>
      <c r="S49" s="20">
        <v>40207.9</v>
      </c>
      <c r="T49" s="39">
        <v>39353.9</v>
      </c>
      <c r="U49" s="22">
        <v>20143</v>
      </c>
      <c r="V49" s="22">
        <v>50257</v>
      </c>
      <c r="W49" s="32">
        <v>88521.19</v>
      </c>
      <c r="X49" s="10">
        <v>88210.04</v>
      </c>
      <c r="Y49" s="10">
        <f t="shared" si="23"/>
        <v>0.447912166506753</v>
      </c>
      <c r="Z49" s="10">
        <f t="shared" si="29"/>
        <v>39437.7011776711</v>
      </c>
      <c r="AA49" s="10">
        <f t="shared" si="28"/>
        <v>0.741524081115336</v>
      </c>
      <c r="AB49" s="10">
        <f t="shared" si="24"/>
        <v>0.0190132050063371</v>
      </c>
      <c r="AC49" s="10">
        <f t="shared" si="25"/>
        <v>0.154948286844274</v>
      </c>
      <c r="AD49" s="10">
        <f t="shared" si="22"/>
        <v>0.0313075415018767</v>
      </c>
      <c r="AE49" s="10">
        <f t="shared" si="26"/>
        <v>8.85922139360813</v>
      </c>
      <c r="AF49" s="10">
        <f t="shared" si="18"/>
        <v>0.635466435031075</v>
      </c>
      <c r="AG49" s="10">
        <f t="shared" si="19"/>
        <v>0.0293941787612594</v>
      </c>
      <c r="AH49" s="10">
        <f t="shared" si="9"/>
        <v>0.187429671727622</v>
      </c>
      <c r="AI49" s="10">
        <f t="shared" si="10"/>
        <v>702.113459399333</v>
      </c>
      <c r="AJ49" s="10">
        <f t="shared" si="16"/>
        <v>1.70759944076379</v>
      </c>
      <c r="AK49" s="10">
        <f t="shared" si="20"/>
        <v>25.0599361839888</v>
      </c>
      <c r="AL49" s="10">
        <f t="shared" si="13"/>
        <v>0.361739282205564</v>
      </c>
      <c r="AM49" s="10">
        <f t="shared" si="21"/>
        <v>0.354056081963732</v>
      </c>
      <c r="AN49" s="10">
        <f t="shared" si="27"/>
        <v>2.49501067368317</v>
      </c>
    </row>
    <row r="50" ht="16" spans="1:40">
      <c r="A50" s="14">
        <v>2021</v>
      </c>
      <c r="B50" s="15">
        <v>440000</v>
      </c>
      <c r="C50" s="16" t="s">
        <v>45</v>
      </c>
      <c r="D50" s="24">
        <v>124719.5</v>
      </c>
      <c r="E50" s="25">
        <v>12684</v>
      </c>
      <c r="F50" s="26">
        <v>17.98</v>
      </c>
      <c r="G50" s="27">
        <v>9466</v>
      </c>
      <c r="H50" s="10">
        <v>2539779</v>
      </c>
      <c r="I50" s="30">
        <v>52922.6816665936</v>
      </c>
      <c r="J50" s="31">
        <v>17984.63</v>
      </c>
      <c r="K50" s="24">
        <v>40021795.31</v>
      </c>
      <c r="L50" s="10">
        <v>7072</v>
      </c>
      <c r="M50" s="10">
        <v>82551.459</v>
      </c>
      <c r="N50" s="10">
        <v>4099.61</v>
      </c>
      <c r="O50" s="10">
        <v>4953.47</v>
      </c>
      <c r="P50" s="19">
        <v>222987</v>
      </c>
      <c r="Q50" s="19">
        <v>386540</v>
      </c>
      <c r="R50" s="38">
        <v>215784.19</v>
      </c>
      <c r="S50" s="20">
        <v>44187.7</v>
      </c>
      <c r="T50" s="39">
        <v>45510.3</v>
      </c>
      <c r="U50" s="22">
        <v>22306</v>
      </c>
      <c r="V50" s="22">
        <v>54854</v>
      </c>
      <c r="W50" s="32">
        <v>98561</v>
      </c>
      <c r="X50" s="10">
        <v>98285</v>
      </c>
      <c r="Y50" s="10">
        <f t="shared" si="23"/>
        <v>0.424333658061439</v>
      </c>
      <c r="Z50" s="10">
        <f t="shared" si="29"/>
        <v>41723.9685167089</v>
      </c>
      <c r="AA50" s="10">
        <f t="shared" si="28"/>
        <v>0.746294544307789</v>
      </c>
      <c r="AB50" s="10">
        <f t="shared" si="24"/>
        <v>0.02002348628193</v>
      </c>
      <c r="AC50" s="10">
        <f t="shared" si="25"/>
        <v>0.144200626205204</v>
      </c>
      <c r="AD50" s="10">
        <f t="shared" si="22"/>
        <v>0.0320894449624958</v>
      </c>
      <c r="AE50" s="10">
        <f t="shared" si="26"/>
        <v>8.86389860431748</v>
      </c>
      <c r="AF50" s="10">
        <f t="shared" si="18"/>
        <v>0.661896968797983</v>
      </c>
      <c r="AG50" s="10">
        <f t="shared" si="19"/>
        <v>0.0328706417200197</v>
      </c>
      <c r="AH50" s="10">
        <f t="shared" si="9"/>
        <v>0.0397168846892427</v>
      </c>
      <c r="AI50" s="10">
        <f t="shared" si="10"/>
        <v>705.450500556174</v>
      </c>
      <c r="AJ50" s="10">
        <f t="shared" si="16"/>
        <v>1.73015599004165</v>
      </c>
      <c r="AK50" s="10">
        <f t="shared" si="20"/>
        <v>25.1798593873183</v>
      </c>
      <c r="AL50" s="10">
        <f t="shared" ref="AL50:AL89" si="30">S50/D50</f>
        <v>0.354296641663894</v>
      </c>
      <c r="AM50" s="10">
        <f t="shared" si="21"/>
        <v>0.364901238378922</v>
      </c>
      <c r="AN50" s="10">
        <f t="shared" si="27"/>
        <v>2.45915897068053</v>
      </c>
    </row>
    <row r="51" ht="16" spans="1:40">
      <c r="A51" s="14">
        <v>2022</v>
      </c>
      <c r="B51" s="15">
        <v>440000</v>
      </c>
      <c r="C51" s="16" t="s">
        <v>45</v>
      </c>
      <c r="D51" s="24">
        <v>129513.6</v>
      </c>
      <c r="E51" s="25">
        <v>12657</v>
      </c>
      <c r="F51" s="26">
        <v>17.98</v>
      </c>
      <c r="G51" s="27">
        <v>9465</v>
      </c>
      <c r="H51" s="10">
        <v>2670913</v>
      </c>
      <c r="I51" s="30">
        <v>51546.6919432622</v>
      </c>
      <c r="J51" s="31">
        <v>18320.23</v>
      </c>
      <c r="K51" s="24">
        <v>44118954.9</v>
      </c>
      <c r="L51" s="10">
        <v>6904</v>
      </c>
      <c r="M51" s="10">
        <v>83773.576</v>
      </c>
      <c r="N51" s="10">
        <v>3967.48</v>
      </c>
      <c r="O51" s="10">
        <v>5063.1272</v>
      </c>
      <c r="P51" s="35">
        <v>223081</v>
      </c>
      <c r="Q51" s="35">
        <v>351809</v>
      </c>
      <c r="R51" s="38">
        <v>239605.98</v>
      </c>
      <c r="S51" s="20">
        <v>44882.9</v>
      </c>
      <c r="T51" s="39">
        <v>47356.9</v>
      </c>
      <c r="U51" s="22">
        <v>23598</v>
      </c>
      <c r="V51" s="22">
        <v>56905</v>
      </c>
      <c r="W51" s="32">
        <v>102217</v>
      </c>
      <c r="X51" s="10">
        <v>101905</v>
      </c>
      <c r="Y51" s="10">
        <f t="shared" si="23"/>
        <v>0.398002155320076</v>
      </c>
      <c r="Z51" s="10">
        <f t="shared" si="29"/>
        <v>40725.8370413701</v>
      </c>
      <c r="AA51" s="10">
        <f t="shared" si="28"/>
        <v>0.747807537331121</v>
      </c>
      <c r="AB51" s="10">
        <f t="shared" si="24"/>
        <v>0.0211022596191831</v>
      </c>
      <c r="AC51" s="10">
        <f t="shared" si="25"/>
        <v>0.141454102117461</v>
      </c>
      <c r="AD51" s="10">
        <f t="shared" si="22"/>
        <v>0.0340651135479208</v>
      </c>
      <c r="AE51" s="10">
        <f t="shared" si="26"/>
        <v>8.83985623276326</v>
      </c>
      <c r="AF51" s="10">
        <f t="shared" si="18"/>
        <v>0.646832270896647</v>
      </c>
      <c r="AG51" s="10">
        <f t="shared" si="19"/>
        <v>0.03063369406765</v>
      </c>
      <c r="AH51" s="10">
        <f t="shared" si="9"/>
        <v>0.0390934017740222</v>
      </c>
      <c r="AI51" s="10">
        <f t="shared" si="10"/>
        <v>703.948832035595</v>
      </c>
      <c r="AJ51" s="10">
        <f t="shared" si="16"/>
        <v>1.85004493736565</v>
      </c>
      <c r="AK51" s="10">
        <f t="shared" si="20"/>
        <v>25.086133906866</v>
      </c>
      <c r="AL51" s="10">
        <f t="shared" si="30"/>
        <v>0.346549705976824</v>
      </c>
      <c r="AM51" s="10">
        <f t="shared" si="21"/>
        <v>0.365651946976997</v>
      </c>
      <c r="AN51" s="10">
        <f t="shared" si="27"/>
        <v>2.41143317230274</v>
      </c>
    </row>
    <row r="52" ht="31" spans="1:40">
      <c r="A52" s="14">
        <v>2013</v>
      </c>
      <c r="B52" s="15">
        <v>450000</v>
      </c>
      <c r="C52" s="16" t="s">
        <v>46</v>
      </c>
      <c r="D52" s="24">
        <v>12448.4</v>
      </c>
      <c r="E52" s="25">
        <v>4731</v>
      </c>
      <c r="F52" s="26">
        <v>23.76</v>
      </c>
      <c r="G52" s="27">
        <v>2134</v>
      </c>
      <c r="H52" s="10">
        <v>656127</v>
      </c>
      <c r="I52" s="30">
        <v>11907.7</v>
      </c>
      <c r="J52" s="31">
        <v>3208.66</v>
      </c>
      <c r="K52" s="24">
        <v>1076789.5</v>
      </c>
      <c r="L52" s="10">
        <v>2782.26</v>
      </c>
      <c r="M52" s="10">
        <v>2033.0727</v>
      </c>
      <c r="N52" s="10">
        <v>7.34</v>
      </c>
      <c r="O52" s="10">
        <v>435.2636</v>
      </c>
      <c r="P52" s="19">
        <v>111384</v>
      </c>
      <c r="Q52" s="19">
        <v>151143</v>
      </c>
      <c r="R52" s="38">
        <v>13653.38</v>
      </c>
      <c r="S52" s="20">
        <v>5133.1</v>
      </c>
      <c r="T52" s="39">
        <v>3699.7</v>
      </c>
      <c r="U52" s="22">
        <v>7793</v>
      </c>
      <c r="V52" s="22">
        <v>22689</v>
      </c>
      <c r="W52" s="32">
        <v>26416</v>
      </c>
      <c r="X52" s="10">
        <v>30741.2063</v>
      </c>
      <c r="Y52" s="10">
        <f t="shared" si="23"/>
        <v>0.956564699077793</v>
      </c>
      <c r="Z52" s="10">
        <f t="shared" si="29"/>
        <v>25169.5201860072</v>
      </c>
      <c r="AA52" s="10">
        <f t="shared" si="28"/>
        <v>0.451067427605157</v>
      </c>
      <c r="AB52" s="10">
        <f t="shared" si="24"/>
        <v>0.0138686746987952</v>
      </c>
      <c r="AC52" s="10">
        <f t="shared" si="25"/>
        <v>0.257756820153594</v>
      </c>
      <c r="AD52" s="10">
        <f t="shared" si="22"/>
        <v>0.00865002329616658</v>
      </c>
      <c r="AE52" s="10">
        <f t="shared" si="26"/>
        <v>7.93101882606039</v>
      </c>
      <c r="AF52" s="10">
        <f t="shared" si="18"/>
        <v>0.163320000963979</v>
      </c>
      <c r="AG52" s="10">
        <f t="shared" si="19"/>
        <v>0.000589634009189936</v>
      </c>
      <c r="AH52" s="10">
        <f t="shared" si="9"/>
        <v>0.0349654252755374</v>
      </c>
      <c r="AI52" s="10">
        <f t="shared" si="10"/>
        <v>199.116161616162</v>
      </c>
      <c r="AJ52" s="10">
        <f t="shared" si="16"/>
        <v>1.09679798206998</v>
      </c>
      <c r="AK52" s="10">
        <f t="shared" si="20"/>
        <v>23.5467206571133</v>
      </c>
      <c r="AL52" s="10">
        <f t="shared" si="30"/>
        <v>0.412350181549436</v>
      </c>
      <c r="AM52" s="10">
        <f t="shared" si="21"/>
        <v>0.297202853378747</v>
      </c>
      <c r="AN52" s="10">
        <f t="shared" si="27"/>
        <v>2.91145900166816</v>
      </c>
    </row>
    <row r="53" ht="31" spans="1:40">
      <c r="A53" s="14">
        <v>2014</v>
      </c>
      <c r="B53" s="15">
        <v>450000</v>
      </c>
      <c r="C53" s="16" t="s">
        <v>46</v>
      </c>
      <c r="D53" s="24">
        <v>13587.8</v>
      </c>
      <c r="E53" s="25">
        <v>4770</v>
      </c>
      <c r="F53" s="26">
        <v>23.76</v>
      </c>
      <c r="G53" s="27">
        <v>2220</v>
      </c>
      <c r="H53" s="10">
        <v>701913</v>
      </c>
      <c r="I53" s="30">
        <v>13843.22</v>
      </c>
      <c r="J53" s="31">
        <v>3479.8</v>
      </c>
      <c r="K53" s="24">
        <v>1119032.6</v>
      </c>
      <c r="L53" s="10">
        <v>2795</v>
      </c>
      <c r="M53" s="10">
        <v>2490.8348</v>
      </c>
      <c r="N53" s="10">
        <v>11.58</v>
      </c>
      <c r="O53" s="10">
        <v>502.0975</v>
      </c>
      <c r="P53" s="19">
        <v>114900</v>
      </c>
      <c r="Q53" s="19">
        <v>163023</v>
      </c>
      <c r="R53" s="38">
        <v>15585.46</v>
      </c>
      <c r="S53" s="20">
        <v>5772.8</v>
      </c>
      <c r="T53" s="39">
        <v>4023.8</v>
      </c>
      <c r="U53" s="22">
        <v>8683</v>
      </c>
      <c r="V53" s="22">
        <v>24669</v>
      </c>
      <c r="W53" s="32">
        <v>28603</v>
      </c>
      <c r="X53" s="10">
        <v>33089.609</v>
      </c>
      <c r="Y53" s="10">
        <f t="shared" si="23"/>
        <v>1.01879774503599</v>
      </c>
      <c r="Z53" s="10">
        <f t="shared" si="29"/>
        <v>29021.4255765199</v>
      </c>
      <c r="AA53" s="10">
        <f t="shared" si="28"/>
        <v>0.465408805031447</v>
      </c>
      <c r="AB53" s="10">
        <f t="shared" si="24"/>
        <v>0.0147151572327044</v>
      </c>
      <c r="AC53" s="10">
        <f t="shared" si="25"/>
        <v>0.256097381474558</v>
      </c>
      <c r="AD53" s="10">
        <f t="shared" si="22"/>
        <v>0.00823556867189685</v>
      </c>
      <c r="AE53" s="10">
        <f t="shared" si="26"/>
        <v>7.9355873855892</v>
      </c>
      <c r="AF53" s="10">
        <f t="shared" ref="AF53:AF84" si="31">M53/D53</f>
        <v>0.183314061143084</v>
      </c>
      <c r="AG53" s="10">
        <f t="shared" si="19"/>
        <v>0.000852235093245411</v>
      </c>
      <c r="AH53" s="10">
        <f t="shared" si="9"/>
        <v>0.0369520820147485</v>
      </c>
      <c r="AI53" s="10">
        <f t="shared" si="10"/>
        <v>200.757575757576</v>
      </c>
      <c r="AJ53" s="10">
        <f t="shared" si="16"/>
        <v>1.14701864908226</v>
      </c>
      <c r="AK53" s="10">
        <f t="shared" si="20"/>
        <v>23.653464037966</v>
      </c>
      <c r="AL53" s="10">
        <f t="shared" si="30"/>
        <v>0.424851705206141</v>
      </c>
      <c r="AM53" s="10">
        <f t="shared" si="21"/>
        <v>0.296133296044982</v>
      </c>
      <c r="AN53" s="10">
        <f t="shared" si="27"/>
        <v>2.84106875503858</v>
      </c>
    </row>
    <row r="54" ht="31" spans="1:40">
      <c r="A54" s="14">
        <v>2015</v>
      </c>
      <c r="B54" s="15">
        <v>450000</v>
      </c>
      <c r="C54" s="16" t="s">
        <v>46</v>
      </c>
      <c r="D54" s="24">
        <v>14797.8</v>
      </c>
      <c r="E54" s="25">
        <v>4811</v>
      </c>
      <c r="F54" s="26">
        <v>23.76</v>
      </c>
      <c r="G54" s="27">
        <v>2309</v>
      </c>
      <c r="H54" s="10">
        <v>751181</v>
      </c>
      <c r="I54" s="30">
        <v>16227.78</v>
      </c>
      <c r="J54" s="31">
        <v>4064.68</v>
      </c>
      <c r="K54" s="24">
        <v>1059124.3</v>
      </c>
      <c r="L54" s="10">
        <v>2595</v>
      </c>
      <c r="M54" s="10">
        <v>3182.1236</v>
      </c>
      <c r="N54" s="10">
        <v>7.31</v>
      </c>
      <c r="O54" s="10">
        <v>651.5337</v>
      </c>
      <c r="P54" s="19">
        <v>117993</v>
      </c>
      <c r="Q54" s="19">
        <v>149714</v>
      </c>
      <c r="R54" s="38">
        <v>17656.76</v>
      </c>
      <c r="S54" s="20">
        <v>5771.5</v>
      </c>
      <c r="T54" s="39">
        <v>4159.1</v>
      </c>
      <c r="U54" s="22">
        <v>9467</v>
      </c>
      <c r="V54" s="22">
        <v>26416</v>
      </c>
      <c r="W54" s="32">
        <v>30890</v>
      </c>
      <c r="X54" s="10">
        <v>35190</v>
      </c>
      <c r="Y54" s="10">
        <f t="shared" si="23"/>
        <v>1.09663463487816</v>
      </c>
      <c r="Z54" s="10">
        <f t="shared" si="29"/>
        <v>33730.5757638745</v>
      </c>
      <c r="AA54" s="10">
        <f t="shared" si="28"/>
        <v>0.479941800041571</v>
      </c>
      <c r="AB54" s="10">
        <f t="shared" si="24"/>
        <v>0.0156138224901268</v>
      </c>
      <c r="AC54" s="10">
        <f t="shared" si="25"/>
        <v>0.274681371555231</v>
      </c>
      <c r="AD54" s="10">
        <f t="shared" si="22"/>
        <v>0.00715730919461001</v>
      </c>
      <c r="AE54" s="10">
        <f t="shared" si="26"/>
        <v>7.86134179559999</v>
      </c>
      <c r="AF54" s="10">
        <f t="shared" si="31"/>
        <v>0.215040316803849</v>
      </c>
      <c r="AG54" s="10">
        <f t="shared" si="19"/>
        <v>0.000493992350214221</v>
      </c>
      <c r="AH54" s="10">
        <f t="shared" si="9"/>
        <v>0.0440290921623485</v>
      </c>
      <c r="AI54" s="10">
        <f t="shared" si="10"/>
        <v>202.483164983165</v>
      </c>
      <c r="AJ54" s="10">
        <f t="shared" si="16"/>
        <v>1.19320169214343</v>
      </c>
      <c r="AK54" s="10">
        <f t="shared" si="20"/>
        <v>23.5948626660633</v>
      </c>
      <c r="AL54" s="10">
        <f t="shared" si="30"/>
        <v>0.390024192785414</v>
      </c>
      <c r="AM54" s="10">
        <f t="shared" si="21"/>
        <v>0.281062049764154</v>
      </c>
      <c r="AN54" s="10">
        <f t="shared" si="27"/>
        <v>2.79032428435618</v>
      </c>
    </row>
    <row r="55" ht="31" spans="1:40">
      <c r="A55" s="14">
        <v>2016</v>
      </c>
      <c r="B55" s="15">
        <v>450000</v>
      </c>
      <c r="C55" s="16" t="s">
        <v>46</v>
      </c>
      <c r="D55" s="24">
        <v>16116.6</v>
      </c>
      <c r="E55" s="25">
        <v>4857</v>
      </c>
      <c r="F55" s="26">
        <v>23.76</v>
      </c>
      <c r="G55" s="27">
        <v>2392</v>
      </c>
      <c r="H55" s="10">
        <v>810282</v>
      </c>
      <c r="I55" s="30">
        <v>18236.78</v>
      </c>
      <c r="J55" s="31">
        <v>4440.85</v>
      </c>
      <c r="K55" s="24">
        <v>1177487.1</v>
      </c>
      <c r="L55" s="10">
        <v>2583</v>
      </c>
      <c r="M55" s="10">
        <v>3163.5568</v>
      </c>
      <c r="N55" s="10">
        <v>33.99</v>
      </c>
      <c r="O55" s="10">
        <v>452.6566</v>
      </c>
      <c r="P55" s="19">
        <v>120547</v>
      </c>
      <c r="Q55" s="19">
        <v>160761</v>
      </c>
      <c r="R55" s="38">
        <v>20175.77</v>
      </c>
      <c r="S55" s="20">
        <v>6349.8</v>
      </c>
      <c r="T55" s="39">
        <v>4307.3</v>
      </c>
      <c r="U55" s="22">
        <v>10359</v>
      </c>
      <c r="V55" s="22">
        <v>28324</v>
      </c>
      <c r="W55" s="32">
        <v>33340</v>
      </c>
      <c r="X55" s="10">
        <v>38027</v>
      </c>
      <c r="Y55" s="10">
        <f t="shared" si="23"/>
        <v>1.1315525607138</v>
      </c>
      <c r="Z55" s="10">
        <f t="shared" si="29"/>
        <v>37547.4161004735</v>
      </c>
      <c r="AA55" s="10">
        <f t="shared" si="28"/>
        <v>0.492485073090385</v>
      </c>
      <c r="AB55" s="10">
        <f t="shared" si="24"/>
        <v>0.01668276714021</v>
      </c>
      <c r="AC55" s="10">
        <f t="shared" si="25"/>
        <v>0.275545090155492</v>
      </c>
      <c r="AD55" s="10">
        <f t="shared" si="22"/>
        <v>0.0073060515245151</v>
      </c>
      <c r="AE55" s="10">
        <f t="shared" si="26"/>
        <v>7.85670679309584</v>
      </c>
      <c r="AF55" s="10">
        <f t="shared" si="31"/>
        <v>0.196291823337428</v>
      </c>
      <c r="AG55" s="10">
        <f t="shared" si="19"/>
        <v>0.00210900562153308</v>
      </c>
      <c r="AH55" s="10">
        <f t="shared" si="9"/>
        <v>0.0280863581648735</v>
      </c>
      <c r="AI55" s="10">
        <f t="shared" si="10"/>
        <v>204.419191919192</v>
      </c>
      <c r="AJ55" s="10">
        <f t="shared" si="16"/>
        <v>1.25186267575047</v>
      </c>
      <c r="AK55" s="10">
        <f t="shared" si="20"/>
        <v>23.6874690663569</v>
      </c>
      <c r="AL55" s="10">
        <f t="shared" si="30"/>
        <v>0.393991288485164</v>
      </c>
      <c r="AM55" s="10">
        <f t="shared" si="21"/>
        <v>0.267258602931139</v>
      </c>
      <c r="AN55" s="10">
        <f t="shared" si="27"/>
        <v>2.73424075682981</v>
      </c>
    </row>
    <row r="56" ht="31" spans="1:40">
      <c r="A56" s="14">
        <v>2017</v>
      </c>
      <c r="B56" s="15">
        <v>450000</v>
      </c>
      <c r="C56" s="16" t="s">
        <v>46</v>
      </c>
      <c r="D56" s="24">
        <v>17790.7</v>
      </c>
      <c r="E56" s="25">
        <v>4907</v>
      </c>
      <c r="F56" s="26">
        <v>23.76</v>
      </c>
      <c r="G56" s="27">
        <v>2482</v>
      </c>
      <c r="H56" s="10">
        <v>866716</v>
      </c>
      <c r="I56" s="30">
        <v>20499.11</v>
      </c>
      <c r="J56" s="31">
        <v>4907.57</v>
      </c>
      <c r="K56" s="24">
        <v>1421787.2</v>
      </c>
      <c r="L56" s="10">
        <v>2566</v>
      </c>
      <c r="M56" s="10">
        <v>3907.8513</v>
      </c>
      <c r="N56" s="10">
        <v>39.42</v>
      </c>
      <c r="O56" s="10">
        <v>799.6892</v>
      </c>
      <c r="P56" s="19">
        <v>123259</v>
      </c>
      <c r="Q56" s="19">
        <v>174642</v>
      </c>
      <c r="R56" s="38">
        <v>22781.81</v>
      </c>
      <c r="S56" s="20">
        <v>7038</v>
      </c>
      <c r="T56" s="39">
        <v>4680.1</v>
      </c>
      <c r="U56" s="22">
        <v>11325</v>
      </c>
      <c r="V56" s="22">
        <v>30502</v>
      </c>
      <c r="W56" s="32">
        <v>36441</v>
      </c>
      <c r="X56" s="10">
        <v>38102</v>
      </c>
      <c r="Y56" s="10">
        <f t="shared" si="23"/>
        <v>1.15223740493629</v>
      </c>
      <c r="Z56" s="10">
        <f t="shared" si="29"/>
        <v>41775.2394538415</v>
      </c>
      <c r="AA56" s="10">
        <f t="shared" si="28"/>
        <v>0.505808029345832</v>
      </c>
      <c r="AB56" s="10">
        <f t="shared" si="24"/>
        <v>0.017662848991237</v>
      </c>
      <c r="AC56" s="10">
        <f t="shared" si="25"/>
        <v>0.275850303810418</v>
      </c>
      <c r="AD56" s="10">
        <f t="shared" si="22"/>
        <v>0.00799174400107922</v>
      </c>
      <c r="AE56" s="10">
        <f t="shared" si="26"/>
        <v>7.85010354517558</v>
      </c>
      <c r="AF56" s="10">
        <f t="shared" si="31"/>
        <v>0.219656972463141</v>
      </c>
      <c r="AG56" s="10">
        <f t="shared" si="19"/>
        <v>0.00221576441623995</v>
      </c>
      <c r="AH56" s="10">
        <f t="shared" si="9"/>
        <v>0.0449498445817197</v>
      </c>
      <c r="AI56" s="10">
        <f t="shared" si="10"/>
        <v>206.523569023569</v>
      </c>
      <c r="AJ56" s="10">
        <f t="shared" si="16"/>
        <v>1.2805460156149</v>
      </c>
      <c r="AK56" s="10">
        <f t="shared" si="20"/>
        <v>23.7925365548397</v>
      </c>
      <c r="AL56" s="10">
        <f t="shared" si="30"/>
        <v>0.395599948287588</v>
      </c>
      <c r="AM56" s="10">
        <f t="shared" si="21"/>
        <v>0.26306441005694</v>
      </c>
      <c r="AN56" s="10">
        <f t="shared" si="27"/>
        <v>2.69333333333333</v>
      </c>
    </row>
    <row r="57" ht="31" spans="1:40">
      <c r="A57" s="14">
        <v>2018</v>
      </c>
      <c r="B57" s="15">
        <v>450000</v>
      </c>
      <c r="C57" s="16" t="s">
        <v>46</v>
      </c>
      <c r="D57" s="24">
        <v>19627.8</v>
      </c>
      <c r="E57" s="25">
        <v>4947</v>
      </c>
      <c r="F57" s="26">
        <v>23.76</v>
      </c>
      <c r="G57" s="27">
        <v>2564</v>
      </c>
      <c r="H57" s="10">
        <v>942227</v>
      </c>
      <c r="I57" s="30">
        <v>22713.01388</v>
      </c>
      <c r="J57" s="31">
        <v>5309.83</v>
      </c>
      <c r="K57" s="24">
        <v>1448529.7</v>
      </c>
      <c r="L57" s="10">
        <v>2562</v>
      </c>
      <c r="M57" s="10">
        <v>4122.7902</v>
      </c>
      <c r="N57" s="10">
        <v>61.41</v>
      </c>
      <c r="O57" s="10">
        <v>2180.4255</v>
      </c>
      <c r="P57" s="19">
        <v>125449</v>
      </c>
      <c r="Q57" s="19">
        <v>190652</v>
      </c>
      <c r="R57" s="38">
        <v>26143.38</v>
      </c>
      <c r="S57" s="20">
        <v>7663.5</v>
      </c>
      <c r="T57" s="39">
        <v>5101.9</v>
      </c>
      <c r="U57" s="22">
        <v>12435</v>
      </c>
      <c r="V57" s="22">
        <v>32436</v>
      </c>
      <c r="W57" s="32">
        <v>39837</v>
      </c>
      <c r="X57" s="10">
        <v>41489.1652</v>
      </c>
      <c r="Y57" s="10">
        <f t="shared" si="23"/>
        <v>1.15718592404651</v>
      </c>
      <c r="Z57" s="10">
        <f t="shared" si="29"/>
        <v>45912.7024054983</v>
      </c>
      <c r="AA57" s="10">
        <f t="shared" si="28"/>
        <v>0.518293915504346</v>
      </c>
      <c r="AB57" s="10">
        <f t="shared" si="24"/>
        <v>0.0190464321811199</v>
      </c>
      <c r="AC57" s="10">
        <f t="shared" si="25"/>
        <v>0.270525988648753</v>
      </c>
      <c r="AD57" s="10">
        <f t="shared" si="22"/>
        <v>0.00737999011605987</v>
      </c>
      <c r="AE57" s="10">
        <f t="shared" si="26"/>
        <v>7.84854348245668</v>
      </c>
      <c r="AF57" s="10">
        <f t="shared" si="31"/>
        <v>0.210048512823648</v>
      </c>
      <c r="AG57" s="10">
        <f t="shared" si="19"/>
        <v>0.00312872558310152</v>
      </c>
      <c r="AH57" s="10">
        <f t="shared" si="9"/>
        <v>0.111088634487818</v>
      </c>
      <c r="AI57" s="10">
        <f t="shared" si="10"/>
        <v>208.207070707071</v>
      </c>
      <c r="AJ57" s="10">
        <f t="shared" ref="AJ57:AJ88" si="32">R57/D57</f>
        <v>1.33195671445603</v>
      </c>
      <c r="AK57" s="10">
        <f t="shared" si="20"/>
        <v>23.8978596361177</v>
      </c>
      <c r="AL57" s="10">
        <f t="shared" si="30"/>
        <v>0.39044110903922</v>
      </c>
      <c r="AM57" s="10">
        <f t="shared" si="21"/>
        <v>0.259932340863469</v>
      </c>
      <c r="AN57" s="10">
        <f t="shared" si="27"/>
        <v>2.60844390832328</v>
      </c>
    </row>
    <row r="58" ht="31" spans="1:40">
      <c r="A58" s="14">
        <v>2019</v>
      </c>
      <c r="B58" s="15">
        <v>450000</v>
      </c>
      <c r="C58" s="16" t="s">
        <v>46</v>
      </c>
      <c r="D58" s="24">
        <v>21237.1</v>
      </c>
      <c r="E58" s="25">
        <v>4982</v>
      </c>
      <c r="F58" s="26">
        <v>23.76</v>
      </c>
      <c r="G58" s="27">
        <v>2639</v>
      </c>
      <c r="H58" s="10">
        <v>1076408</v>
      </c>
      <c r="I58" s="30">
        <v>24893.46321248</v>
      </c>
      <c r="J58" s="31">
        <v>5824.25</v>
      </c>
      <c r="K58" s="24">
        <v>1671326.2</v>
      </c>
      <c r="L58" s="10">
        <v>2558</v>
      </c>
      <c r="M58" s="10">
        <v>4706.2696</v>
      </c>
      <c r="N58" s="10">
        <v>77.56</v>
      </c>
      <c r="O58" s="10">
        <v>3747.1915</v>
      </c>
      <c r="P58" s="19">
        <v>127819</v>
      </c>
      <c r="Q58" s="19">
        <v>183036</v>
      </c>
      <c r="R58" s="38">
        <v>29988.52</v>
      </c>
      <c r="S58" s="20">
        <v>8200.9</v>
      </c>
      <c r="T58" s="39">
        <v>5246.6</v>
      </c>
      <c r="U58" s="22">
        <v>13676</v>
      </c>
      <c r="V58" s="22">
        <v>34745</v>
      </c>
      <c r="W58" s="32">
        <v>42778</v>
      </c>
      <c r="X58" s="10">
        <v>42964</v>
      </c>
      <c r="Y58" s="10">
        <f t="shared" si="23"/>
        <v>1.17216866768438</v>
      </c>
      <c r="Z58" s="10">
        <f t="shared" si="29"/>
        <v>49966.8069299077</v>
      </c>
      <c r="AA58" s="10">
        <f t="shared" si="28"/>
        <v>0.529706945002007</v>
      </c>
      <c r="AB58" s="10">
        <f t="shared" si="24"/>
        <v>0.0216059413890004</v>
      </c>
      <c r="AC58" s="10">
        <f t="shared" si="25"/>
        <v>0.274248838118199</v>
      </c>
      <c r="AD58" s="10">
        <f t="shared" si="22"/>
        <v>0.00786984192757015</v>
      </c>
      <c r="AE58" s="10">
        <f t="shared" si="26"/>
        <v>7.84698098213879</v>
      </c>
      <c r="AF58" s="10">
        <f t="shared" si="31"/>
        <v>0.221606038489248</v>
      </c>
      <c r="AG58" s="10">
        <f t="shared" si="19"/>
        <v>0.00365209939210156</v>
      </c>
      <c r="AH58" s="10">
        <f t="shared" si="9"/>
        <v>0.176445536349125</v>
      </c>
      <c r="AI58" s="10">
        <f t="shared" si="10"/>
        <v>209.680134680135</v>
      </c>
      <c r="AJ58" s="10">
        <f t="shared" si="32"/>
        <v>1.41208168723602</v>
      </c>
      <c r="AK58" s="10">
        <f t="shared" si="20"/>
        <v>23.8758086134598</v>
      </c>
      <c r="AL58" s="10">
        <f t="shared" si="30"/>
        <v>0.386159127187799</v>
      </c>
      <c r="AM58" s="10">
        <f t="shared" si="21"/>
        <v>0.247048796681279</v>
      </c>
      <c r="AN58" s="10">
        <f t="shared" si="27"/>
        <v>2.54058204153261</v>
      </c>
    </row>
    <row r="59" ht="31" spans="1:40">
      <c r="A59" s="14">
        <v>2020</v>
      </c>
      <c r="B59" s="15">
        <v>450000</v>
      </c>
      <c r="C59" s="16" t="s">
        <v>46</v>
      </c>
      <c r="D59" s="24">
        <v>22120.9</v>
      </c>
      <c r="E59" s="25">
        <v>5019</v>
      </c>
      <c r="F59" s="26">
        <v>23.76</v>
      </c>
      <c r="G59" s="27">
        <v>2720</v>
      </c>
      <c r="H59" s="10">
        <v>1184167</v>
      </c>
      <c r="I59" s="30">
        <v>25938.9886674042</v>
      </c>
      <c r="J59" s="31">
        <v>6136.87</v>
      </c>
      <c r="K59" s="24">
        <v>1732304</v>
      </c>
      <c r="L59" s="10">
        <v>2558</v>
      </c>
      <c r="M59" s="10">
        <v>4856.8795</v>
      </c>
      <c r="N59" s="10">
        <v>91.67</v>
      </c>
      <c r="O59" s="10">
        <v>5042.1592</v>
      </c>
      <c r="P59" s="19">
        <v>131642</v>
      </c>
      <c r="Q59" s="19">
        <v>187444</v>
      </c>
      <c r="R59" s="38">
        <v>34738.99</v>
      </c>
      <c r="S59" s="20">
        <v>7831</v>
      </c>
      <c r="T59" s="39">
        <v>5172.8</v>
      </c>
      <c r="U59" s="22">
        <v>14815</v>
      </c>
      <c r="V59" s="22">
        <v>35859</v>
      </c>
      <c r="W59" s="32">
        <v>44237</v>
      </c>
      <c r="X59" s="10">
        <v>44308.95</v>
      </c>
      <c r="Y59" s="10">
        <f t="shared" si="23"/>
        <v>1.17260096412914</v>
      </c>
      <c r="Z59" s="10">
        <f t="shared" si="29"/>
        <v>51681.5873030568</v>
      </c>
      <c r="AA59" s="10">
        <f t="shared" si="28"/>
        <v>0.541940625622634</v>
      </c>
      <c r="AB59" s="10">
        <f t="shared" si="24"/>
        <v>0.023593684000797</v>
      </c>
      <c r="AC59" s="10">
        <f t="shared" si="25"/>
        <v>0.277424065024479</v>
      </c>
      <c r="AD59" s="10">
        <f t="shared" si="22"/>
        <v>0.00783107378090403</v>
      </c>
      <c r="AE59" s="10">
        <f t="shared" si="26"/>
        <v>7.84698098213879</v>
      </c>
      <c r="AF59" s="10">
        <f t="shared" si="31"/>
        <v>0.2195606643491</v>
      </c>
      <c r="AG59" s="10">
        <f t="shared" si="19"/>
        <v>0.00414404477213857</v>
      </c>
      <c r="AH59" s="10">
        <f t="shared" si="9"/>
        <v>0.227936440199088</v>
      </c>
      <c r="AI59" s="10">
        <f t="shared" si="10"/>
        <v>211.237373737374</v>
      </c>
      <c r="AJ59" s="10">
        <f t="shared" si="32"/>
        <v>1.57041485653839</v>
      </c>
      <c r="AK59" s="10">
        <f t="shared" si="20"/>
        <v>23.9290768090085</v>
      </c>
      <c r="AL59" s="10">
        <f t="shared" si="30"/>
        <v>0.354009104512023</v>
      </c>
      <c r="AM59" s="10">
        <f t="shared" si="21"/>
        <v>0.233842203526981</v>
      </c>
      <c r="AN59" s="10">
        <f t="shared" si="27"/>
        <v>2.42045224434695</v>
      </c>
    </row>
    <row r="60" ht="31" spans="1:40">
      <c r="A60" s="14">
        <v>2021</v>
      </c>
      <c r="B60" s="15">
        <v>450000</v>
      </c>
      <c r="C60" s="16" t="s">
        <v>46</v>
      </c>
      <c r="D60" s="24">
        <v>25209.1</v>
      </c>
      <c r="E60" s="25">
        <v>5037</v>
      </c>
      <c r="F60" s="26">
        <v>23.76</v>
      </c>
      <c r="G60" s="27">
        <v>2774</v>
      </c>
      <c r="H60" s="10">
        <v>1321042</v>
      </c>
      <c r="I60" s="30">
        <v>27910.3518061269</v>
      </c>
      <c r="J60" s="31">
        <v>5770.04</v>
      </c>
      <c r="K60" s="24">
        <v>1994572</v>
      </c>
      <c r="L60" s="10">
        <v>2544</v>
      </c>
      <c r="M60" s="10">
        <v>5917.3158</v>
      </c>
      <c r="N60" s="10">
        <v>940.577</v>
      </c>
      <c r="O60" s="10">
        <v>698.26</v>
      </c>
      <c r="P60" s="19">
        <v>160637</v>
      </c>
      <c r="Q60" s="19">
        <v>216168</v>
      </c>
      <c r="R60" s="38">
        <v>39325.29</v>
      </c>
      <c r="S60" s="20">
        <v>8538.5</v>
      </c>
      <c r="T60" s="39">
        <v>6439.8</v>
      </c>
      <c r="U60" s="22">
        <v>16363</v>
      </c>
      <c r="V60" s="22">
        <v>38530</v>
      </c>
      <c r="W60" s="32">
        <v>50137</v>
      </c>
      <c r="X60" s="10">
        <v>49206</v>
      </c>
      <c r="Y60" s="10">
        <f t="shared" si="23"/>
        <v>1.10715383754783</v>
      </c>
      <c r="Z60" s="10">
        <f t="shared" si="29"/>
        <v>55410.6646935217</v>
      </c>
      <c r="AA60" s="10">
        <f t="shared" si="28"/>
        <v>0.550724637681159</v>
      </c>
      <c r="AB60" s="10">
        <f t="shared" si="24"/>
        <v>0.026226761961485</v>
      </c>
      <c r="AC60" s="10">
        <f t="shared" si="25"/>
        <v>0.228887187563221</v>
      </c>
      <c r="AD60" s="10">
        <f t="shared" si="22"/>
        <v>0.00791211110273671</v>
      </c>
      <c r="AE60" s="10">
        <f t="shared" si="26"/>
        <v>7.84149292446001</v>
      </c>
      <c r="AF60" s="10">
        <f t="shared" si="31"/>
        <v>0.234729355669183</v>
      </c>
      <c r="AG60" s="10">
        <f t="shared" si="19"/>
        <v>0.0373110107064512</v>
      </c>
      <c r="AH60" s="10">
        <f t="shared" si="9"/>
        <v>0.0276987278403434</v>
      </c>
      <c r="AI60" s="10">
        <f t="shared" si="10"/>
        <v>211.994949494949</v>
      </c>
      <c r="AJ60" s="10">
        <f t="shared" si="32"/>
        <v>1.55996406059717</v>
      </c>
      <c r="AK60" s="10">
        <f t="shared" si="20"/>
        <v>24.270713602144</v>
      </c>
      <c r="AL60" s="10">
        <f t="shared" si="30"/>
        <v>0.338707054198682</v>
      </c>
      <c r="AM60" s="10">
        <f t="shared" si="21"/>
        <v>0.255455371274659</v>
      </c>
      <c r="AN60" s="10">
        <f t="shared" si="27"/>
        <v>2.35470268288211</v>
      </c>
    </row>
    <row r="61" ht="31" spans="1:40">
      <c r="A61" s="14">
        <v>2022</v>
      </c>
      <c r="B61" s="15">
        <v>450000</v>
      </c>
      <c r="C61" s="16" t="s">
        <v>46</v>
      </c>
      <c r="D61" s="24">
        <v>26186.1</v>
      </c>
      <c r="E61" s="25">
        <v>5047</v>
      </c>
      <c r="F61" s="26">
        <v>23.76</v>
      </c>
      <c r="G61" s="27">
        <v>2809</v>
      </c>
      <c r="H61" s="10">
        <v>1407503</v>
      </c>
      <c r="I61" s="30">
        <v>27938.262157933</v>
      </c>
      <c r="J61" s="31">
        <v>5849.59</v>
      </c>
      <c r="K61" s="24">
        <v>2179353.5</v>
      </c>
      <c r="L61" s="10">
        <v>2508</v>
      </c>
      <c r="M61" s="10">
        <v>6457.056</v>
      </c>
      <c r="N61" s="10">
        <v>226.99</v>
      </c>
      <c r="O61" s="10">
        <v>700.0586</v>
      </c>
      <c r="P61" s="35">
        <v>172391</v>
      </c>
      <c r="Q61" s="35">
        <v>213331</v>
      </c>
      <c r="R61" s="38">
        <v>44197.23</v>
      </c>
      <c r="S61" s="20">
        <v>8539.1</v>
      </c>
      <c r="T61" s="39">
        <v>6727.8</v>
      </c>
      <c r="U61" s="22">
        <v>17433</v>
      </c>
      <c r="V61" s="22">
        <v>39703</v>
      </c>
      <c r="W61" s="32">
        <v>51936</v>
      </c>
      <c r="X61" s="10">
        <v>52164</v>
      </c>
      <c r="Y61" s="10">
        <f t="shared" si="23"/>
        <v>1.06691191731235</v>
      </c>
      <c r="Z61" s="10">
        <f t="shared" si="29"/>
        <v>55356.1762590311</v>
      </c>
      <c r="AA61" s="10">
        <f t="shared" si="28"/>
        <v>0.55656825837131</v>
      </c>
      <c r="AB61" s="10">
        <f t="shared" si="24"/>
        <v>0.0278879136120468</v>
      </c>
      <c r="AC61" s="10">
        <f t="shared" si="25"/>
        <v>0.223385307472285</v>
      </c>
      <c r="AD61" s="10">
        <f t="shared" si="22"/>
        <v>0.00832255853296214</v>
      </c>
      <c r="AE61" s="10">
        <f t="shared" si="26"/>
        <v>7.82724090175281</v>
      </c>
      <c r="AF61" s="10">
        <f t="shared" si="31"/>
        <v>0.246583340016268</v>
      </c>
      <c r="AG61" s="10">
        <f t="shared" si="19"/>
        <v>0.00866833930978649</v>
      </c>
      <c r="AH61" s="10">
        <f t="shared" si="9"/>
        <v>0.0267339771863699</v>
      </c>
      <c r="AI61" s="10">
        <f t="shared" si="10"/>
        <v>212.415824915825</v>
      </c>
      <c r="AJ61" s="10">
        <f t="shared" si="32"/>
        <v>1.68781261814474</v>
      </c>
      <c r="AK61" s="10">
        <f t="shared" si="20"/>
        <v>24.3281206607806</v>
      </c>
      <c r="AL61" s="10">
        <f t="shared" si="30"/>
        <v>0.32609285078725</v>
      </c>
      <c r="AM61" s="10">
        <f t="shared" si="21"/>
        <v>0.25692256578872</v>
      </c>
      <c r="AN61" s="10">
        <f t="shared" si="27"/>
        <v>2.27746228417369</v>
      </c>
    </row>
    <row r="62" ht="16" spans="1:40">
      <c r="A62" s="14">
        <v>2013</v>
      </c>
      <c r="B62" s="15">
        <v>520000</v>
      </c>
      <c r="C62" s="16" t="s">
        <v>47</v>
      </c>
      <c r="D62" s="24">
        <v>7973.1</v>
      </c>
      <c r="E62" s="25">
        <v>3632</v>
      </c>
      <c r="F62" s="26">
        <v>17.62</v>
      </c>
      <c r="G62" s="27">
        <v>1376</v>
      </c>
      <c r="H62" s="10">
        <v>419040</v>
      </c>
      <c r="I62" s="30">
        <v>7373.6</v>
      </c>
      <c r="J62" s="31">
        <v>3082.67</v>
      </c>
      <c r="K62" s="24">
        <v>471849.5</v>
      </c>
      <c r="L62" s="10">
        <v>1796</v>
      </c>
      <c r="M62" s="10">
        <v>513.42254</v>
      </c>
      <c r="N62" s="10">
        <v>18.4</v>
      </c>
      <c r="O62" s="10">
        <v>331.7698</v>
      </c>
      <c r="P62" s="19">
        <v>172564</v>
      </c>
      <c r="Q62" s="19">
        <v>72702.7</v>
      </c>
      <c r="R62" s="38">
        <v>10104.3</v>
      </c>
      <c r="S62" s="20">
        <v>2601.2</v>
      </c>
      <c r="T62" s="39">
        <v>2533.3</v>
      </c>
      <c r="U62" s="22">
        <v>5898</v>
      </c>
      <c r="V62" s="22">
        <v>20565</v>
      </c>
      <c r="W62" s="32">
        <v>22089.1</v>
      </c>
      <c r="X62" s="10">
        <v>23151</v>
      </c>
      <c r="Y62" s="10">
        <f t="shared" si="23"/>
        <v>0.924809672523861</v>
      </c>
      <c r="Z62" s="10">
        <f t="shared" si="29"/>
        <v>20301.7621145374</v>
      </c>
      <c r="AA62" s="10">
        <f t="shared" si="28"/>
        <v>0.378854625550661</v>
      </c>
      <c r="AB62" s="10">
        <f t="shared" si="24"/>
        <v>0.0115374449339207</v>
      </c>
      <c r="AC62" s="10">
        <f t="shared" si="25"/>
        <v>0.386633806173258</v>
      </c>
      <c r="AD62" s="10">
        <f t="shared" si="22"/>
        <v>0.00591801808581355</v>
      </c>
      <c r="AE62" s="10">
        <f t="shared" si="26"/>
        <v>7.49331724886215</v>
      </c>
      <c r="AF62" s="10">
        <f t="shared" si="31"/>
        <v>0.0643943434799513</v>
      </c>
      <c r="AG62" s="10">
        <f t="shared" si="19"/>
        <v>0.00230775984247031</v>
      </c>
      <c r="AH62" s="10">
        <f t="shared" si="9"/>
        <v>0.0416111424665438</v>
      </c>
      <c r="AI62" s="10">
        <f t="shared" si="10"/>
        <v>206.129398410897</v>
      </c>
      <c r="AJ62" s="10">
        <f t="shared" si="32"/>
        <v>1.26729879218873</v>
      </c>
      <c r="AK62" s="10">
        <f t="shared" si="20"/>
        <v>23.2526572628965</v>
      </c>
      <c r="AL62" s="10">
        <f t="shared" si="30"/>
        <v>0.326247005556183</v>
      </c>
      <c r="AM62" s="10">
        <f t="shared" si="21"/>
        <v>0.317730870050545</v>
      </c>
      <c r="AN62" s="10">
        <f t="shared" si="27"/>
        <v>3.48677517802645</v>
      </c>
    </row>
    <row r="63" ht="16" spans="1:40">
      <c r="A63" s="14">
        <v>2014</v>
      </c>
      <c r="B63" s="15">
        <v>520000</v>
      </c>
      <c r="C63" s="16" t="s">
        <v>47</v>
      </c>
      <c r="D63" s="24">
        <v>9173.1</v>
      </c>
      <c r="E63" s="25">
        <v>3677</v>
      </c>
      <c r="F63" s="26">
        <v>17.62</v>
      </c>
      <c r="G63" s="27">
        <v>1480</v>
      </c>
      <c r="H63" s="10">
        <v>460401</v>
      </c>
      <c r="I63" s="30">
        <v>9025.75</v>
      </c>
      <c r="J63" s="31">
        <v>3542.81</v>
      </c>
      <c r="K63" s="24">
        <v>554795</v>
      </c>
      <c r="L63" s="10">
        <v>1820</v>
      </c>
      <c r="M63" s="10">
        <v>661.66101</v>
      </c>
      <c r="N63" s="10">
        <v>20.04</v>
      </c>
      <c r="O63" s="10">
        <v>381.6713</v>
      </c>
      <c r="P63" s="19">
        <v>179079</v>
      </c>
      <c r="Q63" s="19">
        <v>85672.2</v>
      </c>
      <c r="R63" s="38">
        <v>12368.3</v>
      </c>
      <c r="S63" s="20">
        <v>2936.9</v>
      </c>
      <c r="T63" s="39">
        <v>2840.3</v>
      </c>
      <c r="U63" s="22">
        <v>6671</v>
      </c>
      <c r="V63" s="22">
        <v>22548</v>
      </c>
      <c r="W63" s="32">
        <v>25100.92</v>
      </c>
      <c r="X63" s="10">
        <v>26437</v>
      </c>
      <c r="Y63" s="10">
        <f t="shared" si="23"/>
        <v>0.983936728041774</v>
      </c>
      <c r="Z63" s="10">
        <f t="shared" si="29"/>
        <v>24546.5053032363</v>
      </c>
      <c r="AA63" s="10">
        <f t="shared" si="28"/>
        <v>0.402502039706282</v>
      </c>
      <c r="AB63" s="10">
        <f t="shared" si="24"/>
        <v>0.0125211041610008</v>
      </c>
      <c r="AC63" s="10">
        <f t="shared" si="25"/>
        <v>0.386217309306559</v>
      </c>
      <c r="AD63" s="10">
        <f t="shared" si="22"/>
        <v>0.00604806444931375</v>
      </c>
      <c r="AE63" s="10">
        <f t="shared" si="26"/>
        <v>7.50659178007084</v>
      </c>
      <c r="AF63" s="10">
        <f t="shared" si="31"/>
        <v>0.0721305785394251</v>
      </c>
      <c r="AG63" s="10">
        <f t="shared" si="19"/>
        <v>0.00218464859207901</v>
      </c>
      <c r="AH63" s="10">
        <f t="shared" si="9"/>
        <v>0.0416076680729524</v>
      </c>
      <c r="AI63" s="10">
        <f t="shared" si="10"/>
        <v>208.683314415437</v>
      </c>
      <c r="AJ63" s="10">
        <f t="shared" si="32"/>
        <v>1.34832281344366</v>
      </c>
      <c r="AK63" s="10">
        <f t="shared" si="20"/>
        <v>23.4538659928058</v>
      </c>
      <c r="AL63" s="10">
        <f t="shared" si="30"/>
        <v>0.32016439371641</v>
      </c>
      <c r="AM63" s="10">
        <f t="shared" si="21"/>
        <v>0.309633602598903</v>
      </c>
      <c r="AN63" s="10">
        <f t="shared" si="27"/>
        <v>3.38000299805127</v>
      </c>
    </row>
    <row r="64" ht="16" spans="1:40">
      <c r="A64" s="14">
        <v>2015</v>
      </c>
      <c r="B64" s="15">
        <v>520000</v>
      </c>
      <c r="C64" s="16" t="s">
        <v>47</v>
      </c>
      <c r="D64" s="24">
        <v>10541</v>
      </c>
      <c r="E64" s="25">
        <v>3708</v>
      </c>
      <c r="F64" s="26">
        <v>17.62</v>
      </c>
      <c r="G64" s="27">
        <v>1593</v>
      </c>
      <c r="H64" s="10">
        <v>500882</v>
      </c>
      <c r="I64" s="30">
        <v>10945.54</v>
      </c>
      <c r="J64" s="31">
        <v>3938.05</v>
      </c>
      <c r="K64" s="24">
        <v>623196.1</v>
      </c>
      <c r="L64" s="10">
        <v>1842</v>
      </c>
      <c r="M64" s="10">
        <v>761.1988</v>
      </c>
      <c r="N64" s="10">
        <v>25.96</v>
      </c>
      <c r="O64" s="10">
        <v>515.1625</v>
      </c>
      <c r="P64" s="19">
        <v>186407</v>
      </c>
      <c r="Q64" s="19">
        <v>84540</v>
      </c>
      <c r="R64" s="38">
        <v>15051.94</v>
      </c>
      <c r="S64" s="20">
        <v>4925.2</v>
      </c>
      <c r="T64" s="39">
        <v>3196</v>
      </c>
      <c r="U64" s="22">
        <v>7387</v>
      </c>
      <c r="V64" s="22">
        <v>24580</v>
      </c>
      <c r="W64" s="32">
        <v>28547.05</v>
      </c>
      <c r="X64" s="10">
        <v>29847.2478</v>
      </c>
      <c r="Y64" s="10">
        <f t="shared" si="23"/>
        <v>1.03837776302059</v>
      </c>
      <c r="Z64" s="10">
        <f t="shared" si="29"/>
        <v>29518.7162891046</v>
      </c>
      <c r="AA64" s="10">
        <f t="shared" si="28"/>
        <v>0.429611650485437</v>
      </c>
      <c r="AB64" s="10">
        <f t="shared" si="24"/>
        <v>0.0135081445523193</v>
      </c>
      <c r="AC64" s="10">
        <f t="shared" si="25"/>
        <v>0.37359358694621</v>
      </c>
      <c r="AD64" s="10">
        <f t="shared" si="22"/>
        <v>0.00591211554880941</v>
      </c>
      <c r="AE64" s="10">
        <f t="shared" si="26"/>
        <v>7.51860721681525</v>
      </c>
      <c r="AF64" s="10">
        <f t="shared" si="31"/>
        <v>0.0722131486576226</v>
      </c>
      <c r="AG64" s="10">
        <f t="shared" si="19"/>
        <v>0.00246276444360118</v>
      </c>
      <c r="AH64" s="10">
        <f t="shared" si="9"/>
        <v>0.0488722606963286</v>
      </c>
      <c r="AI64" s="10">
        <f t="shared" si="10"/>
        <v>210.44267877412</v>
      </c>
      <c r="AJ64" s="10">
        <f t="shared" si="32"/>
        <v>1.42794232046295</v>
      </c>
      <c r="AK64" s="10">
        <f t="shared" si="20"/>
        <v>23.4806678082974</v>
      </c>
      <c r="AL64" s="10">
        <f t="shared" si="30"/>
        <v>0.467242197134997</v>
      </c>
      <c r="AM64" s="10">
        <f t="shared" si="21"/>
        <v>0.30319704012902</v>
      </c>
      <c r="AN64" s="10">
        <f t="shared" si="27"/>
        <v>3.32746717205902</v>
      </c>
    </row>
    <row r="65" ht="16" spans="1:40">
      <c r="A65" s="14">
        <v>2016</v>
      </c>
      <c r="B65" s="15">
        <v>520000</v>
      </c>
      <c r="C65" s="16" t="s">
        <v>47</v>
      </c>
      <c r="D65" s="24">
        <v>11792.4</v>
      </c>
      <c r="E65" s="25">
        <v>3758</v>
      </c>
      <c r="F65" s="26">
        <v>17.62</v>
      </c>
      <c r="G65" s="27">
        <v>1712</v>
      </c>
      <c r="H65" s="10">
        <v>573932</v>
      </c>
      <c r="I65" s="30">
        <v>13204</v>
      </c>
      <c r="J65" s="31">
        <v>4260.75</v>
      </c>
      <c r="K65" s="24">
        <v>734005.9</v>
      </c>
      <c r="L65" s="10">
        <v>1859</v>
      </c>
      <c r="M65" s="10">
        <v>378.58566</v>
      </c>
      <c r="N65" s="10">
        <v>20.44</v>
      </c>
      <c r="O65" s="10">
        <v>378.917</v>
      </c>
      <c r="P65" s="19">
        <v>191626</v>
      </c>
      <c r="Q65" s="19">
        <v>89525.8</v>
      </c>
      <c r="R65" s="38">
        <v>17857.8</v>
      </c>
      <c r="S65" s="20">
        <v>5651.9</v>
      </c>
      <c r="T65" s="39">
        <v>3501.7</v>
      </c>
      <c r="U65" s="22">
        <v>8090</v>
      </c>
      <c r="V65" s="22">
        <v>26743</v>
      </c>
      <c r="W65" s="32">
        <v>31589.47</v>
      </c>
      <c r="X65" s="10">
        <v>33246</v>
      </c>
      <c r="Y65" s="10">
        <f t="shared" ref="Y65:Y80" si="33">I65/D65</f>
        <v>1.11970421627489</v>
      </c>
      <c r="Z65" s="10">
        <f t="shared" si="29"/>
        <v>35135.7104843002</v>
      </c>
      <c r="AA65" s="10">
        <f t="shared" si="28"/>
        <v>0.455561468866418</v>
      </c>
      <c r="AB65" s="10">
        <f t="shared" si="24"/>
        <v>0.0152722724853646</v>
      </c>
      <c r="AC65" s="10">
        <f t="shared" si="25"/>
        <v>0.36131321868322</v>
      </c>
      <c r="AD65" s="10">
        <f t="shared" si="22"/>
        <v>0.00622439791730267</v>
      </c>
      <c r="AE65" s="10">
        <f t="shared" si="26"/>
        <v>7.52779398772144</v>
      </c>
      <c r="AF65" s="10">
        <f t="shared" si="31"/>
        <v>0.0321042077948509</v>
      </c>
      <c r="AG65" s="10">
        <f t="shared" si="19"/>
        <v>0.00173331976527255</v>
      </c>
      <c r="AH65" s="10">
        <f t="shared" si="9"/>
        <v>0.0321323055527289</v>
      </c>
      <c r="AI65" s="10">
        <f t="shared" si="10"/>
        <v>213.28036322361</v>
      </c>
      <c r="AJ65" s="10">
        <f t="shared" si="32"/>
        <v>1.51434822428004</v>
      </c>
      <c r="AK65" s="10">
        <f t="shared" si="20"/>
        <v>23.5655829655644</v>
      </c>
      <c r="AL65" s="10">
        <f t="shared" si="30"/>
        <v>0.479283267189037</v>
      </c>
      <c r="AM65" s="10">
        <f t="shared" si="21"/>
        <v>0.296945490315797</v>
      </c>
      <c r="AN65" s="10">
        <f t="shared" si="27"/>
        <v>3.30568603213844</v>
      </c>
    </row>
    <row r="66" ht="16" spans="1:40">
      <c r="A66" s="14">
        <v>2017</v>
      </c>
      <c r="B66" s="15">
        <v>520000</v>
      </c>
      <c r="C66" s="16" t="s">
        <v>47</v>
      </c>
      <c r="D66" s="24">
        <v>13605.4</v>
      </c>
      <c r="E66" s="25">
        <v>3803</v>
      </c>
      <c r="F66" s="26">
        <v>17.62</v>
      </c>
      <c r="G66" s="27">
        <v>1816</v>
      </c>
      <c r="H66" s="10">
        <v>627672</v>
      </c>
      <c r="I66" s="30">
        <v>15503.86</v>
      </c>
      <c r="J66" s="31">
        <v>4611.43</v>
      </c>
      <c r="K66" s="24">
        <v>958815.4</v>
      </c>
      <c r="L66" s="10">
        <v>1881</v>
      </c>
      <c r="M66" s="10">
        <v>551.10305</v>
      </c>
      <c r="N66" s="10">
        <v>80.74</v>
      </c>
      <c r="O66" s="10">
        <v>889.3487</v>
      </c>
      <c r="P66" s="19">
        <v>194379</v>
      </c>
      <c r="Q66" s="19">
        <v>96242.1</v>
      </c>
      <c r="R66" s="38">
        <v>20860.34</v>
      </c>
      <c r="S66" s="20">
        <v>6449.4</v>
      </c>
      <c r="T66" s="39">
        <v>3821.4</v>
      </c>
      <c r="U66" s="22">
        <v>8869</v>
      </c>
      <c r="V66" s="22">
        <v>29080</v>
      </c>
      <c r="W66" s="32">
        <v>35988.41</v>
      </c>
      <c r="X66" s="10">
        <v>37956.0633</v>
      </c>
      <c r="Y66" s="10">
        <f t="shared" si="33"/>
        <v>1.13953724256545</v>
      </c>
      <c r="Z66" s="10">
        <f t="shared" si="29"/>
        <v>40767.4467525638</v>
      </c>
      <c r="AA66" s="10">
        <f t="shared" si="28"/>
        <v>0.477517749145412</v>
      </c>
      <c r="AB66" s="10">
        <f t="shared" si="24"/>
        <v>0.0165046542203524</v>
      </c>
      <c r="AC66" s="10">
        <f t="shared" si="25"/>
        <v>0.338941155717583</v>
      </c>
      <c r="AD66" s="10">
        <f t="shared" si="22"/>
        <v>0.00704731503667661</v>
      </c>
      <c r="AE66" s="10">
        <f t="shared" si="26"/>
        <v>7.53955882930103</v>
      </c>
      <c r="AF66" s="10">
        <f t="shared" si="31"/>
        <v>0.0405061997442192</v>
      </c>
      <c r="AG66" s="10">
        <f t="shared" si="19"/>
        <v>0.00593440839666603</v>
      </c>
      <c r="AH66" s="10">
        <f t="shared" si="9"/>
        <v>0.0653673320887295</v>
      </c>
      <c r="AI66" s="10">
        <f t="shared" si="10"/>
        <v>215.83427922815</v>
      </c>
      <c r="AJ66" s="10">
        <f t="shared" si="32"/>
        <v>1.5332397430432</v>
      </c>
      <c r="AK66" s="10">
        <f t="shared" si="20"/>
        <v>23.6521873113414</v>
      </c>
      <c r="AL66" s="10">
        <f t="shared" si="30"/>
        <v>0.474032369500345</v>
      </c>
      <c r="AM66" s="10">
        <f t="shared" si="21"/>
        <v>0.280873770708689</v>
      </c>
      <c r="AN66" s="10">
        <f t="shared" si="27"/>
        <v>3.27883639643703</v>
      </c>
    </row>
    <row r="67" ht="16" spans="1:40">
      <c r="A67" s="14">
        <v>2018</v>
      </c>
      <c r="B67" s="15">
        <v>520000</v>
      </c>
      <c r="C67" s="16" t="s">
        <v>47</v>
      </c>
      <c r="D67" s="24">
        <v>15353.2</v>
      </c>
      <c r="E67" s="25">
        <v>3822</v>
      </c>
      <c r="F67" s="26">
        <v>17.62</v>
      </c>
      <c r="G67" s="27">
        <v>1893</v>
      </c>
      <c r="H67" s="10">
        <v>687530</v>
      </c>
      <c r="I67" s="30">
        <v>17953.46988</v>
      </c>
      <c r="J67" s="31">
        <v>5028.3</v>
      </c>
      <c r="K67" s="24">
        <v>1216145.1</v>
      </c>
      <c r="L67" s="10">
        <v>1886</v>
      </c>
      <c r="M67" s="10">
        <v>503.11146</v>
      </c>
      <c r="N67" s="10">
        <v>171.1</v>
      </c>
      <c r="O67" s="10">
        <v>2256.4443</v>
      </c>
      <c r="P67" s="19">
        <v>196908</v>
      </c>
      <c r="Q67" s="19">
        <v>102537</v>
      </c>
      <c r="R67" s="38">
        <v>24715.05</v>
      </c>
      <c r="S67" s="20">
        <v>7105</v>
      </c>
      <c r="T67" s="39">
        <v>4165.5</v>
      </c>
      <c r="U67" s="22">
        <v>9716</v>
      </c>
      <c r="V67" s="22">
        <v>31592</v>
      </c>
      <c r="W67" s="32">
        <v>40270.71</v>
      </c>
      <c r="X67" s="10">
        <v>41243.5933</v>
      </c>
      <c r="Y67" s="10">
        <f t="shared" si="33"/>
        <v>1.16936338222651</v>
      </c>
      <c r="Z67" s="10">
        <f t="shared" si="29"/>
        <v>46974.0185243328</v>
      </c>
      <c r="AA67" s="10">
        <f t="shared" si="28"/>
        <v>0.495290423861852</v>
      </c>
      <c r="AB67" s="10">
        <f t="shared" si="24"/>
        <v>0.0179887493458922</v>
      </c>
      <c r="AC67" s="10">
        <f t="shared" si="25"/>
        <v>0.327508271891202</v>
      </c>
      <c r="AD67" s="10">
        <f t="shared" si="22"/>
        <v>0.00792111807310528</v>
      </c>
      <c r="AE67" s="10">
        <f t="shared" si="26"/>
        <v>7.5422134631934</v>
      </c>
      <c r="AF67" s="10">
        <f t="shared" si="31"/>
        <v>0.0327691595237475</v>
      </c>
      <c r="AG67" s="10">
        <f t="shared" si="19"/>
        <v>0.0111442565719199</v>
      </c>
      <c r="AH67" s="10">
        <f t="shared" ref="AH67:AH130" si="34">O67/D67</f>
        <v>0.146968990177943</v>
      </c>
      <c r="AI67" s="10">
        <f t="shared" ref="AI67:AI130" si="35">E67/F67</f>
        <v>216.912599318956</v>
      </c>
      <c r="AJ67" s="10">
        <f t="shared" si="32"/>
        <v>1.60976539092828</v>
      </c>
      <c r="AK67" s="10">
        <f t="shared" ref="AK67:AK91" si="36">LN(P67)+LN(Q67)</f>
        <v>23.7284708815975</v>
      </c>
      <c r="AL67" s="10">
        <f t="shared" si="30"/>
        <v>0.462769976291587</v>
      </c>
      <c r="AM67" s="10">
        <f t="shared" ref="AM67:AM96" si="37">T67/D67</f>
        <v>0.271311518120001</v>
      </c>
      <c r="AN67" s="10">
        <f t="shared" si="27"/>
        <v>3.25154384520379</v>
      </c>
    </row>
    <row r="68" ht="16" spans="1:40">
      <c r="A68" s="14">
        <v>2019</v>
      </c>
      <c r="B68" s="15">
        <v>520000</v>
      </c>
      <c r="C68" s="16" t="s">
        <v>47</v>
      </c>
      <c r="D68" s="24">
        <v>16769.3</v>
      </c>
      <c r="E68" s="25">
        <v>3848</v>
      </c>
      <c r="F68" s="26">
        <v>17.62</v>
      </c>
      <c r="G68" s="27">
        <v>1981</v>
      </c>
      <c r="H68" s="10">
        <v>765745</v>
      </c>
      <c r="I68" s="30">
        <v>18115.05110892</v>
      </c>
      <c r="J68" s="31">
        <v>5908.52</v>
      </c>
      <c r="K68" s="24">
        <v>1446848.7</v>
      </c>
      <c r="L68" s="10">
        <v>1888</v>
      </c>
      <c r="M68" s="10">
        <v>453.10514</v>
      </c>
      <c r="N68" s="10">
        <v>227.18</v>
      </c>
      <c r="O68" s="10">
        <v>3950.7669</v>
      </c>
      <c r="P68" s="19">
        <v>204723</v>
      </c>
      <c r="Q68" s="19">
        <v>83402.3</v>
      </c>
      <c r="R68" s="38">
        <v>28448.73</v>
      </c>
      <c r="S68" s="20">
        <v>7468.2</v>
      </c>
      <c r="T68" s="39">
        <v>4459</v>
      </c>
      <c r="U68" s="22">
        <v>10756</v>
      </c>
      <c r="V68" s="22">
        <v>34404</v>
      </c>
      <c r="W68" s="32">
        <v>43727.09</v>
      </c>
      <c r="X68" s="10">
        <v>46433</v>
      </c>
      <c r="Y68" s="10">
        <f t="shared" si="33"/>
        <v>1.08025088160627</v>
      </c>
      <c r="Z68" s="10">
        <f t="shared" si="29"/>
        <v>47076.536145842</v>
      </c>
      <c r="AA68" s="10">
        <f t="shared" si="28"/>
        <v>0.51481288981289</v>
      </c>
      <c r="AB68" s="10">
        <f t="shared" ref="AB68:AB98" si="38">H68/(E68*10000)</f>
        <v>0.0198998180873181</v>
      </c>
      <c r="AC68" s="10">
        <f t="shared" si="25"/>
        <v>0.352341481159023</v>
      </c>
      <c r="AD68" s="10">
        <f t="shared" si="22"/>
        <v>0.00862796121483902</v>
      </c>
      <c r="AE68" s="10">
        <f t="shared" si="26"/>
        <v>7.54327334670545</v>
      </c>
      <c r="AF68" s="10">
        <f t="shared" si="31"/>
        <v>0.0270199197342763</v>
      </c>
      <c r="AG68" s="10">
        <f t="shared" si="19"/>
        <v>0.0135473752631296</v>
      </c>
      <c r="AH68" s="10">
        <f t="shared" si="34"/>
        <v>0.235595218643593</v>
      </c>
      <c r="AI68" s="10">
        <f t="shared" si="35"/>
        <v>218.38819523269</v>
      </c>
      <c r="AJ68" s="10">
        <f t="shared" si="32"/>
        <v>1.69647689527887</v>
      </c>
      <c r="AK68" s="10">
        <f t="shared" si="36"/>
        <v>23.5608442907923</v>
      </c>
      <c r="AL68" s="10">
        <f t="shared" si="30"/>
        <v>0.445349537547781</v>
      </c>
      <c r="AM68" s="10">
        <f t="shared" si="37"/>
        <v>0.265902571961859</v>
      </c>
      <c r="AN68" s="10">
        <f t="shared" si="27"/>
        <v>3.19858683525474</v>
      </c>
    </row>
    <row r="69" ht="16" spans="1:40">
      <c r="A69" s="14">
        <v>2020</v>
      </c>
      <c r="B69" s="15">
        <v>520000</v>
      </c>
      <c r="C69" s="16" t="s">
        <v>47</v>
      </c>
      <c r="D69" s="24">
        <v>17860.4</v>
      </c>
      <c r="E69" s="25">
        <v>3858</v>
      </c>
      <c r="F69" s="26">
        <v>17.62</v>
      </c>
      <c r="G69" s="27">
        <v>2051</v>
      </c>
      <c r="H69" s="10">
        <v>840249</v>
      </c>
      <c r="I69" s="30">
        <v>18694.7327444054</v>
      </c>
      <c r="J69" s="31">
        <v>5682.22</v>
      </c>
      <c r="K69" s="24">
        <v>1617090</v>
      </c>
      <c r="L69" s="10">
        <v>1892</v>
      </c>
      <c r="M69" s="10">
        <v>545.64768</v>
      </c>
      <c r="N69" s="10">
        <v>249.11</v>
      </c>
      <c r="O69" s="10">
        <v>5163.3057</v>
      </c>
      <c r="P69" s="19">
        <v>206693</v>
      </c>
      <c r="Q69" s="19">
        <v>86444.4</v>
      </c>
      <c r="R69" s="38">
        <v>32235.75</v>
      </c>
      <c r="S69" s="20">
        <v>7833.4</v>
      </c>
      <c r="T69" s="39">
        <v>4666.2</v>
      </c>
      <c r="U69" s="22">
        <v>11642</v>
      </c>
      <c r="V69" s="22">
        <v>36096</v>
      </c>
      <c r="W69" s="32">
        <v>46355</v>
      </c>
      <c r="X69" s="10">
        <v>46266.7</v>
      </c>
      <c r="Y69" s="10">
        <f t="shared" si="33"/>
        <v>1.04671411303249</v>
      </c>
      <c r="Z69" s="10">
        <f t="shared" si="29"/>
        <v>48457.0573986661</v>
      </c>
      <c r="AA69" s="10">
        <f t="shared" si="28"/>
        <v>0.531622602384655</v>
      </c>
      <c r="AB69" s="10">
        <f t="shared" si="38"/>
        <v>0.0217793934681182</v>
      </c>
      <c r="AC69" s="10">
        <f t="shared" si="25"/>
        <v>0.318146290116683</v>
      </c>
      <c r="AD69" s="10">
        <f t="shared" si="22"/>
        <v>0.00905405254081655</v>
      </c>
      <c r="AE69" s="10">
        <f t="shared" si="26"/>
        <v>7.54538974961182</v>
      </c>
      <c r="AF69" s="10">
        <f t="shared" si="31"/>
        <v>0.0305506976327518</v>
      </c>
      <c r="AG69" s="10">
        <f t="shared" si="19"/>
        <v>0.0139476159548498</v>
      </c>
      <c r="AH69" s="10">
        <f t="shared" si="34"/>
        <v>0.289092388748292</v>
      </c>
      <c r="AI69" s="10">
        <f t="shared" si="35"/>
        <v>218.955732122588</v>
      </c>
      <c r="AJ69" s="10">
        <f t="shared" si="32"/>
        <v>1.80487279120288</v>
      </c>
      <c r="AK69" s="10">
        <f t="shared" si="36"/>
        <v>23.6062465912762</v>
      </c>
      <c r="AL69" s="10">
        <f t="shared" si="30"/>
        <v>0.438590401110837</v>
      </c>
      <c r="AM69" s="10">
        <f t="shared" si="37"/>
        <v>0.261259546258762</v>
      </c>
      <c r="AN69" s="10">
        <f t="shared" si="27"/>
        <v>3.10049819618622</v>
      </c>
    </row>
    <row r="70" ht="16" spans="1:40">
      <c r="A70" s="14">
        <v>2021</v>
      </c>
      <c r="B70" s="15">
        <v>520000</v>
      </c>
      <c r="C70" s="16" t="s">
        <v>47</v>
      </c>
      <c r="D70" s="24">
        <v>19458.6</v>
      </c>
      <c r="E70" s="25">
        <v>3852</v>
      </c>
      <c r="F70" s="26">
        <v>17.62</v>
      </c>
      <c r="G70" s="27">
        <v>2093</v>
      </c>
      <c r="H70" s="10">
        <v>881641</v>
      </c>
      <c r="I70" s="30">
        <v>18115.1960293289</v>
      </c>
      <c r="J70" s="31">
        <v>5540.36</v>
      </c>
      <c r="K70" s="24">
        <v>1803505.5</v>
      </c>
      <c r="L70" s="10">
        <v>1886</v>
      </c>
      <c r="M70" s="10">
        <v>653.53695</v>
      </c>
      <c r="N70" s="10">
        <v>289.265</v>
      </c>
      <c r="O70" s="10">
        <v>525.35</v>
      </c>
      <c r="P70" s="19">
        <v>207190</v>
      </c>
      <c r="Q70" s="19">
        <v>96989</v>
      </c>
      <c r="R70" s="38">
        <v>35829.38</v>
      </c>
      <c r="S70" s="20">
        <v>8904.3</v>
      </c>
      <c r="T70" s="39">
        <v>5231.3</v>
      </c>
      <c r="U70" s="22">
        <v>12856</v>
      </c>
      <c r="V70" s="22">
        <v>39211</v>
      </c>
      <c r="W70" s="32">
        <v>50476</v>
      </c>
      <c r="X70" s="10">
        <v>50808</v>
      </c>
      <c r="Y70" s="10">
        <f t="shared" si="33"/>
        <v>0.930960913391966</v>
      </c>
      <c r="Z70" s="10">
        <f t="shared" si="29"/>
        <v>47028.027075101</v>
      </c>
      <c r="AA70" s="10">
        <f t="shared" si="28"/>
        <v>0.543354101765317</v>
      </c>
      <c r="AB70" s="10">
        <f t="shared" si="38"/>
        <v>0.0228878764278297</v>
      </c>
      <c r="AC70" s="10">
        <f t="shared" si="25"/>
        <v>0.28472551982157</v>
      </c>
      <c r="AD70" s="10">
        <f t="shared" si="22"/>
        <v>0.00926842373038143</v>
      </c>
      <c r="AE70" s="10">
        <f t="shared" si="26"/>
        <v>7.5422134631934</v>
      </c>
      <c r="AF70" s="10">
        <f t="shared" si="31"/>
        <v>0.0335860210909315</v>
      </c>
      <c r="AG70" s="10">
        <f t="shared" si="19"/>
        <v>0.0148656635112495</v>
      </c>
      <c r="AH70" s="10">
        <f t="shared" si="34"/>
        <v>0.026998345204691</v>
      </c>
      <c r="AI70" s="10">
        <f t="shared" si="35"/>
        <v>218.615209988649</v>
      </c>
      <c r="AJ70" s="10">
        <f t="shared" si="32"/>
        <v>1.84131335245084</v>
      </c>
      <c r="AK70" s="10">
        <f t="shared" si="36"/>
        <v>23.7237443746477</v>
      </c>
      <c r="AL70" s="10">
        <f t="shared" si="30"/>
        <v>0.457602294101323</v>
      </c>
      <c r="AM70" s="10">
        <f t="shared" si="37"/>
        <v>0.268842568324545</v>
      </c>
      <c r="AN70" s="10">
        <f t="shared" si="27"/>
        <v>3.05001555693839</v>
      </c>
    </row>
    <row r="71" ht="16" spans="1:40">
      <c r="A71" s="14">
        <v>2022</v>
      </c>
      <c r="B71" s="15">
        <v>520000</v>
      </c>
      <c r="C71" s="16" t="s">
        <v>47</v>
      </c>
      <c r="D71" s="24">
        <v>20010.4</v>
      </c>
      <c r="E71" s="25">
        <v>3856</v>
      </c>
      <c r="F71" s="26">
        <v>17.62</v>
      </c>
      <c r="G71" s="27">
        <v>2114</v>
      </c>
      <c r="H71" s="10">
        <v>894725</v>
      </c>
      <c r="I71" s="30">
        <v>17191.3210318331</v>
      </c>
      <c r="J71" s="31">
        <v>5805.67</v>
      </c>
      <c r="K71" s="24">
        <v>1993400</v>
      </c>
      <c r="L71" s="10">
        <v>1878</v>
      </c>
      <c r="M71" s="10">
        <v>729.78185</v>
      </c>
      <c r="N71" s="10">
        <v>390.72</v>
      </c>
      <c r="O71" s="10">
        <v>543.9782</v>
      </c>
      <c r="P71" s="35">
        <v>209617</v>
      </c>
      <c r="Q71" s="35">
        <v>94999</v>
      </c>
      <c r="R71" s="38">
        <v>40223.09</v>
      </c>
      <c r="S71" s="20">
        <v>8507.1</v>
      </c>
      <c r="T71" s="39">
        <v>5437.3</v>
      </c>
      <c r="U71" s="22">
        <v>13707</v>
      </c>
      <c r="V71" s="22">
        <v>41086</v>
      </c>
      <c r="W71" s="32">
        <v>51921</v>
      </c>
      <c r="X71" s="10">
        <v>52321</v>
      </c>
      <c r="Y71" s="10">
        <f t="shared" si="33"/>
        <v>0.859119309550689</v>
      </c>
      <c r="Z71" s="10">
        <f t="shared" si="29"/>
        <v>44583.3014311024</v>
      </c>
      <c r="AA71" s="10">
        <f t="shared" si="28"/>
        <v>0.548236514522822</v>
      </c>
      <c r="AB71" s="10">
        <f t="shared" si="38"/>
        <v>0.0232034491701245</v>
      </c>
      <c r="AC71" s="10">
        <f t="shared" si="25"/>
        <v>0.290132631031863</v>
      </c>
      <c r="AD71" s="10">
        <f t="shared" ref="AD71:AD107" si="39">K71/(D71*10000)</f>
        <v>0.00996181985367609</v>
      </c>
      <c r="AE71" s="10">
        <f t="shared" si="26"/>
        <v>7.53796265976821</v>
      </c>
      <c r="AF71" s="10">
        <f t="shared" si="31"/>
        <v>0.0364701280334226</v>
      </c>
      <c r="AG71" s="10">
        <f t="shared" si="19"/>
        <v>0.0195258465597889</v>
      </c>
      <c r="AH71" s="10">
        <f t="shared" si="34"/>
        <v>0.0271847739175629</v>
      </c>
      <c r="AI71" s="10">
        <f t="shared" si="35"/>
        <v>218.842224744608</v>
      </c>
      <c r="AJ71" s="10">
        <f t="shared" si="32"/>
        <v>2.01010924319354</v>
      </c>
      <c r="AK71" s="10">
        <f t="shared" si="36"/>
        <v>23.7146589792218</v>
      </c>
      <c r="AL71" s="10">
        <f t="shared" si="30"/>
        <v>0.425133930356215</v>
      </c>
      <c r="AM71" s="10">
        <f t="shared" si="37"/>
        <v>0.271723703674089</v>
      </c>
      <c r="AN71" s="10">
        <f t="shared" si="27"/>
        <v>2.99744656015175</v>
      </c>
    </row>
    <row r="72" ht="16" spans="1:40">
      <c r="A72" s="14">
        <v>2013</v>
      </c>
      <c r="B72" s="15">
        <v>460000</v>
      </c>
      <c r="C72" s="16" t="s">
        <v>48</v>
      </c>
      <c r="D72" s="24">
        <v>3115.9</v>
      </c>
      <c r="E72" s="25">
        <v>920</v>
      </c>
      <c r="F72" s="26">
        <v>3.51</v>
      </c>
      <c r="G72" s="27">
        <v>481</v>
      </c>
      <c r="H72" s="10">
        <v>172143</v>
      </c>
      <c r="I72" s="30">
        <v>2697.9</v>
      </c>
      <c r="J72" s="31">
        <v>1011.19</v>
      </c>
      <c r="K72" s="24">
        <v>148357.4</v>
      </c>
      <c r="L72" s="10">
        <v>490.56</v>
      </c>
      <c r="M72" s="10">
        <v>928.0779</v>
      </c>
      <c r="N72" s="10">
        <v>3.87</v>
      </c>
      <c r="O72" s="10">
        <v>126.4248</v>
      </c>
      <c r="P72" s="19">
        <v>24852</v>
      </c>
      <c r="Q72" s="19">
        <v>17325.1</v>
      </c>
      <c r="R72" s="38">
        <v>3978.15</v>
      </c>
      <c r="S72" s="20">
        <v>1090.9</v>
      </c>
      <c r="T72" s="39">
        <v>441.6</v>
      </c>
      <c r="U72" s="22">
        <v>8802</v>
      </c>
      <c r="V72" s="22">
        <v>22411</v>
      </c>
      <c r="W72" s="32">
        <v>34053</v>
      </c>
      <c r="X72" s="10">
        <v>35663</v>
      </c>
      <c r="Y72" s="10">
        <f t="shared" si="33"/>
        <v>0.865849353316859</v>
      </c>
      <c r="Z72" s="10">
        <f t="shared" si="29"/>
        <v>29325</v>
      </c>
      <c r="AA72" s="10">
        <f t="shared" si="28"/>
        <v>0.522826086956522</v>
      </c>
      <c r="AB72" s="10">
        <f t="shared" si="38"/>
        <v>0.0187111956521739</v>
      </c>
      <c r="AC72" s="10">
        <f t="shared" si="25"/>
        <v>0.324525819185468</v>
      </c>
      <c r="AD72" s="10">
        <f t="shared" si="39"/>
        <v>0.00476130171058121</v>
      </c>
      <c r="AE72" s="10">
        <f t="shared" si="26"/>
        <v>6.19554759568345</v>
      </c>
      <c r="AF72" s="10">
        <f t="shared" si="31"/>
        <v>0.297852273821368</v>
      </c>
      <c r="AG72" s="10">
        <f t="shared" si="19"/>
        <v>0.00124201675278411</v>
      </c>
      <c r="AH72" s="10">
        <f t="shared" si="34"/>
        <v>0.0405740877435091</v>
      </c>
      <c r="AI72" s="10">
        <f t="shared" si="35"/>
        <v>262.108262108262</v>
      </c>
      <c r="AJ72" s="10">
        <f t="shared" si="32"/>
        <v>1.27672582560416</v>
      </c>
      <c r="AK72" s="10">
        <f t="shared" si="36"/>
        <v>19.8806051072308</v>
      </c>
      <c r="AL72" s="10">
        <f t="shared" si="30"/>
        <v>0.350107513078083</v>
      </c>
      <c r="AM72" s="10">
        <f t="shared" si="37"/>
        <v>0.141724702333194</v>
      </c>
      <c r="AN72" s="10">
        <f t="shared" si="27"/>
        <v>2.54612588048171</v>
      </c>
    </row>
    <row r="73" ht="16" spans="1:40">
      <c r="A73" s="14">
        <v>2014</v>
      </c>
      <c r="B73" s="15">
        <v>460000</v>
      </c>
      <c r="C73" s="16" t="s">
        <v>48</v>
      </c>
      <c r="D73" s="24">
        <v>3449</v>
      </c>
      <c r="E73" s="25">
        <v>936</v>
      </c>
      <c r="F73" s="26">
        <v>3.51</v>
      </c>
      <c r="G73" s="27">
        <v>499</v>
      </c>
      <c r="H73" s="10">
        <v>180565</v>
      </c>
      <c r="I73" s="30">
        <v>3112.23</v>
      </c>
      <c r="J73" s="31">
        <v>1099.74</v>
      </c>
      <c r="K73" s="24">
        <v>169150.5</v>
      </c>
      <c r="L73" s="10">
        <v>504.1</v>
      </c>
      <c r="M73" s="10">
        <v>974.41148</v>
      </c>
      <c r="N73" s="10">
        <v>0.65</v>
      </c>
      <c r="O73" s="10">
        <v>139.4295</v>
      </c>
      <c r="P73" s="19">
        <v>26002</v>
      </c>
      <c r="Q73" s="19">
        <v>23632.3</v>
      </c>
      <c r="R73" s="38">
        <v>4684.32</v>
      </c>
      <c r="S73" s="20">
        <v>1224.5</v>
      </c>
      <c r="T73" s="39">
        <v>485.9</v>
      </c>
      <c r="U73" s="22">
        <v>9913</v>
      </c>
      <c r="V73" s="22">
        <v>24487</v>
      </c>
      <c r="W73" s="32">
        <v>37166</v>
      </c>
      <c r="X73" s="10">
        <v>38923.7</v>
      </c>
      <c r="Y73" s="10">
        <f t="shared" si="33"/>
        <v>0.902357204986953</v>
      </c>
      <c r="Z73" s="10">
        <f t="shared" si="29"/>
        <v>33250.3205128205</v>
      </c>
      <c r="AA73" s="10">
        <f t="shared" si="28"/>
        <v>0.533119658119658</v>
      </c>
      <c r="AB73" s="10">
        <f t="shared" si="38"/>
        <v>0.0192911324786325</v>
      </c>
      <c r="AC73" s="10">
        <f t="shared" si="25"/>
        <v>0.318857639895622</v>
      </c>
      <c r="AD73" s="10">
        <f t="shared" si="39"/>
        <v>0.00490433458973616</v>
      </c>
      <c r="AE73" s="10">
        <f t="shared" si="26"/>
        <v>6.22277466108859</v>
      </c>
      <c r="AF73" s="10">
        <f t="shared" si="31"/>
        <v>0.28252</v>
      </c>
      <c r="AG73" s="10">
        <f t="shared" si="19"/>
        <v>0.000188460423311105</v>
      </c>
      <c r="AH73" s="10">
        <f t="shared" si="34"/>
        <v>0.0404260655262395</v>
      </c>
      <c r="AI73" s="10">
        <f t="shared" si="35"/>
        <v>266.666666666667</v>
      </c>
      <c r="AJ73" s="10">
        <f t="shared" si="32"/>
        <v>1.35816758480719</v>
      </c>
      <c r="AK73" s="10">
        <f t="shared" si="36"/>
        <v>20.236298436464</v>
      </c>
      <c r="AL73" s="10">
        <f t="shared" si="30"/>
        <v>0.355030443606843</v>
      </c>
      <c r="AM73" s="10">
        <f t="shared" si="37"/>
        <v>0.14088141490287</v>
      </c>
      <c r="AN73" s="10">
        <f t="shared" si="27"/>
        <v>2.47019065873096</v>
      </c>
    </row>
    <row r="74" ht="16" spans="1:40">
      <c r="A74" s="14">
        <v>2015</v>
      </c>
      <c r="B74" s="15">
        <v>460000</v>
      </c>
      <c r="C74" s="16" t="s">
        <v>48</v>
      </c>
      <c r="D74" s="24">
        <v>3734.2</v>
      </c>
      <c r="E74" s="25">
        <v>945</v>
      </c>
      <c r="F74" s="26">
        <v>3.51</v>
      </c>
      <c r="G74" s="27">
        <v>519</v>
      </c>
      <c r="H74" s="10">
        <v>182944</v>
      </c>
      <c r="I74" s="30">
        <v>3451.22</v>
      </c>
      <c r="J74" s="31">
        <v>1239.21</v>
      </c>
      <c r="K74" s="24">
        <v>169685</v>
      </c>
      <c r="L74" s="10">
        <v>510.76</v>
      </c>
      <c r="M74" s="10">
        <v>869.91845</v>
      </c>
      <c r="N74" s="10">
        <v>2.19</v>
      </c>
      <c r="O74" s="10">
        <v>183.9215</v>
      </c>
      <c r="P74" s="19">
        <v>26860</v>
      </c>
      <c r="Q74" s="19">
        <v>22287</v>
      </c>
      <c r="R74" s="38">
        <v>5685.14</v>
      </c>
      <c r="S74" s="20">
        <v>1409.4</v>
      </c>
      <c r="T74" s="39">
        <v>492.9</v>
      </c>
      <c r="U74" s="22">
        <v>10858</v>
      </c>
      <c r="V74" s="22">
        <v>26356</v>
      </c>
      <c r="W74" s="32">
        <v>39704</v>
      </c>
      <c r="X74" s="10">
        <v>40818</v>
      </c>
      <c r="Y74" s="10">
        <f t="shared" si="33"/>
        <v>0.924219377644475</v>
      </c>
      <c r="Z74" s="10">
        <f t="shared" si="29"/>
        <v>36520.8465608466</v>
      </c>
      <c r="AA74" s="10">
        <f t="shared" si="28"/>
        <v>0.549206349206349</v>
      </c>
      <c r="AB74" s="10">
        <f t="shared" si="38"/>
        <v>0.0193591534391534</v>
      </c>
      <c r="AC74" s="10">
        <f t="shared" si="25"/>
        <v>0.331854212414975</v>
      </c>
      <c r="AD74" s="10">
        <f t="shared" si="39"/>
        <v>0.00454407905307696</v>
      </c>
      <c r="AE74" s="10">
        <f t="shared" si="26"/>
        <v>6.23589981255648</v>
      </c>
      <c r="AF74" s="10">
        <f t="shared" si="31"/>
        <v>0.232959790584329</v>
      </c>
      <c r="AG74" s="10">
        <f t="shared" si="19"/>
        <v>0.000586470997804081</v>
      </c>
      <c r="AH74" s="10">
        <f t="shared" si="34"/>
        <v>0.0492532537089604</v>
      </c>
      <c r="AI74" s="10">
        <f t="shared" si="35"/>
        <v>269.230769230769</v>
      </c>
      <c r="AJ74" s="10">
        <f t="shared" si="32"/>
        <v>1.52245193080178</v>
      </c>
      <c r="AK74" s="10">
        <f t="shared" si="36"/>
        <v>20.2101522978971</v>
      </c>
      <c r="AL74" s="10">
        <f t="shared" si="30"/>
        <v>0.377430239408709</v>
      </c>
      <c r="AM74" s="10">
        <f t="shared" si="37"/>
        <v>0.131996143752343</v>
      </c>
      <c r="AN74" s="10">
        <f t="shared" si="27"/>
        <v>2.42733468410389</v>
      </c>
    </row>
    <row r="75" ht="16" spans="1:40">
      <c r="A75" s="14">
        <v>2016</v>
      </c>
      <c r="B75" s="15">
        <v>460000</v>
      </c>
      <c r="C75" s="16" t="s">
        <v>48</v>
      </c>
      <c r="D75" s="24">
        <v>4090.2</v>
      </c>
      <c r="E75" s="25">
        <v>957</v>
      </c>
      <c r="F75" s="26">
        <v>3.51</v>
      </c>
      <c r="G75" s="27">
        <v>543</v>
      </c>
      <c r="H75" s="10">
        <v>184875</v>
      </c>
      <c r="I75" s="30">
        <v>3890.45</v>
      </c>
      <c r="J75" s="31">
        <v>1376.22</v>
      </c>
      <c r="K75" s="24">
        <v>217094.5</v>
      </c>
      <c r="L75" s="10">
        <v>513.14</v>
      </c>
      <c r="M75" s="10">
        <v>753.79677</v>
      </c>
      <c r="N75" s="10">
        <v>3.44</v>
      </c>
      <c r="O75" s="10">
        <v>142.8432</v>
      </c>
      <c r="P75" s="19">
        <v>28217</v>
      </c>
      <c r="Q75" s="19">
        <v>21785.6</v>
      </c>
      <c r="R75" s="38">
        <v>6569.47</v>
      </c>
      <c r="S75" s="20">
        <v>1547.3</v>
      </c>
      <c r="T75" s="39">
        <v>482.5</v>
      </c>
      <c r="U75" s="22">
        <v>11843</v>
      </c>
      <c r="V75" s="22">
        <v>28453</v>
      </c>
      <c r="W75" s="32">
        <v>43009</v>
      </c>
      <c r="X75" s="10">
        <v>44347</v>
      </c>
      <c r="Y75" s="10">
        <f t="shared" si="33"/>
        <v>0.951163757273483</v>
      </c>
      <c r="Z75" s="10">
        <f t="shared" si="29"/>
        <v>40652.5600835946</v>
      </c>
      <c r="AA75" s="10">
        <f t="shared" si="28"/>
        <v>0.567398119122257</v>
      </c>
      <c r="AB75" s="10">
        <f t="shared" si="38"/>
        <v>0.0193181818181818</v>
      </c>
      <c r="AC75" s="10">
        <f t="shared" si="25"/>
        <v>0.336467654393428</v>
      </c>
      <c r="AD75" s="10">
        <f t="shared" si="39"/>
        <v>0.00530767444134761</v>
      </c>
      <c r="AE75" s="10">
        <f t="shared" si="26"/>
        <v>6.24054871242255</v>
      </c>
      <c r="AF75" s="10">
        <f t="shared" si="31"/>
        <v>0.184293376851988</v>
      </c>
      <c r="AG75" s="10">
        <f t="shared" si="19"/>
        <v>0.000841034668231382</v>
      </c>
      <c r="AH75" s="10">
        <f t="shared" si="34"/>
        <v>0.0349232800352061</v>
      </c>
      <c r="AI75" s="10">
        <f t="shared" si="35"/>
        <v>272.649572649573</v>
      </c>
      <c r="AJ75" s="10">
        <f t="shared" si="32"/>
        <v>1.60614884357733</v>
      </c>
      <c r="AK75" s="10">
        <f t="shared" si="36"/>
        <v>20.2366843922314</v>
      </c>
      <c r="AL75" s="10">
        <f t="shared" si="30"/>
        <v>0.37829445992861</v>
      </c>
      <c r="AM75" s="10">
        <f t="shared" si="37"/>
        <v>0.117964891692338</v>
      </c>
      <c r="AN75" s="10">
        <f t="shared" ref="AN75:AN106" si="40">V75/U75</f>
        <v>2.40251625432745</v>
      </c>
    </row>
    <row r="76" ht="16" spans="1:40">
      <c r="A76" s="14">
        <v>2017</v>
      </c>
      <c r="B76" s="15">
        <v>460000</v>
      </c>
      <c r="C76" s="16" t="s">
        <v>48</v>
      </c>
      <c r="D76" s="24">
        <v>4497.5</v>
      </c>
      <c r="E76" s="25">
        <v>972</v>
      </c>
      <c r="F76" s="26">
        <v>3.51</v>
      </c>
      <c r="G76" s="27">
        <v>564</v>
      </c>
      <c r="H76" s="10">
        <v>185538</v>
      </c>
      <c r="I76" s="30">
        <v>4244.4</v>
      </c>
      <c r="J76" s="31">
        <v>1443.66</v>
      </c>
      <c r="K76" s="24">
        <v>231099</v>
      </c>
      <c r="L76" s="10">
        <v>525.87</v>
      </c>
      <c r="M76" s="10">
        <v>700.43545</v>
      </c>
      <c r="N76" s="10">
        <v>4.11</v>
      </c>
      <c r="O76" s="10">
        <v>270.2675</v>
      </c>
      <c r="P76" s="19">
        <v>30684.3</v>
      </c>
      <c r="Q76" s="19">
        <v>21351.3</v>
      </c>
      <c r="R76" s="38">
        <v>7376.55</v>
      </c>
      <c r="S76" s="20">
        <v>1729.4</v>
      </c>
      <c r="T76" s="39">
        <v>528.3</v>
      </c>
      <c r="U76" s="22">
        <v>12902</v>
      </c>
      <c r="V76" s="22">
        <v>30817</v>
      </c>
      <c r="W76" s="32">
        <v>46631</v>
      </c>
      <c r="X76" s="10">
        <v>48430</v>
      </c>
      <c r="Y76" s="10">
        <f t="shared" si="33"/>
        <v>0.943724291272929</v>
      </c>
      <c r="Z76" s="10">
        <f t="shared" si="29"/>
        <v>43666.6666666667</v>
      </c>
      <c r="AA76" s="10">
        <f t="shared" si="28"/>
        <v>0.580246913580247</v>
      </c>
      <c r="AB76" s="10">
        <f t="shared" si="38"/>
        <v>0.0190882716049383</v>
      </c>
      <c r="AC76" s="10">
        <f t="shared" si="25"/>
        <v>0.320991662034464</v>
      </c>
      <c r="AD76" s="10">
        <f t="shared" si="39"/>
        <v>0.00513838799332963</v>
      </c>
      <c r="AE76" s="10">
        <f t="shared" si="26"/>
        <v>6.26505403390257</v>
      </c>
      <c r="AF76" s="10">
        <f t="shared" si="31"/>
        <v>0.155738843802112</v>
      </c>
      <c r="AG76" s="10">
        <f t="shared" si="19"/>
        <v>0.000913841022790439</v>
      </c>
      <c r="AH76" s="10">
        <f t="shared" si="34"/>
        <v>0.0600928293496387</v>
      </c>
      <c r="AI76" s="10">
        <f t="shared" si="35"/>
        <v>276.923076923077</v>
      </c>
      <c r="AJ76" s="10">
        <f t="shared" si="32"/>
        <v>1.64014452473596</v>
      </c>
      <c r="AK76" s="10">
        <f t="shared" si="36"/>
        <v>20.3003743088467</v>
      </c>
      <c r="AL76" s="10">
        <f t="shared" si="30"/>
        <v>0.384524735964425</v>
      </c>
      <c r="AM76" s="10">
        <f t="shared" si="37"/>
        <v>0.117465258476932</v>
      </c>
      <c r="AN76" s="10">
        <f t="shared" si="40"/>
        <v>2.38854441171911</v>
      </c>
    </row>
    <row r="77" ht="16" spans="1:40">
      <c r="A77" s="14">
        <v>2018</v>
      </c>
      <c r="B77" s="15">
        <v>460000</v>
      </c>
      <c r="C77" s="16" t="s">
        <v>48</v>
      </c>
      <c r="D77" s="24">
        <v>4910.7</v>
      </c>
      <c r="E77" s="25">
        <v>982</v>
      </c>
      <c r="F77" s="26">
        <v>3.51</v>
      </c>
      <c r="G77" s="27">
        <v>581</v>
      </c>
      <c r="H77" s="10">
        <v>189179</v>
      </c>
      <c r="I77" s="30">
        <v>3713.85</v>
      </c>
      <c r="J77" s="31">
        <v>1691.11</v>
      </c>
      <c r="K77" s="24">
        <v>268723</v>
      </c>
      <c r="L77" s="10">
        <v>535.5</v>
      </c>
      <c r="M77" s="10">
        <v>842.62861</v>
      </c>
      <c r="N77" s="10">
        <v>6.94</v>
      </c>
      <c r="O77" s="10">
        <v>591.0811</v>
      </c>
      <c r="P77" s="19">
        <v>35022.7</v>
      </c>
      <c r="Q77" s="19">
        <v>22040.2</v>
      </c>
      <c r="R77" s="38">
        <v>7870.6</v>
      </c>
      <c r="S77" s="20">
        <v>1852.7</v>
      </c>
      <c r="T77" s="39">
        <v>582</v>
      </c>
      <c r="U77" s="22">
        <v>13989</v>
      </c>
      <c r="V77" s="22">
        <v>33349</v>
      </c>
      <c r="W77" s="32">
        <v>50263</v>
      </c>
      <c r="X77" s="10">
        <v>51955.2922</v>
      </c>
      <c r="Y77" s="10">
        <f t="shared" si="33"/>
        <v>0.756277109169772</v>
      </c>
      <c r="Z77" s="10">
        <f t="shared" si="29"/>
        <v>37819.2464358452</v>
      </c>
      <c r="AA77" s="10">
        <f t="shared" ref="AA77:AA100" si="41">G77/E77</f>
        <v>0.591649694501018</v>
      </c>
      <c r="AB77" s="10">
        <f t="shared" si="38"/>
        <v>0.0192646639511202</v>
      </c>
      <c r="AC77" s="10">
        <f t="shared" si="25"/>
        <v>0.344372492719979</v>
      </c>
      <c r="AD77" s="10">
        <f t="shared" si="39"/>
        <v>0.00547219337365345</v>
      </c>
      <c r="AE77" s="10">
        <f t="shared" si="26"/>
        <v>6.2832008898878</v>
      </c>
      <c r="AF77" s="10">
        <f t="shared" si="31"/>
        <v>0.171590325208219</v>
      </c>
      <c r="AG77" s="10">
        <f t="shared" si="19"/>
        <v>0.00141324047488138</v>
      </c>
      <c r="AH77" s="10">
        <f t="shared" si="34"/>
        <v>0.12036595597369</v>
      </c>
      <c r="AI77" s="10">
        <f t="shared" si="35"/>
        <v>279.77207977208</v>
      </c>
      <c r="AJ77" s="10">
        <f t="shared" si="32"/>
        <v>1.60274502616735</v>
      </c>
      <c r="AK77" s="10">
        <f t="shared" si="36"/>
        <v>20.4643750393044</v>
      </c>
      <c r="AL77" s="10">
        <f t="shared" si="30"/>
        <v>0.377278188445639</v>
      </c>
      <c r="AM77" s="10">
        <f t="shared" si="37"/>
        <v>0.118516708412243</v>
      </c>
      <c r="AN77" s="10">
        <f t="shared" si="40"/>
        <v>2.38394452784331</v>
      </c>
    </row>
    <row r="78" ht="16" spans="1:40">
      <c r="A78" s="14">
        <v>2019</v>
      </c>
      <c r="B78" s="15">
        <v>460000</v>
      </c>
      <c r="C78" s="16" t="s">
        <v>48</v>
      </c>
      <c r="D78" s="24">
        <v>5330.8</v>
      </c>
      <c r="E78" s="25">
        <v>995</v>
      </c>
      <c r="F78" s="26">
        <v>3.51</v>
      </c>
      <c r="G78" s="27">
        <v>591</v>
      </c>
      <c r="H78" s="10">
        <v>207424</v>
      </c>
      <c r="I78" s="30">
        <v>3372.1758</v>
      </c>
      <c r="J78" s="31">
        <v>1851.17</v>
      </c>
      <c r="K78" s="24">
        <v>299095.8</v>
      </c>
      <c r="L78" s="10">
        <v>536.11</v>
      </c>
      <c r="M78" s="10">
        <v>907.34232</v>
      </c>
      <c r="N78" s="10">
        <v>9.11</v>
      </c>
      <c r="O78" s="10">
        <v>899.3579</v>
      </c>
      <c r="P78" s="19">
        <v>38106.8</v>
      </c>
      <c r="Q78" s="19">
        <v>18455.6</v>
      </c>
      <c r="R78" s="38">
        <v>8596.37</v>
      </c>
      <c r="S78" s="20">
        <v>1951.1</v>
      </c>
      <c r="T78" s="39">
        <v>597.9</v>
      </c>
      <c r="U78" s="22">
        <v>15113</v>
      </c>
      <c r="V78" s="22">
        <v>36017</v>
      </c>
      <c r="W78" s="32">
        <v>53929</v>
      </c>
      <c r="X78" s="10">
        <v>56506.83</v>
      </c>
      <c r="Y78" s="10">
        <f t="shared" si="33"/>
        <v>0.632583439633826</v>
      </c>
      <c r="Z78" s="10">
        <f t="shared" si="29"/>
        <v>33891.2140703518</v>
      </c>
      <c r="AA78" s="10">
        <f t="shared" si="41"/>
        <v>0.593969849246231</v>
      </c>
      <c r="AB78" s="10">
        <f t="shared" si="38"/>
        <v>0.0208466331658291</v>
      </c>
      <c r="AC78" s="10">
        <f t="shared" si="25"/>
        <v>0.34725932317851</v>
      </c>
      <c r="AD78" s="10">
        <f t="shared" si="39"/>
        <v>0.0056107113378855</v>
      </c>
      <c r="AE78" s="10">
        <f t="shared" si="26"/>
        <v>6.28433936389586</v>
      </c>
      <c r="AF78" s="10">
        <f t="shared" si="31"/>
        <v>0.17020753357845</v>
      </c>
      <c r="AG78" s="10">
        <f t="shared" si="19"/>
        <v>0.00170893674495385</v>
      </c>
      <c r="AH78" s="10">
        <f t="shared" si="34"/>
        <v>0.168709743378105</v>
      </c>
      <c r="AI78" s="10">
        <f t="shared" si="35"/>
        <v>283.475783475783</v>
      </c>
      <c r="AJ78" s="10">
        <f t="shared" si="32"/>
        <v>1.6125853530427</v>
      </c>
      <c r="AK78" s="10">
        <f t="shared" si="36"/>
        <v>20.3712711493299</v>
      </c>
      <c r="AL78" s="10">
        <f t="shared" si="30"/>
        <v>0.366005102423651</v>
      </c>
      <c r="AM78" s="10">
        <f t="shared" si="37"/>
        <v>0.112159525774743</v>
      </c>
      <c r="AN78" s="10">
        <f t="shared" si="40"/>
        <v>2.38318004367101</v>
      </c>
    </row>
    <row r="79" ht="16" spans="1:40">
      <c r="A79" s="14">
        <v>2020</v>
      </c>
      <c r="B79" s="15">
        <v>460000</v>
      </c>
      <c r="C79" s="16" t="s">
        <v>48</v>
      </c>
      <c r="D79" s="24">
        <v>5566.2</v>
      </c>
      <c r="E79" s="25">
        <v>1012</v>
      </c>
      <c r="F79" s="26">
        <v>3.51</v>
      </c>
      <c r="G79" s="27">
        <v>610</v>
      </c>
      <c r="H79" s="10">
        <v>230062</v>
      </c>
      <c r="I79" s="30">
        <v>3641.949864</v>
      </c>
      <c r="J79" s="31">
        <v>1961.83</v>
      </c>
      <c r="K79" s="24">
        <v>366252</v>
      </c>
      <c r="L79" s="10">
        <v>540.97</v>
      </c>
      <c r="M79" s="10">
        <v>937.16526</v>
      </c>
      <c r="N79" s="10">
        <v>20.19</v>
      </c>
      <c r="O79" s="10">
        <v>1177.9778</v>
      </c>
      <c r="P79" s="19">
        <v>40163.3</v>
      </c>
      <c r="Q79" s="19">
        <v>20670.2</v>
      </c>
      <c r="R79" s="38">
        <v>9230.18</v>
      </c>
      <c r="S79" s="20">
        <v>1974.6</v>
      </c>
      <c r="T79" s="39">
        <v>557.4</v>
      </c>
      <c r="U79" s="22">
        <v>16279</v>
      </c>
      <c r="V79" s="22">
        <v>37097</v>
      </c>
      <c r="W79" s="32">
        <v>55438</v>
      </c>
      <c r="X79" s="10">
        <v>55130.94</v>
      </c>
      <c r="Y79" s="10">
        <f t="shared" si="33"/>
        <v>0.654297341813086</v>
      </c>
      <c r="Z79" s="10">
        <f t="shared" si="29"/>
        <v>35987.6468774704</v>
      </c>
      <c r="AA79" s="10">
        <f t="shared" si="41"/>
        <v>0.602766798418972</v>
      </c>
      <c r="AB79" s="10">
        <f t="shared" si="38"/>
        <v>0.0227333992094862</v>
      </c>
      <c r="AC79" s="10">
        <f t="shared" si="25"/>
        <v>0.352454097948331</v>
      </c>
      <c r="AD79" s="10">
        <f t="shared" si="39"/>
        <v>0.00657992885631131</v>
      </c>
      <c r="AE79" s="10">
        <f t="shared" si="26"/>
        <v>6.29336382444385</v>
      </c>
      <c r="AF79" s="10">
        <f t="shared" si="31"/>
        <v>0.168367155330387</v>
      </c>
      <c r="AG79" s="10">
        <f t="shared" si="19"/>
        <v>0.00362725018863857</v>
      </c>
      <c r="AH79" s="10">
        <f t="shared" si="34"/>
        <v>0.211630519923826</v>
      </c>
      <c r="AI79" s="10">
        <f t="shared" si="35"/>
        <v>288.319088319088</v>
      </c>
      <c r="AJ79" s="10">
        <f t="shared" si="32"/>
        <v>1.65825518306924</v>
      </c>
      <c r="AK79" s="10">
        <f t="shared" si="36"/>
        <v>20.5371572507922</v>
      </c>
      <c r="AL79" s="10">
        <f t="shared" si="30"/>
        <v>0.354748302252883</v>
      </c>
      <c r="AM79" s="10">
        <f t="shared" si="37"/>
        <v>0.100140131508031</v>
      </c>
      <c r="AN79" s="10">
        <f t="shared" si="40"/>
        <v>2.27882548068063</v>
      </c>
    </row>
    <row r="80" ht="16" spans="1:40">
      <c r="A80" s="14">
        <v>2021</v>
      </c>
      <c r="B80" s="15">
        <v>460000</v>
      </c>
      <c r="C80" s="16" t="s">
        <v>48</v>
      </c>
      <c r="D80" s="24">
        <v>6504.1</v>
      </c>
      <c r="E80" s="25">
        <v>1020</v>
      </c>
      <c r="F80" s="26">
        <v>3.51</v>
      </c>
      <c r="G80" s="27">
        <v>622</v>
      </c>
      <c r="H80" s="10">
        <v>245129</v>
      </c>
      <c r="I80" s="30">
        <v>4013.428750128</v>
      </c>
      <c r="J80" s="31">
        <v>1959.27</v>
      </c>
      <c r="K80" s="24">
        <v>469840</v>
      </c>
      <c r="L80" s="10">
        <v>544.22</v>
      </c>
      <c r="M80" s="10">
        <v>1467.7162</v>
      </c>
      <c r="N80" s="10">
        <v>28.4162</v>
      </c>
      <c r="O80" s="10">
        <v>166.74</v>
      </c>
      <c r="P80" s="19">
        <v>41046</v>
      </c>
      <c r="Q80" s="19">
        <v>27991</v>
      </c>
      <c r="R80" s="38">
        <v>9926.01</v>
      </c>
      <c r="S80" s="20">
        <v>2497.6</v>
      </c>
      <c r="T80" s="39">
        <v>693.1</v>
      </c>
      <c r="U80" s="22">
        <v>18076</v>
      </c>
      <c r="V80" s="22">
        <v>40213</v>
      </c>
      <c r="W80" s="32">
        <v>63991</v>
      </c>
      <c r="X80" s="10">
        <v>63707</v>
      </c>
      <c r="Y80" s="10">
        <f t="shared" si="33"/>
        <v>0.617061353627404</v>
      </c>
      <c r="Z80" s="10">
        <f t="shared" si="29"/>
        <v>39347.3406875294</v>
      </c>
      <c r="AA80" s="10">
        <f t="shared" si="41"/>
        <v>0.609803921568628</v>
      </c>
      <c r="AB80" s="10">
        <f t="shared" si="38"/>
        <v>0.0240322549019608</v>
      </c>
      <c r="AC80" s="10">
        <f t="shared" si="25"/>
        <v>0.301236143355729</v>
      </c>
      <c r="AD80" s="10">
        <f t="shared" si="39"/>
        <v>0.00722375117233745</v>
      </c>
      <c r="AE80" s="10">
        <f t="shared" si="26"/>
        <v>6.29935357686825</v>
      </c>
      <c r="AF80" s="10">
        <f t="shared" si="31"/>
        <v>0.225660152826679</v>
      </c>
      <c r="AG80" s="10">
        <f t="shared" si="19"/>
        <v>0.00436896726680094</v>
      </c>
      <c r="AH80" s="10">
        <f t="shared" si="34"/>
        <v>0.0256361372057625</v>
      </c>
      <c r="AI80" s="10">
        <f t="shared" si="35"/>
        <v>290.598290598291</v>
      </c>
      <c r="AJ80" s="10">
        <f t="shared" si="32"/>
        <v>1.52611583462739</v>
      </c>
      <c r="AK80" s="10">
        <f t="shared" si="36"/>
        <v>20.8620869769057</v>
      </c>
      <c r="AL80" s="10">
        <f t="shared" si="30"/>
        <v>0.384003935978844</v>
      </c>
      <c r="AM80" s="10">
        <f t="shared" si="37"/>
        <v>0.106563552220907</v>
      </c>
      <c r="AN80" s="10">
        <f t="shared" si="40"/>
        <v>2.22466253595928</v>
      </c>
    </row>
    <row r="81" ht="16" spans="1:40">
      <c r="A81" s="14">
        <v>2022</v>
      </c>
      <c r="B81" s="15">
        <v>460000</v>
      </c>
      <c r="C81" s="16" t="s">
        <v>48</v>
      </c>
      <c r="D81" s="24">
        <v>6889.6</v>
      </c>
      <c r="E81" s="25">
        <v>1027</v>
      </c>
      <c r="F81" s="26">
        <v>3.51</v>
      </c>
      <c r="G81" s="27">
        <v>631</v>
      </c>
      <c r="H81" s="10">
        <v>258146</v>
      </c>
      <c r="I81" s="30">
        <v>3844.86474262262</v>
      </c>
      <c r="J81" s="31">
        <v>2085.1</v>
      </c>
      <c r="K81" s="24">
        <v>683660</v>
      </c>
      <c r="L81" s="10">
        <v>531.46</v>
      </c>
      <c r="M81" s="10">
        <v>2019.1752</v>
      </c>
      <c r="N81" s="10">
        <v>31.55</v>
      </c>
      <c r="O81" s="10">
        <v>172.8419</v>
      </c>
      <c r="P81" s="35">
        <v>41687</v>
      </c>
      <c r="Q81" s="35">
        <v>30007</v>
      </c>
      <c r="R81" s="38">
        <v>10506.18</v>
      </c>
      <c r="S81" s="20">
        <v>2268.4</v>
      </c>
      <c r="T81" s="39">
        <v>755.9</v>
      </c>
      <c r="U81" s="22">
        <v>19117</v>
      </c>
      <c r="V81" s="22">
        <v>40118</v>
      </c>
      <c r="W81" s="32">
        <v>67314</v>
      </c>
      <c r="X81" s="10">
        <v>66602</v>
      </c>
      <c r="Y81" s="10">
        <f t="shared" ref="Y81:Y100" si="42">I81/D81</f>
        <v>0.558067920143785</v>
      </c>
      <c r="Z81" s="10">
        <f t="shared" si="29"/>
        <v>37437.8261209603</v>
      </c>
      <c r="AA81" s="10">
        <f t="shared" si="41"/>
        <v>0.614410905550146</v>
      </c>
      <c r="AB81" s="10">
        <f t="shared" si="38"/>
        <v>0.0251359298928919</v>
      </c>
      <c r="AC81" s="10">
        <f t="shared" si="25"/>
        <v>0.302644565722248</v>
      </c>
      <c r="AD81" s="10">
        <f t="shared" si="39"/>
        <v>0.00992307245703669</v>
      </c>
      <c r="AE81" s="10">
        <f t="shared" si="26"/>
        <v>6.27562793624814</v>
      </c>
      <c r="AF81" s="10">
        <f t="shared" si="31"/>
        <v>0.293075824431026</v>
      </c>
      <c r="AG81" s="10">
        <f t="shared" si="19"/>
        <v>0.00457936600092894</v>
      </c>
      <c r="AH81" s="10">
        <f t="shared" si="34"/>
        <v>0.025087363562471</v>
      </c>
      <c r="AI81" s="10">
        <f t="shared" si="35"/>
        <v>292.592592592593</v>
      </c>
      <c r="AJ81" s="10">
        <f t="shared" si="32"/>
        <v>1.52493323269856</v>
      </c>
      <c r="AK81" s="10">
        <f t="shared" si="36"/>
        <v>20.9471305753427</v>
      </c>
      <c r="AL81" s="10">
        <f t="shared" si="30"/>
        <v>0.329249883882954</v>
      </c>
      <c r="AM81" s="10">
        <f t="shared" si="37"/>
        <v>0.109716093822573</v>
      </c>
      <c r="AN81" s="10">
        <f t="shared" si="40"/>
        <v>2.09855102788094</v>
      </c>
    </row>
    <row r="82" ht="16" spans="1:40">
      <c r="A82" s="14">
        <v>2013</v>
      </c>
      <c r="B82" s="15">
        <v>130000</v>
      </c>
      <c r="C82" s="16" t="s">
        <v>49</v>
      </c>
      <c r="D82" s="24">
        <v>24259.6</v>
      </c>
      <c r="E82" s="25">
        <v>7288</v>
      </c>
      <c r="F82" s="26">
        <v>18.88</v>
      </c>
      <c r="G82" s="27">
        <v>3500</v>
      </c>
      <c r="H82" s="10">
        <v>1174374</v>
      </c>
      <c r="I82" s="30">
        <v>23194.2</v>
      </c>
      <c r="J82" s="31">
        <v>4405.98</v>
      </c>
      <c r="K82" s="24">
        <v>2825277.9</v>
      </c>
      <c r="L82" s="10">
        <v>4032</v>
      </c>
      <c r="M82" s="10">
        <v>3400.7834</v>
      </c>
      <c r="N82" s="10">
        <v>31.56</v>
      </c>
      <c r="O82" s="10">
        <v>728.7249</v>
      </c>
      <c r="P82" s="19">
        <v>174492</v>
      </c>
      <c r="Q82" s="19">
        <v>198009</v>
      </c>
      <c r="R82" s="38">
        <v>23966</v>
      </c>
      <c r="S82" s="20">
        <v>10516.7</v>
      </c>
      <c r="T82" s="39">
        <v>9847.5</v>
      </c>
      <c r="U82" s="22">
        <v>9188</v>
      </c>
      <c r="V82" s="22">
        <v>22227</v>
      </c>
      <c r="W82" s="32">
        <v>33346</v>
      </c>
      <c r="X82" s="10">
        <v>38909</v>
      </c>
      <c r="Y82" s="10">
        <f t="shared" si="42"/>
        <v>0.956083364935943</v>
      </c>
      <c r="Z82" s="10">
        <f t="shared" si="29"/>
        <v>31825.1920965971</v>
      </c>
      <c r="AA82" s="10">
        <f t="shared" si="41"/>
        <v>0.480241492864984</v>
      </c>
      <c r="AB82" s="10">
        <f t="shared" si="38"/>
        <v>0.0161138035126235</v>
      </c>
      <c r="AC82" s="10">
        <f t="shared" si="25"/>
        <v>0.181617998647958</v>
      </c>
      <c r="AD82" s="10">
        <f t="shared" si="39"/>
        <v>0.0116460201322363</v>
      </c>
      <c r="AE82" s="10">
        <f t="shared" ref="AE82:AE113" si="43">LN(L82)</f>
        <v>8.3020178097512</v>
      </c>
      <c r="AF82" s="10">
        <f t="shared" si="31"/>
        <v>0.140182995597619</v>
      </c>
      <c r="AG82" s="10">
        <f t="shared" si="19"/>
        <v>0.0013009282923049</v>
      </c>
      <c r="AH82" s="10">
        <f t="shared" si="34"/>
        <v>0.030038619762898</v>
      </c>
      <c r="AI82" s="10">
        <f t="shared" si="35"/>
        <v>386.016949152542</v>
      </c>
      <c r="AJ82" s="10">
        <f t="shared" si="32"/>
        <v>0.987897574568418</v>
      </c>
      <c r="AK82" s="10">
        <f t="shared" si="36"/>
        <v>24.2657019374906</v>
      </c>
      <c r="AL82" s="10">
        <f t="shared" si="30"/>
        <v>0.433506735477914</v>
      </c>
      <c r="AM82" s="10">
        <f t="shared" si="37"/>
        <v>0.405921779419281</v>
      </c>
      <c r="AN82" s="10">
        <f t="shared" si="40"/>
        <v>2.41913365259033</v>
      </c>
    </row>
    <row r="83" ht="16" spans="1:40">
      <c r="A83" s="14">
        <v>2014</v>
      </c>
      <c r="B83" s="15">
        <v>130000</v>
      </c>
      <c r="C83" s="16" t="s">
        <v>49</v>
      </c>
      <c r="D83" s="24">
        <v>25208.9</v>
      </c>
      <c r="E83" s="25">
        <v>7323</v>
      </c>
      <c r="F83" s="26">
        <v>18.88</v>
      </c>
      <c r="G83" s="27">
        <v>3615</v>
      </c>
      <c r="H83" s="10">
        <v>1164341</v>
      </c>
      <c r="I83" s="30">
        <v>26671.92</v>
      </c>
      <c r="J83" s="31">
        <v>4671.26</v>
      </c>
      <c r="K83" s="24">
        <v>3142407.4</v>
      </c>
      <c r="L83" s="10">
        <v>3978</v>
      </c>
      <c r="M83" s="10">
        <v>3678.1464</v>
      </c>
      <c r="N83" s="10">
        <v>29.22</v>
      </c>
      <c r="O83" s="10">
        <v>825.5254</v>
      </c>
      <c r="P83" s="19">
        <v>179200</v>
      </c>
      <c r="Q83" s="19">
        <v>209946</v>
      </c>
      <c r="R83" s="38">
        <v>27593.8</v>
      </c>
      <c r="S83" s="20">
        <v>11820.5</v>
      </c>
      <c r="T83" s="39">
        <v>10056.3</v>
      </c>
      <c r="U83" s="22">
        <v>10186</v>
      </c>
      <c r="V83" s="22">
        <v>24141</v>
      </c>
      <c r="W83" s="32">
        <v>34507</v>
      </c>
      <c r="X83" s="10">
        <v>39984</v>
      </c>
      <c r="Y83" s="10">
        <f t="shared" si="42"/>
        <v>1.0580358524172</v>
      </c>
      <c r="Z83" s="10">
        <f t="shared" si="29"/>
        <v>36422.1220811143</v>
      </c>
      <c r="AA83" s="10">
        <f t="shared" si="41"/>
        <v>0.493650143383859</v>
      </c>
      <c r="AB83" s="10">
        <f t="shared" si="38"/>
        <v>0.01589978151031</v>
      </c>
      <c r="AC83" s="10">
        <f t="shared" si="25"/>
        <v>0.185302016351368</v>
      </c>
      <c r="AD83" s="10">
        <f t="shared" si="39"/>
        <v>0.012465468148154</v>
      </c>
      <c r="AE83" s="10">
        <f t="shared" si="43"/>
        <v>8.28853445941392</v>
      </c>
      <c r="AF83" s="10">
        <f t="shared" si="31"/>
        <v>0.145906659949462</v>
      </c>
      <c r="AG83" s="10">
        <f t="shared" si="19"/>
        <v>0.00115911443974152</v>
      </c>
      <c r="AH83" s="10">
        <f t="shared" si="34"/>
        <v>0.0327473789018958</v>
      </c>
      <c r="AI83" s="10">
        <f t="shared" si="35"/>
        <v>387.870762711864</v>
      </c>
      <c r="AJ83" s="10">
        <f t="shared" si="32"/>
        <v>1.09460547663722</v>
      </c>
      <c r="AK83" s="10">
        <f t="shared" si="36"/>
        <v>24.3508634132985</v>
      </c>
      <c r="AL83" s="10">
        <f t="shared" si="30"/>
        <v>0.468901856090508</v>
      </c>
      <c r="AM83" s="10">
        <f t="shared" si="37"/>
        <v>0.398918635878598</v>
      </c>
      <c r="AN83" s="10">
        <f t="shared" si="40"/>
        <v>2.37001767131357</v>
      </c>
    </row>
    <row r="84" ht="16" spans="1:40">
      <c r="A84" s="14">
        <v>2015</v>
      </c>
      <c r="B84" s="15">
        <v>130000</v>
      </c>
      <c r="C84" s="16" t="s">
        <v>49</v>
      </c>
      <c r="D84" s="24">
        <v>26398.4</v>
      </c>
      <c r="E84" s="25">
        <v>7345</v>
      </c>
      <c r="F84" s="26">
        <v>18.88</v>
      </c>
      <c r="G84" s="27">
        <v>3795</v>
      </c>
      <c r="H84" s="10">
        <v>1179172</v>
      </c>
      <c r="I84" s="30">
        <v>29448.27</v>
      </c>
      <c r="J84" s="31">
        <v>5625.63</v>
      </c>
      <c r="K84" s="24">
        <v>3521443.9</v>
      </c>
      <c r="L84" s="10">
        <v>3927</v>
      </c>
      <c r="M84" s="10">
        <v>3208.4823</v>
      </c>
      <c r="N84" s="10">
        <v>39.54</v>
      </c>
      <c r="O84" s="10">
        <v>997.9347</v>
      </c>
      <c r="P84" s="19">
        <v>184553</v>
      </c>
      <c r="Q84" s="19">
        <v>198024</v>
      </c>
      <c r="R84" s="38">
        <v>32151.4</v>
      </c>
      <c r="S84" s="20">
        <v>9367.5</v>
      </c>
      <c r="T84" s="39">
        <v>10026.4</v>
      </c>
      <c r="U84" s="22">
        <v>11051</v>
      </c>
      <c r="V84" s="22">
        <v>26152</v>
      </c>
      <c r="W84" s="32">
        <v>35994</v>
      </c>
      <c r="X84" s="10">
        <v>40255</v>
      </c>
      <c r="Y84" s="10">
        <f t="shared" si="42"/>
        <v>1.11553238075035</v>
      </c>
      <c r="Z84" s="10">
        <f t="shared" si="29"/>
        <v>40092.9475833901</v>
      </c>
      <c r="AA84" s="10">
        <f t="shared" si="41"/>
        <v>0.516678012253234</v>
      </c>
      <c r="AB84" s="10">
        <f t="shared" si="38"/>
        <v>0.0160540776038121</v>
      </c>
      <c r="AC84" s="10">
        <f t="shared" si="25"/>
        <v>0.213104960906722</v>
      </c>
      <c r="AD84" s="10">
        <f t="shared" si="39"/>
        <v>0.0133396111127947</v>
      </c>
      <c r="AE84" s="10">
        <f t="shared" si="43"/>
        <v>8.27563105457801</v>
      </c>
      <c r="AF84" s="10">
        <f t="shared" si="31"/>
        <v>0.121540786562822</v>
      </c>
      <c r="AG84" s="10">
        <f t="shared" si="19"/>
        <v>0.00149781804957876</v>
      </c>
      <c r="AH84" s="10">
        <f t="shared" si="34"/>
        <v>0.0378028478998727</v>
      </c>
      <c r="AI84" s="10">
        <f t="shared" si="35"/>
        <v>389.036016949153</v>
      </c>
      <c r="AJ84" s="10">
        <f t="shared" si="32"/>
        <v>1.21792987453785</v>
      </c>
      <c r="AK84" s="10">
        <f t="shared" si="36"/>
        <v>24.3218354785356</v>
      </c>
      <c r="AL84" s="10">
        <f t="shared" si="30"/>
        <v>0.354851051578884</v>
      </c>
      <c r="AM84" s="10">
        <f t="shared" si="37"/>
        <v>0.379810897630159</v>
      </c>
      <c r="AN84" s="10">
        <f t="shared" si="40"/>
        <v>2.36648267125147</v>
      </c>
    </row>
    <row r="85" ht="16" spans="1:40">
      <c r="A85" s="14">
        <v>2016</v>
      </c>
      <c r="B85" s="15">
        <v>130000</v>
      </c>
      <c r="C85" s="16" t="s">
        <v>49</v>
      </c>
      <c r="D85" s="24">
        <v>28474.1</v>
      </c>
      <c r="E85" s="25">
        <v>7375</v>
      </c>
      <c r="F85" s="26">
        <v>18.88</v>
      </c>
      <c r="G85" s="27">
        <v>3973</v>
      </c>
      <c r="H85" s="10">
        <v>1216096</v>
      </c>
      <c r="I85" s="30">
        <v>31750.02</v>
      </c>
      <c r="J85" s="31">
        <v>6040.64</v>
      </c>
      <c r="K85" s="24">
        <v>3834273.8</v>
      </c>
      <c r="L85" s="10">
        <v>3871</v>
      </c>
      <c r="M85" s="10">
        <v>3100.3188</v>
      </c>
      <c r="N85" s="10">
        <v>59</v>
      </c>
      <c r="O85" s="10">
        <v>819.9896</v>
      </c>
      <c r="P85" s="19">
        <v>188431</v>
      </c>
      <c r="Q85" s="19">
        <v>210586</v>
      </c>
      <c r="R85" s="38">
        <v>37352.2</v>
      </c>
      <c r="S85" s="20">
        <v>10191.4</v>
      </c>
      <c r="T85" s="39">
        <v>10755.9</v>
      </c>
      <c r="U85" s="22">
        <v>11919</v>
      </c>
      <c r="V85" s="22">
        <v>28249</v>
      </c>
      <c r="W85" s="32">
        <v>38688</v>
      </c>
      <c r="X85" s="10">
        <v>43062</v>
      </c>
      <c r="Y85" s="10">
        <f t="shared" si="42"/>
        <v>1.1150491148096</v>
      </c>
      <c r="Z85" s="10">
        <f t="shared" si="29"/>
        <v>43050.8745762712</v>
      </c>
      <c r="AA85" s="10">
        <f t="shared" si="41"/>
        <v>0.53871186440678</v>
      </c>
      <c r="AB85" s="10">
        <f t="shared" si="38"/>
        <v>0.0164894372881356</v>
      </c>
      <c r="AC85" s="10">
        <f t="shared" si="25"/>
        <v>0.21214507218841</v>
      </c>
      <c r="AD85" s="10">
        <f t="shared" si="39"/>
        <v>0.0134658296486983</v>
      </c>
      <c r="AE85" s="10">
        <f t="shared" si="43"/>
        <v>8.26126815057765</v>
      </c>
      <c r="AF85" s="10">
        <f t="shared" ref="AF85:AF111" si="44">M85/D85</f>
        <v>0.108882064753583</v>
      </c>
      <c r="AG85" s="10">
        <f t="shared" si="19"/>
        <v>0.00207205846716841</v>
      </c>
      <c r="AH85" s="10">
        <f t="shared" si="34"/>
        <v>0.0287977354859328</v>
      </c>
      <c r="AI85" s="10">
        <f t="shared" si="35"/>
        <v>390.625</v>
      </c>
      <c r="AJ85" s="10">
        <f t="shared" si="32"/>
        <v>1.31179563181979</v>
      </c>
      <c r="AK85" s="10">
        <f t="shared" si="36"/>
        <v>24.4041365708522</v>
      </c>
      <c r="AL85" s="10">
        <f t="shared" si="30"/>
        <v>0.357918248513561</v>
      </c>
      <c r="AM85" s="10">
        <f t="shared" si="37"/>
        <v>0.377743282491808</v>
      </c>
      <c r="AN85" s="10">
        <f t="shared" si="40"/>
        <v>2.37008138266633</v>
      </c>
    </row>
    <row r="86" ht="16" spans="1:40">
      <c r="A86" s="14">
        <v>2017</v>
      </c>
      <c r="B86" s="15">
        <v>130000</v>
      </c>
      <c r="C86" s="16" t="s">
        <v>49</v>
      </c>
      <c r="D86" s="24">
        <v>30640.8</v>
      </c>
      <c r="E86" s="25">
        <v>7409</v>
      </c>
      <c r="F86" s="26">
        <v>18.88</v>
      </c>
      <c r="G86" s="27">
        <v>4130</v>
      </c>
      <c r="H86" s="10">
        <v>1268873</v>
      </c>
      <c r="I86" s="30">
        <v>33406.8</v>
      </c>
      <c r="J86" s="31">
        <v>6630.61</v>
      </c>
      <c r="K86" s="24">
        <v>4520311.8</v>
      </c>
      <c r="L86" s="10">
        <v>3795</v>
      </c>
      <c r="M86" s="10">
        <v>3366.1466</v>
      </c>
      <c r="N86" s="10">
        <v>88.92</v>
      </c>
      <c r="O86" s="10">
        <v>1365.2288</v>
      </c>
      <c r="P86" s="19">
        <v>191693</v>
      </c>
      <c r="Q86" s="19">
        <v>228854</v>
      </c>
      <c r="R86" s="38">
        <v>42891.2</v>
      </c>
      <c r="S86" s="20">
        <v>11138.5</v>
      </c>
      <c r="T86" s="39">
        <v>11015.7</v>
      </c>
      <c r="U86" s="22">
        <v>12881</v>
      </c>
      <c r="V86" s="22">
        <v>30548</v>
      </c>
      <c r="W86" s="32">
        <v>41451</v>
      </c>
      <c r="X86" s="10">
        <v>45387</v>
      </c>
      <c r="Y86" s="10">
        <f t="shared" si="42"/>
        <v>1.09027179447012</v>
      </c>
      <c r="Z86" s="10">
        <f t="shared" si="29"/>
        <v>45089.4857605615</v>
      </c>
      <c r="AA86" s="10">
        <f t="shared" si="41"/>
        <v>0.557430152517209</v>
      </c>
      <c r="AB86" s="10">
        <f t="shared" si="38"/>
        <v>0.0171261033877716</v>
      </c>
      <c r="AC86" s="10">
        <f t="shared" si="25"/>
        <v>0.216398070546461</v>
      </c>
      <c r="AD86" s="10">
        <f t="shared" si="39"/>
        <v>0.0147525906634292</v>
      </c>
      <c r="AE86" s="10">
        <f t="shared" si="43"/>
        <v>8.24143968982973</v>
      </c>
      <c r="AF86" s="10">
        <f t="shared" si="44"/>
        <v>0.109858313098875</v>
      </c>
      <c r="AG86" s="10">
        <f t="shared" si="19"/>
        <v>0.00290201300227148</v>
      </c>
      <c r="AH86" s="10">
        <f t="shared" si="34"/>
        <v>0.0445559123782669</v>
      </c>
      <c r="AI86" s="10">
        <f t="shared" si="35"/>
        <v>392.425847457627</v>
      </c>
      <c r="AJ86" s="10">
        <f t="shared" si="32"/>
        <v>1.3998067935563</v>
      </c>
      <c r="AK86" s="10">
        <f t="shared" si="36"/>
        <v>24.5044899376053</v>
      </c>
      <c r="AL86" s="10">
        <f t="shared" si="30"/>
        <v>0.363518576538472</v>
      </c>
      <c r="AM86" s="10">
        <f t="shared" si="37"/>
        <v>0.359510848280724</v>
      </c>
      <c r="AN86" s="10">
        <f t="shared" si="40"/>
        <v>2.37155500349352</v>
      </c>
    </row>
    <row r="87" ht="16" spans="1:40">
      <c r="A87" s="14">
        <v>2018</v>
      </c>
      <c r="B87" s="15">
        <v>130000</v>
      </c>
      <c r="C87" s="16" t="s">
        <v>49</v>
      </c>
      <c r="D87" s="24">
        <v>32494.6</v>
      </c>
      <c r="E87" s="25">
        <v>7426</v>
      </c>
      <c r="F87" s="26">
        <v>18.88</v>
      </c>
      <c r="G87" s="27">
        <v>4257</v>
      </c>
      <c r="H87" s="10">
        <v>1342631</v>
      </c>
      <c r="I87" s="30">
        <v>35411.208</v>
      </c>
      <c r="J87" s="31">
        <v>7715.81</v>
      </c>
      <c r="K87" s="24">
        <v>4997415.2</v>
      </c>
      <c r="L87" s="10">
        <v>3739</v>
      </c>
      <c r="M87" s="10">
        <v>3566.8364</v>
      </c>
      <c r="N87" s="10">
        <v>275.98</v>
      </c>
      <c r="O87" s="10">
        <v>3170.2459</v>
      </c>
      <c r="P87" s="19">
        <v>193252</v>
      </c>
      <c r="Q87" s="19">
        <v>249323</v>
      </c>
      <c r="R87" s="38">
        <v>47744.1</v>
      </c>
      <c r="S87" s="20">
        <v>11973.9</v>
      </c>
      <c r="T87" s="39">
        <v>10930.3</v>
      </c>
      <c r="U87" s="22">
        <v>14031</v>
      </c>
      <c r="V87" s="22">
        <v>32977</v>
      </c>
      <c r="W87" s="32">
        <v>43808</v>
      </c>
      <c r="X87" s="10">
        <v>47772.2207</v>
      </c>
      <c r="Y87" s="10">
        <f t="shared" si="42"/>
        <v>1.08975669803598</v>
      </c>
      <c r="Z87" s="10">
        <f t="shared" si="29"/>
        <v>47685.4403447347</v>
      </c>
      <c r="AA87" s="10">
        <f t="shared" si="41"/>
        <v>0.573256127120926</v>
      </c>
      <c r="AB87" s="10">
        <f t="shared" si="38"/>
        <v>0.0180801373552384</v>
      </c>
      <c r="AC87" s="10">
        <f t="shared" si="25"/>
        <v>0.237448991524746</v>
      </c>
      <c r="AD87" s="10">
        <f t="shared" si="39"/>
        <v>0.0153792174699796</v>
      </c>
      <c r="AE87" s="10">
        <f t="shared" si="43"/>
        <v>8.22657347497711</v>
      </c>
      <c r="AF87" s="10">
        <f t="shared" si="44"/>
        <v>0.109767050525318</v>
      </c>
      <c r="AG87" s="10">
        <f t="shared" si="19"/>
        <v>0.00849310346949955</v>
      </c>
      <c r="AH87" s="10">
        <f t="shared" si="34"/>
        <v>0.0975622380333963</v>
      </c>
      <c r="AI87" s="10">
        <f t="shared" si="35"/>
        <v>393.326271186441</v>
      </c>
      <c r="AJ87" s="10">
        <f t="shared" si="32"/>
        <v>1.46929335951204</v>
      </c>
      <c r="AK87" s="10">
        <f t="shared" si="36"/>
        <v>24.598254839264</v>
      </c>
      <c r="AL87" s="10">
        <f t="shared" si="30"/>
        <v>0.368488918158709</v>
      </c>
      <c r="AM87" s="10">
        <f t="shared" si="37"/>
        <v>0.336372812713497</v>
      </c>
      <c r="AN87" s="10">
        <f t="shared" si="40"/>
        <v>2.35029577364407</v>
      </c>
    </row>
    <row r="88" ht="16" spans="1:40">
      <c r="A88" s="14">
        <v>2019</v>
      </c>
      <c r="B88" s="15">
        <v>130000</v>
      </c>
      <c r="C88" s="16" t="s">
        <v>49</v>
      </c>
      <c r="D88" s="24">
        <v>34978.6</v>
      </c>
      <c r="E88" s="25">
        <v>7447</v>
      </c>
      <c r="F88" s="26">
        <v>18.88</v>
      </c>
      <c r="G88" s="27">
        <v>4377</v>
      </c>
      <c r="H88" s="10">
        <v>1473971</v>
      </c>
      <c r="I88" s="30">
        <v>37712.93652</v>
      </c>
      <c r="J88" s="31">
        <v>8252.57</v>
      </c>
      <c r="K88" s="24">
        <v>5667279.2</v>
      </c>
      <c r="L88" s="10">
        <v>3702</v>
      </c>
      <c r="M88" s="10">
        <v>4004.1158</v>
      </c>
      <c r="N88" s="10">
        <v>381.19</v>
      </c>
      <c r="O88" s="10">
        <v>5299.3219</v>
      </c>
      <c r="P88" s="19">
        <v>196983</v>
      </c>
      <c r="Q88" s="19">
        <v>242445</v>
      </c>
      <c r="R88" s="38">
        <v>53788.52</v>
      </c>
      <c r="S88" s="20">
        <v>12985.5</v>
      </c>
      <c r="T88" s="39">
        <v>11310.4</v>
      </c>
      <c r="U88" s="22">
        <v>15373</v>
      </c>
      <c r="V88" s="22">
        <v>35738</v>
      </c>
      <c r="W88" s="32">
        <v>47036.31</v>
      </c>
      <c r="X88" s="10">
        <v>46347.89</v>
      </c>
      <c r="Y88" s="10">
        <f t="shared" si="42"/>
        <v>1.07817169698044</v>
      </c>
      <c r="Z88" s="10">
        <f t="shared" si="29"/>
        <v>50641.783966698</v>
      </c>
      <c r="AA88" s="10">
        <f t="shared" si="41"/>
        <v>0.587753457768229</v>
      </c>
      <c r="AB88" s="10">
        <f t="shared" si="38"/>
        <v>0.0197928158990197</v>
      </c>
      <c r="AC88" s="10">
        <f t="shared" si="25"/>
        <v>0.235931969832984</v>
      </c>
      <c r="AD88" s="10">
        <f t="shared" si="39"/>
        <v>0.0162021327325851</v>
      </c>
      <c r="AE88" s="10">
        <f t="shared" si="43"/>
        <v>8.21662849313344</v>
      </c>
      <c r="AF88" s="10">
        <f t="shared" si="44"/>
        <v>0.114473300818215</v>
      </c>
      <c r="AG88" s="10">
        <f t="shared" si="19"/>
        <v>0.0108978060871504</v>
      </c>
      <c r="AH88" s="10">
        <f t="shared" si="34"/>
        <v>0.151501829690153</v>
      </c>
      <c r="AI88" s="10">
        <f t="shared" si="35"/>
        <v>394.438559322034</v>
      </c>
      <c r="AJ88" s="10">
        <f t="shared" si="32"/>
        <v>1.5377550845374</v>
      </c>
      <c r="AK88" s="10">
        <f t="shared" si="36"/>
        <v>24.5894028690923</v>
      </c>
      <c r="AL88" s="10">
        <f t="shared" si="30"/>
        <v>0.371241273235635</v>
      </c>
      <c r="AM88" s="10">
        <f t="shared" si="37"/>
        <v>0.323351992361044</v>
      </c>
      <c r="AN88" s="10">
        <f t="shared" si="40"/>
        <v>2.32472516750146</v>
      </c>
    </row>
    <row r="89" ht="16" spans="1:40">
      <c r="A89" s="14">
        <v>2020</v>
      </c>
      <c r="B89" s="15">
        <v>130000</v>
      </c>
      <c r="C89" s="16" t="s">
        <v>49</v>
      </c>
      <c r="D89" s="24">
        <v>36013.8</v>
      </c>
      <c r="E89" s="25">
        <v>7464</v>
      </c>
      <c r="F89" s="26">
        <v>18.88</v>
      </c>
      <c r="G89" s="27">
        <v>4484</v>
      </c>
      <c r="H89" s="10">
        <v>572152</v>
      </c>
      <c r="I89" s="30">
        <v>38919.75048864</v>
      </c>
      <c r="J89" s="31">
        <v>8959.45</v>
      </c>
      <c r="K89" s="24">
        <v>6343723.67</v>
      </c>
      <c r="L89" s="10">
        <v>3671</v>
      </c>
      <c r="M89" s="10">
        <v>4446.8983</v>
      </c>
      <c r="N89" s="10">
        <v>554.96</v>
      </c>
      <c r="O89" s="10">
        <v>6825.4102</v>
      </c>
      <c r="P89" s="19">
        <v>204737</v>
      </c>
      <c r="Q89" s="19">
        <v>247323</v>
      </c>
      <c r="R89" s="38">
        <v>60993.22</v>
      </c>
      <c r="S89" s="20">
        <v>12705</v>
      </c>
      <c r="T89" s="39">
        <v>11664.1</v>
      </c>
      <c r="U89" s="22">
        <v>16467</v>
      </c>
      <c r="V89" s="22">
        <v>37286</v>
      </c>
      <c r="W89" s="32">
        <v>48302</v>
      </c>
      <c r="X89" s="10">
        <v>48564</v>
      </c>
      <c r="Y89" s="10">
        <f t="shared" si="42"/>
        <v>1.08068991577229</v>
      </c>
      <c r="Z89" s="10">
        <f t="shared" si="29"/>
        <v>52143.2884360129</v>
      </c>
      <c r="AA89" s="10">
        <f t="shared" si="41"/>
        <v>0.60075026795284</v>
      </c>
      <c r="AB89" s="10">
        <f t="shared" si="38"/>
        <v>0.00766548767416935</v>
      </c>
      <c r="AC89" s="10">
        <f t="shared" si="25"/>
        <v>0.248778246116766</v>
      </c>
      <c r="AD89" s="10">
        <f t="shared" si="39"/>
        <v>0.0176147023363266</v>
      </c>
      <c r="AE89" s="10">
        <f t="shared" si="43"/>
        <v>8.20821938349683</v>
      </c>
      <c r="AF89" s="10">
        <f t="shared" si="44"/>
        <v>0.12347761969023</v>
      </c>
      <c r="AG89" s="10">
        <f t="shared" si="19"/>
        <v>0.0154096485236215</v>
      </c>
      <c r="AH89" s="10">
        <f t="shared" si="34"/>
        <v>0.189522077648013</v>
      </c>
      <c r="AI89" s="10">
        <f t="shared" si="35"/>
        <v>395.338983050848</v>
      </c>
      <c r="AJ89" s="10">
        <f t="shared" ref="AJ89:AJ124" si="45">R89/D89</f>
        <v>1.69360689513464</v>
      </c>
      <c r="AK89" s="10">
        <f t="shared" si="36"/>
        <v>24.647931961269</v>
      </c>
      <c r="AL89" s="10">
        <f t="shared" si="30"/>
        <v>0.352781433783716</v>
      </c>
      <c r="AM89" s="10">
        <f t="shared" si="37"/>
        <v>0.323878624305127</v>
      </c>
      <c r="AN89" s="10">
        <f t="shared" si="40"/>
        <v>2.26428614805368</v>
      </c>
    </row>
    <row r="90" ht="16" spans="1:40">
      <c r="A90" s="14">
        <v>2021</v>
      </c>
      <c r="B90" s="15">
        <v>130000</v>
      </c>
      <c r="C90" s="16" t="s">
        <v>49</v>
      </c>
      <c r="D90" s="24">
        <v>40397.1</v>
      </c>
      <c r="E90" s="25">
        <v>7448</v>
      </c>
      <c r="F90" s="26">
        <v>18.88</v>
      </c>
      <c r="G90" s="27">
        <v>4554</v>
      </c>
      <c r="H90" s="10">
        <v>1704330</v>
      </c>
      <c r="I90" s="30">
        <v>40087.3430032992</v>
      </c>
      <c r="J90" s="31">
        <v>8779.88</v>
      </c>
      <c r="K90" s="24">
        <v>7454936.4</v>
      </c>
      <c r="L90" s="10">
        <v>3643</v>
      </c>
      <c r="M90" s="10">
        <v>5409.5827</v>
      </c>
      <c r="N90" s="10">
        <v>747.318</v>
      </c>
      <c r="O90" s="10">
        <v>1284.73</v>
      </c>
      <c r="P90" s="19">
        <v>207170</v>
      </c>
      <c r="Q90" s="19">
        <v>261208</v>
      </c>
      <c r="R90" s="38">
        <v>67962.76</v>
      </c>
      <c r="S90" s="20">
        <v>13509.9</v>
      </c>
      <c r="T90" s="39">
        <v>14132.3</v>
      </c>
      <c r="U90" s="22">
        <v>18179</v>
      </c>
      <c r="V90" s="22">
        <v>39791</v>
      </c>
      <c r="W90" s="32">
        <v>54181</v>
      </c>
      <c r="X90" s="10">
        <v>54172</v>
      </c>
      <c r="Y90" s="10">
        <f t="shared" si="42"/>
        <v>0.992332197194828</v>
      </c>
      <c r="Z90" s="10">
        <f t="shared" ref="Z90:Z126" si="46">(I90/E90)*10000</f>
        <v>53822.9632160301</v>
      </c>
      <c r="AA90" s="10">
        <f t="shared" si="41"/>
        <v>0.611439312567132</v>
      </c>
      <c r="AB90" s="10">
        <f t="shared" si="38"/>
        <v>0.0228830558539205</v>
      </c>
      <c r="AC90" s="10">
        <f t="shared" si="25"/>
        <v>0.21733936346916</v>
      </c>
      <c r="AD90" s="10">
        <f t="shared" si="39"/>
        <v>0.0184541375494776</v>
      </c>
      <c r="AE90" s="10">
        <f t="shared" si="43"/>
        <v>8.20056279700856</v>
      </c>
      <c r="AF90" s="10">
        <f t="shared" si="44"/>
        <v>0.133910174245181</v>
      </c>
      <c r="AG90" s="10">
        <f t="shared" si="19"/>
        <v>0.0184992982169512</v>
      </c>
      <c r="AH90" s="10">
        <f t="shared" si="34"/>
        <v>0.031802530379656</v>
      </c>
      <c r="AI90" s="10">
        <f t="shared" si="35"/>
        <v>394.491525423729</v>
      </c>
      <c r="AJ90" s="10">
        <f t="shared" si="45"/>
        <v>1.68236729864272</v>
      </c>
      <c r="AK90" s="10">
        <f t="shared" si="36"/>
        <v>24.7143672950267</v>
      </c>
      <c r="AL90" s="10">
        <f t="shared" ref="AL90:AL137" si="47">S90/D90</f>
        <v>0.334427471278879</v>
      </c>
      <c r="AM90" s="10">
        <f t="shared" si="37"/>
        <v>0.349834517824299</v>
      </c>
      <c r="AN90" s="10">
        <f t="shared" si="40"/>
        <v>2.18884427086198</v>
      </c>
    </row>
    <row r="91" ht="16" spans="1:40">
      <c r="A91" s="14">
        <v>2022</v>
      </c>
      <c r="B91" s="15">
        <v>130000</v>
      </c>
      <c r="C91" s="16" t="s">
        <v>49</v>
      </c>
      <c r="D91" s="24">
        <v>41988</v>
      </c>
      <c r="E91" s="25">
        <v>7420</v>
      </c>
      <c r="F91" s="26">
        <v>18.88</v>
      </c>
      <c r="G91" s="27">
        <v>4575</v>
      </c>
      <c r="H91" s="10">
        <v>1773693</v>
      </c>
      <c r="I91" s="30">
        <v>43254.2431005598</v>
      </c>
      <c r="J91" s="31">
        <v>9233.83</v>
      </c>
      <c r="K91" s="24">
        <v>8489080.1</v>
      </c>
      <c r="L91" s="10">
        <v>3580</v>
      </c>
      <c r="M91" s="10">
        <v>5541.6338</v>
      </c>
      <c r="N91" s="10">
        <v>1003.83</v>
      </c>
      <c r="O91" s="10">
        <v>1287.4087</v>
      </c>
      <c r="P91" s="35">
        <v>209209</v>
      </c>
      <c r="Q91" s="35">
        <v>232136</v>
      </c>
      <c r="R91" s="38">
        <v>76291.66</v>
      </c>
      <c r="S91" s="20">
        <v>13720.1</v>
      </c>
      <c r="T91" s="39">
        <v>13864.3</v>
      </c>
      <c r="U91" s="22">
        <v>19364</v>
      </c>
      <c r="V91" s="22">
        <v>41278</v>
      </c>
      <c r="W91" s="32">
        <v>56481</v>
      </c>
      <c r="X91" s="10">
        <v>56995</v>
      </c>
      <c r="Y91" s="10">
        <f t="shared" si="42"/>
        <v>1.03015726161188</v>
      </c>
      <c r="Z91" s="10">
        <f t="shared" si="46"/>
        <v>58294.1281678704</v>
      </c>
      <c r="AA91" s="10">
        <f t="shared" si="41"/>
        <v>0.616576819407008</v>
      </c>
      <c r="AB91" s="10">
        <f t="shared" si="38"/>
        <v>0.023904218328841</v>
      </c>
      <c r="AC91" s="10">
        <f t="shared" si="25"/>
        <v>0.219915928360484</v>
      </c>
      <c r="AD91" s="10">
        <f t="shared" si="39"/>
        <v>0.0202178720110508</v>
      </c>
      <c r="AE91" s="10">
        <f t="shared" si="43"/>
        <v>8.18311807939475</v>
      </c>
      <c r="AF91" s="10">
        <f t="shared" si="44"/>
        <v>0.131981370867867</v>
      </c>
      <c r="AG91" s="10">
        <f t="shared" si="19"/>
        <v>0.0239075450128608</v>
      </c>
      <c r="AH91" s="10">
        <f t="shared" si="34"/>
        <v>0.0306613484805182</v>
      </c>
      <c r="AI91" s="10">
        <f t="shared" si="35"/>
        <v>393.008474576271</v>
      </c>
      <c r="AJ91" s="10">
        <f t="shared" si="45"/>
        <v>1.81698723444794</v>
      </c>
      <c r="AK91" s="10">
        <f t="shared" si="36"/>
        <v>24.6061677170729</v>
      </c>
      <c r="AL91" s="10">
        <f t="shared" si="47"/>
        <v>0.326762408307135</v>
      </c>
      <c r="AM91" s="10">
        <f t="shared" si="37"/>
        <v>0.330196722873202</v>
      </c>
      <c r="AN91" s="10">
        <f t="shared" si="40"/>
        <v>2.13168766783722</v>
      </c>
    </row>
    <row r="92" ht="16" spans="1:40">
      <c r="A92" s="14">
        <v>2013</v>
      </c>
      <c r="B92" s="15">
        <v>410000</v>
      </c>
      <c r="C92" s="16" t="s">
        <v>50</v>
      </c>
      <c r="D92" s="24">
        <v>31632.5</v>
      </c>
      <c r="E92" s="25">
        <v>9573</v>
      </c>
      <c r="F92" s="26">
        <v>16.7</v>
      </c>
      <c r="G92" s="27">
        <v>4174</v>
      </c>
      <c r="H92" s="10">
        <v>1618320</v>
      </c>
      <c r="I92" s="30">
        <v>26087.5</v>
      </c>
      <c r="J92" s="31">
        <v>5580.82</v>
      </c>
      <c r="K92" s="24">
        <v>3553485.9</v>
      </c>
      <c r="L92" s="10">
        <v>5094</v>
      </c>
      <c r="M92" s="10">
        <v>3713.2487</v>
      </c>
      <c r="N92" s="10">
        <v>40.24</v>
      </c>
      <c r="O92" s="10">
        <v>837.8322</v>
      </c>
      <c r="P92" s="19">
        <v>249831</v>
      </c>
      <c r="Q92" s="19">
        <v>184823</v>
      </c>
      <c r="R92" s="38">
        <v>23511.41</v>
      </c>
      <c r="S92" s="20">
        <v>12426.6</v>
      </c>
      <c r="T92" s="39">
        <v>13441.5</v>
      </c>
      <c r="U92" s="22">
        <v>8969</v>
      </c>
      <c r="V92" s="22">
        <v>21741</v>
      </c>
      <c r="W92" s="32">
        <v>33114</v>
      </c>
      <c r="X92" s="10">
        <v>34211.4883</v>
      </c>
      <c r="Y92" s="10">
        <f t="shared" si="42"/>
        <v>0.82470560341421</v>
      </c>
      <c r="Z92" s="10">
        <f t="shared" si="46"/>
        <v>27251.1229499634</v>
      </c>
      <c r="AA92" s="10">
        <f t="shared" si="41"/>
        <v>0.436017967199415</v>
      </c>
      <c r="AB92" s="10">
        <f t="shared" si="38"/>
        <v>0.0169050454403008</v>
      </c>
      <c r="AC92" s="10">
        <f t="shared" ref="AC92:AC123" si="48">J92/D92</f>
        <v>0.176426776258595</v>
      </c>
      <c r="AD92" s="10">
        <f t="shared" si="39"/>
        <v>0.0112336549434917</v>
      </c>
      <c r="AE92" s="10">
        <f t="shared" si="43"/>
        <v>8.5358186555394</v>
      </c>
      <c r="AF92" s="10">
        <f t="shared" si="44"/>
        <v>0.117387139808741</v>
      </c>
      <c r="AG92" s="10">
        <f t="shared" si="19"/>
        <v>0.00127210938117443</v>
      </c>
      <c r="AH92" s="10">
        <f t="shared" si="34"/>
        <v>0.0264864364182407</v>
      </c>
      <c r="AI92" s="10">
        <f t="shared" si="35"/>
        <v>573.233532934132</v>
      </c>
      <c r="AJ92" s="10">
        <f t="shared" si="45"/>
        <v>0.743267525488027</v>
      </c>
      <c r="AK92" s="10">
        <f t="shared" ref="AK92:AK123" si="49">LN(P92)+LN(Q92)</f>
        <v>24.5556938575732</v>
      </c>
      <c r="AL92" s="10">
        <f t="shared" si="47"/>
        <v>0.392842804078084</v>
      </c>
      <c r="AM92" s="10">
        <f t="shared" si="37"/>
        <v>0.424926894807556</v>
      </c>
      <c r="AN92" s="10">
        <f t="shared" si="40"/>
        <v>2.42401605530159</v>
      </c>
    </row>
    <row r="93" ht="16" spans="1:40">
      <c r="A93" s="14">
        <v>2014</v>
      </c>
      <c r="B93" s="15">
        <v>410000</v>
      </c>
      <c r="C93" s="16" t="s">
        <v>50</v>
      </c>
      <c r="D93" s="24">
        <v>34574.8</v>
      </c>
      <c r="E93" s="25">
        <v>9645</v>
      </c>
      <c r="F93" s="26">
        <v>16.7</v>
      </c>
      <c r="G93" s="27">
        <v>4345</v>
      </c>
      <c r="H93" s="10">
        <v>1679744</v>
      </c>
      <c r="I93" s="30">
        <v>30782.17</v>
      </c>
      <c r="J93" s="31">
        <v>6026.1</v>
      </c>
      <c r="K93" s="24">
        <v>4000098.7</v>
      </c>
      <c r="L93" s="10">
        <v>5082</v>
      </c>
      <c r="M93" s="10">
        <v>3991.1129</v>
      </c>
      <c r="N93" s="10">
        <v>40.79</v>
      </c>
      <c r="O93" s="10">
        <v>1011.0558</v>
      </c>
      <c r="P93" s="19">
        <v>249857</v>
      </c>
      <c r="Q93" s="19">
        <v>200801</v>
      </c>
      <c r="R93" s="38">
        <v>27228.27</v>
      </c>
      <c r="S93" s="20">
        <v>14005</v>
      </c>
      <c r="T93" s="39">
        <v>14229.3</v>
      </c>
      <c r="U93" s="22">
        <v>9966</v>
      </c>
      <c r="V93" s="22">
        <v>23672</v>
      </c>
      <c r="W93" s="32">
        <v>35982</v>
      </c>
      <c r="X93" s="10">
        <v>37071.7173</v>
      </c>
      <c r="Y93" s="10">
        <f t="shared" si="42"/>
        <v>0.890306523826602</v>
      </c>
      <c r="Z93" s="10">
        <f t="shared" si="46"/>
        <v>31915.1581130119</v>
      </c>
      <c r="AA93" s="10">
        <f t="shared" si="41"/>
        <v>0.450492483151892</v>
      </c>
      <c r="AB93" s="10">
        <f t="shared" si="38"/>
        <v>0.0174156972524624</v>
      </c>
      <c r="AC93" s="10">
        <f t="shared" si="48"/>
        <v>0.17429168064602</v>
      </c>
      <c r="AD93" s="10">
        <f t="shared" si="39"/>
        <v>0.0115694051737103</v>
      </c>
      <c r="AE93" s="10">
        <f t="shared" si="43"/>
        <v>8.53346016388011</v>
      </c>
      <c r="AF93" s="10">
        <f t="shared" si="44"/>
        <v>0.115434157247475</v>
      </c>
      <c r="AG93" s="10">
        <f t="shared" si="19"/>
        <v>0.00117976098198688</v>
      </c>
      <c r="AH93" s="10">
        <f t="shared" si="34"/>
        <v>0.0292425639483092</v>
      </c>
      <c r="AI93" s="10">
        <f t="shared" si="35"/>
        <v>577.544910179641</v>
      </c>
      <c r="AJ93" s="10">
        <f t="shared" si="45"/>
        <v>0.787517787521547</v>
      </c>
      <c r="AK93" s="10">
        <f t="shared" si="49"/>
        <v>24.638713680057</v>
      </c>
      <c r="AL93" s="10">
        <f t="shared" si="47"/>
        <v>0.405063803695177</v>
      </c>
      <c r="AM93" s="10">
        <f t="shared" si="37"/>
        <v>0.411551187570138</v>
      </c>
      <c r="AN93" s="10">
        <f t="shared" si="40"/>
        <v>2.37527593818985</v>
      </c>
    </row>
    <row r="94" ht="16" spans="1:40">
      <c r="A94" s="14">
        <v>2015</v>
      </c>
      <c r="B94" s="15">
        <v>410000</v>
      </c>
      <c r="C94" s="16" t="s">
        <v>50</v>
      </c>
      <c r="D94" s="24">
        <v>37084.1</v>
      </c>
      <c r="E94" s="25">
        <v>9701</v>
      </c>
      <c r="F94" s="26">
        <v>16.7</v>
      </c>
      <c r="G94" s="27">
        <v>4561</v>
      </c>
      <c r="H94" s="10">
        <v>1766869</v>
      </c>
      <c r="I94" s="30">
        <v>35660.35</v>
      </c>
      <c r="J94" s="31">
        <v>6795.42</v>
      </c>
      <c r="K94" s="24">
        <v>4350429.7</v>
      </c>
      <c r="L94" s="10">
        <v>5075</v>
      </c>
      <c r="M94" s="10">
        <v>4595.3485</v>
      </c>
      <c r="N94" s="10">
        <v>45.04</v>
      </c>
      <c r="O94" s="10">
        <v>1328.1456</v>
      </c>
      <c r="P94" s="19">
        <v>250584</v>
      </c>
      <c r="Q94" s="19">
        <v>192859</v>
      </c>
      <c r="R94" s="38">
        <v>31432.62</v>
      </c>
      <c r="S94" s="20">
        <v>15475.8</v>
      </c>
      <c r="T94" s="39">
        <v>14797.6</v>
      </c>
      <c r="U94" s="22">
        <v>10853</v>
      </c>
      <c r="V94" s="22">
        <v>25576</v>
      </c>
      <c r="W94" s="32">
        <v>38338</v>
      </c>
      <c r="X94" s="10">
        <v>39122.61</v>
      </c>
      <c r="Y94" s="10">
        <f t="shared" si="42"/>
        <v>0.961607535304888</v>
      </c>
      <c r="Z94" s="10">
        <f t="shared" si="46"/>
        <v>36759.4577878569</v>
      </c>
      <c r="AA94" s="10">
        <f t="shared" si="41"/>
        <v>0.470157715699412</v>
      </c>
      <c r="AB94" s="10">
        <f t="shared" si="38"/>
        <v>0.0182132666735388</v>
      </c>
      <c r="AC94" s="10">
        <f t="shared" si="48"/>
        <v>0.183243492494088</v>
      </c>
      <c r="AD94" s="10">
        <f t="shared" si="39"/>
        <v>0.0117312532864489</v>
      </c>
      <c r="AE94" s="10">
        <f t="shared" si="43"/>
        <v>8.53208180390999</v>
      </c>
      <c r="AF94" s="10">
        <f t="shared" si="44"/>
        <v>0.123916948233879</v>
      </c>
      <c r="AG94" s="10">
        <f t="shared" ref="AG94:AG157" si="50">N94/D94</f>
        <v>0.00121453668823027</v>
      </c>
      <c r="AH94" s="10">
        <f t="shared" si="34"/>
        <v>0.0358144218142007</v>
      </c>
      <c r="AI94" s="10">
        <f t="shared" si="35"/>
        <v>580.898203592814</v>
      </c>
      <c r="AJ94" s="10">
        <f t="shared" si="45"/>
        <v>0.847603689991128</v>
      </c>
      <c r="AK94" s="10">
        <f t="shared" si="49"/>
        <v>24.6012641035806</v>
      </c>
      <c r="AL94" s="10">
        <f t="shared" si="47"/>
        <v>0.417316316157059</v>
      </c>
      <c r="AM94" s="10">
        <f t="shared" si="37"/>
        <v>0.399028154923539</v>
      </c>
      <c r="AN94" s="10">
        <f t="shared" si="40"/>
        <v>2.35658343315212</v>
      </c>
    </row>
    <row r="95" ht="16" spans="1:40">
      <c r="A95" s="14">
        <v>2016</v>
      </c>
      <c r="B95" s="15">
        <v>410000</v>
      </c>
      <c r="C95" s="16" t="s">
        <v>50</v>
      </c>
      <c r="D95" s="24">
        <v>40249.3</v>
      </c>
      <c r="E95" s="25">
        <v>9778</v>
      </c>
      <c r="F95" s="26">
        <v>16.7</v>
      </c>
      <c r="G95" s="27">
        <v>4770</v>
      </c>
      <c r="H95" s="10">
        <v>1874752</v>
      </c>
      <c r="I95" s="30">
        <v>40415.09</v>
      </c>
      <c r="J95" s="31">
        <v>7448.79</v>
      </c>
      <c r="K95" s="24">
        <v>4941879.7</v>
      </c>
      <c r="L95" s="10">
        <v>5052</v>
      </c>
      <c r="M95" s="10">
        <v>4730.1877</v>
      </c>
      <c r="N95" s="10">
        <v>58.71</v>
      </c>
      <c r="O95" s="10">
        <v>990.8932</v>
      </c>
      <c r="P95" s="19">
        <v>267441</v>
      </c>
      <c r="Q95" s="19">
        <v>206087</v>
      </c>
      <c r="R95" s="38">
        <v>36501.17</v>
      </c>
      <c r="S95" s="20">
        <v>17274.5</v>
      </c>
      <c r="T95" s="39">
        <v>15536.8</v>
      </c>
      <c r="U95" s="22">
        <v>11697</v>
      </c>
      <c r="V95" s="22">
        <v>27233</v>
      </c>
      <c r="W95" s="32">
        <v>41326</v>
      </c>
      <c r="X95" s="10">
        <v>42575</v>
      </c>
      <c r="Y95" s="10">
        <f t="shared" si="42"/>
        <v>1.00411907784732</v>
      </c>
      <c r="Z95" s="10">
        <f t="shared" si="46"/>
        <v>41332.675393741</v>
      </c>
      <c r="AA95" s="10">
        <f t="shared" si="41"/>
        <v>0.487829822049499</v>
      </c>
      <c r="AB95" s="10">
        <f t="shared" si="38"/>
        <v>0.0191731642462671</v>
      </c>
      <c r="AC95" s="10">
        <f t="shared" si="48"/>
        <v>0.18506632413483</v>
      </c>
      <c r="AD95" s="10">
        <f t="shared" si="39"/>
        <v>0.012278175521065</v>
      </c>
      <c r="AE95" s="10">
        <f t="shared" si="43"/>
        <v>8.52753948347038</v>
      </c>
      <c r="AF95" s="10">
        <f t="shared" si="44"/>
        <v>0.117522235169307</v>
      </c>
      <c r="AG95" s="10">
        <f t="shared" si="50"/>
        <v>0.00145865890835369</v>
      </c>
      <c r="AH95" s="10">
        <f t="shared" si="34"/>
        <v>0.0246188927509298</v>
      </c>
      <c r="AI95" s="10">
        <f t="shared" si="35"/>
        <v>585.508982035928</v>
      </c>
      <c r="AJ95" s="10">
        <f t="shared" si="45"/>
        <v>0.906877138235944</v>
      </c>
      <c r="AK95" s="10">
        <f t="shared" si="49"/>
        <v>24.732707948956</v>
      </c>
      <c r="AL95" s="10">
        <f t="shared" si="47"/>
        <v>0.429187588355574</v>
      </c>
      <c r="AM95" s="10">
        <f t="shared" si="37"/>
        <v>0.386014166706005</v>
      </c>
      <c r="AN95" s="10">
        <f t="shared" si="40"/>
        <v>2.32820381294349</v>
      </c>
    </row>
    <row r="96" ht="16" spans="1:40">
      <c r="A96" s="14">
        <v>2017</v>
      </c>
      <c r="B96" s="15">
        <v>410000</v>
      </c>
      <c r="C96" s="16" t="s">
        <v>50</v>
      </c>
      <c r="D96" s="24">
        <v>44824.9</v>
      </c>
      <c r="E96" s="25">
        <v>9829</v>
      </c>
      <c r="F96" s="26">
        <v>16.7</v>
      </c>
      <c r="G96" s="27">
        <v>4970</v>
      </c>
      <c r="H96" s="10">
        <v>2004662</v>
      </c>
      <c r="I96" s="30">
        <v>44496.93</v>
      </c>
      <c r="J96" s="31">
        <v>8211.25</v>
      </c>
      <c r="K96" s="24">
        <v>5820538.1</v>
      </c>
      <c r="L96" s="10">
        <v>5029</v>
      </c>
      <c r="M96" s="10">
        <v>5241.4284</v>
      </c>
      <c r="N96" s="10">
        <v>76.85</v>
      </c>
      <c r="O96" s="10">
        <v>1817.3285</v>
      </c>
      <c r="P96" s="19">
        <v>267805</v>
      </c>
      <c r="Q96" s="19">
        <v>230114</v>
      </c>
      <c r="R96" s="38">
        <v>41743.31</v>
      </c>
      <c r="S96" s="20">
        <v>19289.1</v>
      </c>
      <c r="T96" s="39">
        <v>16741.4</v>
      </c>
      <c r="U96" s="22">
        <v>12719</v>
      </c>
      <c r="V96" s="22">
        <v>29558</v>
      </c>
      <c r="W96" s="32">
        <v>45723</v>
      </c>
      <c r="X96" s="10">
        <v>46674</v>
      </c>
      <c r="Y96" s="10">
        <f t="shared" si="42"/>
        <v>0.992683307715131</v>
      </c>
      <c r="Z96" s="10">
        <f t="shared" si="46"/>
        <v>45271.0652151796</v>
      </c>
      <c r="AA96" s="10">
        <f t="shared" si="41"/>
        <v>0.505646556109472</v>
      </c>
      <c r="AB96" s="10">
        <f t="shared" si="38"/>
        <v>0.0203953810153627</v>
      </c>
      <c r="AC96" s="10">
        <f t="shared" si="48"/>
        <v>0.183185015471312</v>
      </c>
      <c r="AD96" s="10">
        <f t="shared" si="39"/>
        <v>0.0129850554044739</v>
      </c>
      <c r="AE96" s="10">
        <f t="shared" si="43"/>
        <v>8.52297643617197</v>
      </c>
      <c r="AF96" s="10">
        <f t="shared" si="44"/>
        <v>0.116931178876026</v>
      </c>
      <c r="AG96" s="10">
        <f t="shared" si="50"/>
        <v>0.0017144488888988</v>
      </c>
      <c r="AH96" s="10">
        <f t="shared" si="34"/>
        <v>0.0405428344513875</v>
      </c>
      <c r="AI96" s="10">
        <f t="shared" si="35"/>
        <v>588.562874251497</v>
      </c>
      <c r="AJ96" s="10">
        <f t="shared" si="45"/>
        <v>0.931252718912925</v>
      </c>
      <c r="AK96" s="10">
        <f t="shared" si="49"/>
        <v>24.8443444999989</v>
      </c>
      <c r="AL96" s="10">
        <f t="shared" si="47"/>
        <v>0.430321093856316</v>
      </c>
      <c r="AM96" s="10">
        <f t="shared" si="37"/>
        <v>0.373484380333252</v>
      </c>
      <c r="AN96" s="10">
        <f t="shared" si="40"/>
        <v>2.32392483685824</v>
      </c>
    </row>
    <row r="97" ht="16" spans="1:40">
      <c r="A97" s="14">
        <v>2018</v>
      </c>
      <c r="B97" s="15">
        <v>410000</v>
      </c>
      <c r="C97" s="16" t="s">
        <v>50</v>
      </c>
      <c r="D97" s="24">
        <v>49935.9</v>
      </c>
      <c r="E97" s="25">
        <v>9864</v>
      </c>
      <c r="F97" s="26">
        <v>16.7</v>
      </c>
      <c r="G97" s="27">
        <v>5153</v>
      </c>
      <c r="H97" s="10">
        <v>2140780</v>
      </c>
      <c r="I97" s="30">
        <v>48101.18133</v>
      </c>
      <c r="J97" s="31">
        <v>9212.07</v>
      </c>
      <c r="K97" s="24">
        <v>6715193.1</v>
      </c>
      <c r="L97" s="10">
        <v>4992</v>
      </c>
      <c r="M97" s="10">
        <v>5480.1094</v>
      </c>
      <c r="N97" s="10">
        <v>149.28</v>
      </c>
      <c r="O97" s="10">
        <v>4387.0243</v>
      </c>
      <c r="P97" s="19">
        <v>268589</v>
      </c>
      <c r="Q97" s="19">
        <v>259884</v>
      </c>
      <c r="R97" s="38">
        <v>47834.76</v>
      </c>
      <c r="S97" s="20">
        <v>21268</v>
      </c>
      <c r="T97" s="39">
        <v>17323.4</v>
      </c>
      <c r="U97" s="22">
        <v>13831</v>
      </c>
      <c r="V97" s="22">
        <v>31874</v>
      </c>
      <c r="W97" s="32">
        <v>50714</v>
      </c>
      <c r="X97" s="10">
        <v>50152.2229</v>
      </c>
      <c r="Y97" s="10">
        <f t="shared" si="42"/>
        <v>0.963258524027804</v>
      </c>
      <c r="Z97" s="10">
        <f t="shared" si="46"/>
        <v>48764.3768552311</v>
      </c>
      <c r="AA97" s="10">
        <f t="shared" si="41"/>
        <v>0.522404703974047</v>
      </c>
      <c r="AB97" s="10">
        <f t="shared" si="38"/>
        <v>0.0217029602595296</v>
      </c>
      <c r="AC97" s="10">
        <f t="shared" si="48"/>
        <v>0.184477900668657</v>
      </c>
      <c r="AD97" s="10">
        <f t="shared" si="39"/>
        <v>0.0134476260566046</v>
      </c>
      <c r="AE97" s="10">
        <f t="shared" si="43"/>
        <v>8.51559191004926</v>
      </c>
      <c r="AF97" s="10">
        <f t="shared" si="44"/>
        <v>0.10974287837007</v>
      </c>
      <c r="AG97" s="10">
        <f t="shared" si="50"/>
        <v>0.00298943245240398</v>
      </c>
      <c r="AH97" s="10">
        <f t="shared" si="34"/>
        <v>0.0878531136917528</v>
      </c>
      <c r="AI97" s="10">
        <f t="shared" si="35"/>
        <v>590.658682634731</v>
      </c>
      <c r="AJ97" s="10">
        <f t="shared" si="45"/>
        <v>0.957923257616264</v>
      </c>
      <c r="AK97" s="10">
        <f t="shared" si="49"/>
        <v>24.9689282657378</v>
      </c>
      <c r="AL97" s="10">
        <f t="shared" si="47"/>
        <v>0.425906011506752</v>
      </c>
      <c r="AM97" s="10">
        <f t="shared" ref="AM97:AM128" si="51">T97/D97</f>
        <v>0.346912742135418</v>
      </c>
      <c r="AN97" s="10">
        <f t="shared" si="40"/>
        <v>2.30453329477261</v>
      </c>
    </row>
    <row r="98" ht="16" spans="1:40">
      <c r="A98" s="14">
        <v>2019</v>
      </c>
      <c r="B98" s="15">
        <v>410000</v>
      </c>
      <c r="C98" s="16" t="s">
        <v>50</v>
      </c>
      <c r="D98" s="24">
        <v>53717.8</v>
      </c>
      <c r="E98" s="25">
        <v>9901</v>
      </c>
      <c r="F98" s="26">
        <v>16.7</v>
      </c>
      <c r="G98" s="27">
        <v>5348</v>
      </c>
      <c r="H98" s="10">
        <v>2319653</v>
      </c>
      <c r="I98" s="30">
        <v>51949.2758364</v>
      </c>
      <c r="J98" s="31">
        <v>10125.1</v>
      </c>
      <c r="K98" s="24">
        <v>7930368.8</v>
      </c>
      <c r="L98" s="10">
        <v>4934</v>
      </c>
      <c r="M98" s="10">
        <v>5691.1903</v>
      </c>
      <c r="N98" s="10">
        <v>231.89</v>
      </c>
      <c r="O98" s="10">
        <v>6589.5735</v>
      </c>
      <c r="P98" s="19">
        <v>269832</v>
      </c>
      <c r="Q98" s="19">
        <v>219024</v>
      </c>
      <c r="R98" s="38">
        <v>55659</v>
      </c>
      <c r="S98" s="20">
        <v>23476.1</v>
      </c>
      <c r="T98" s="39">
        <v>17938.2</v>
      </c>
      <c r="U98" s="22">
        <v>15164</v>
      </c>
      <c r="V98" s="22">
        <v>34201</v>
      </c>
      <c r="W98" s="32">
        <v>54356</v>
      </c>
      <c r="X98" s="10">
        <v>56387.84</v>
      </c>
      <c r="Y98" s="10">
        <f t="shared" si="42"/>
        <v>0.967077501990029</v>
      </c>
      <c r="Z98" s="10">
        <f t="shared" si="46"/>
        <v>52468.7161260479</v>
      </c>
      <c r="AA98" s="10">
        <f t="shared" si="41"/>
        <v>0.54014745985254</v>
      </c>
      <c r="AB98" s="10">
        <f t="shared" si="38"/>
        <v>0.0234284718715281</v>
      </c>
      <c r="AC98" s="10">
        <f t="shared" si="48"/>
        <v>0.188486870273913</v>
      </c>
      <c r="AD98" s="10">
        <f t="shared" si="39"/>
        <v>0.0147630185897412</v>
      </c>
      <c r="AE98" s="10">
        <f t="shared" si="43"/>
        <v>8.5039052970893</v>
      </c>
      <c r="AF98" s="10">
        <f t="shared" si="44"/>
        <v>0.105946079325661</v>
      </c>
      <c r="AG98" s="10">
        <f t="shared" si="50"/>
        <v>0.0043168186336745</v>
      </c>
      <c r="AH98" s="10">
        <f t="shared" si="34"/>
        <v>0.122670204289826</v>
      </c>
      <c r="AI98" s="10">
        <f t="shared" si="35"/>
        <v>592.874251497006</v>
      </c>
      <c r="AJ98" s="10">
        <f t="shared" si="45"/>
        <v>1.03613699741985</v>
      </c>
      <c r="AK98" s="10">
        <f t="shared" si="49"/>
        <v>24.802491413933</v>
      </c>
      <c r="AL98" s="10">
        <f t="shared" si="47"/>
        <v>0.43702646050285</v>
      </c>
      <c r="AM98" s="10">
        <f t="shared" si="51"/>
        <v>0.333934003254042</v>
      </c>
      <c r="AN98" s="10">
        <f t="shared" si="40"/>
        <v>2.25540754418359</v>
      </c>
    </row>
    <row r="99" ht="16" spans="1:40">
      <c r="A99" s="14">
        <v>2020</v>
      </c>
      <c r="B99" s="15">
        <v>410000</v>
      </c>
      <c r="C99" s="16" t="s">
        <v>50</v>
      </c>
      <c r="D99" s="24">
        <v>54259.4</v>
      </c>
      <c r="E99" s="25">
        <v>9941</v>
      </c>
      <c r="F99" s="26">
        <v>16.7</v>
      </c>
      <c r="G99" s="27">
        <v>5510</v>
      </c>
      <c r="H99" s="10">
        <v>2291483</v>
      </c>
      <c r="I99" s="30">
        <v>54183.0946973652</v>
      </c>
      <c r="J99" s="31">
        <v>10324.92</v>
      </c>
      <c r="K99" s="24">
        <v>9012741.83</v>
      </c>
      <c r="L99" s="10">
        <v>4884</v>
      </c>
      <c r="M99" s="10">
        <v>6709.0685</v>
      </c>
      <c r="N99" s="10">
        <v>379.78</v>
      </c>
      <c r="O99" s="10">
        <v>8986.4256</v>
      </c>
      <c r="P99" s="19">
        <v>270271</v>
      </c>
      <c r="Q99" s="19">
        <v>219939</v>
      </c>
      <c r="R99" s="38">
        <v>62866.68</v>
      </c>
      <c r="S99" s="20">
        <v>22502.8</v>
      </c>
      <c r="T99" s="39">
        <v>17147.2</v>
      </c>
      <c r="U99" s="22">
        <v>16108</v>
      </c>
      <c r="V99" s="22">
        <v>34750</v>
      </c>
      <c r="W99" s="32">
        <v>54691</v>
      </c>
      <c r="X99" s="10">
        <v>55435.01</v>
      </c>
      <c r="Y99" s="10">
        <f t="shared" si="42"/>
        <v>0.998593694315919</v>
      </c>
      <c r="Z99" s="10">
        <f t="shared" si="46"/>
        <v>54504.6722637212</v>
      </c>
      <c r="AA99" s="10">
        <f t="shared" si="41"/>
        <v>0.554270194145458</v>
      </c>
      <c r="AB99" s="10">
        <f t="shared" ref="AB99:AB129" si="52">H99/(E99*10000)</f>
        <v>0.0230508298963887</v>
      </c>
      <c r="AC99" s="10">
        <f t="shared" si="48"/>
        <v>0.190288134406204</v>
      </c>
      <c r="AD99" s="10">
        <f t="shared" si="39"/>
        <v>0.0166104708677206</v>
      </c>
      <c r="AE99" s="10">
        <f t="shared" si="43"/>
        <v>8.4937198352306</v>
      </c>
      <c r="AF99" s="10">
        <f t="shared" si="44"/>
        <v>0.123648040708154</v>
      </c>
      <c r="AG99" s="10">
        <f t="shared" si="50"/>
        <v>0.00699934020648957</v>
      </c>
      <c r="AH99" s="10">
        <f t="shared" si="34"/>
        <v>0.165619700918182</v>
      </c>
      <c r="AI99" s="10">
        <f t="shared" si="35"/>
        <v>595.269461077844</v>
      </c>
      <c r="AJ99" s="10">
        <f t="shared" si="45"/>
        <v>1.15863205269502</v>
      </c>
      <c r="AK99" s="10">
        <f t="shared" si="49"/>
        <v>24.8082859524705</v>
      </c>
      <c r="AL99" s="10">
        <f t="shared" si="47"/>
        <v>0.414726296273088</v>
      </c>
      <c r="AM99" s="10">
        <f t="shared" si="51"/>
        <v>0.316022661511185</v>
      </c>
      <c r="AN99" s="10">
        <f t="shared" si="40"/>
        <v>2.15731313632977</v>
      </c>
    </row>
    <row r="100" ht="16" spans="1:40">
      <c r="A100" s="14">
        <v>2021</v>
      </c>
      <c r="B100" s="15">
        <v>410000</v>
      </c>
      <c r="C100" s="16" t="s">
        <v>50</v>
      </c>
      <c r="D100" s="24">
        <v>58071.4</v>
      </c>
      <c r="E100" s="25">
        <v>9883</v>
      </c>
      <c r="F100" s="26">
        <v>16.7</v>
      </c>
      <c r="G100" s="27">
        <v>5579</v>
      </c>
      <c r="H100" s="10">
        <v>2686440</v>
      </c>
      <c r="I100" s="30">
        <v>56621.3339587466</v>
      </c>
      <c r="J100" s="31">
        <v>9666.18</v>
      </c>
      <c r="K100" s="24">
        <v>10188408.25</v>
      </c>
      <c r="L100" s="10">
        <v>4840</v>
      </c>
      <c r="M100" s="10">
        <v>8194.0501</v>
      </c>
      <c r="N100" s="10">
        <v>607.326</v>
      </c>
      <c r="O100" s="10">
        <v>1539.95</v>
      </c>
      <c r="P100" s="19">
        <v>271570</v>
      </c>
      <c r="Q100" s="19">
        <v>255551</v>
      </c>
      <c r="R100" s="38">
        <v>69444.62</v>
      </c>
      <c r="S100" s="20">
        <v>24381.7</v>
      </c>
      <c r="T100" s="39">
        <v>18113.7</v>
      </c>
      <c r="U100" s="22">
        <v>17533</v>
      </c>
      <c r="V100" s="22">
        <v>37095</v>
      </c>
      <c r="W100" s="32">
        <v>58587</v>
      </c>
      <c r="X100" s="10">
        <v>59410</v>
      </c>
      <c r="Y100" s="10">
        <f t="shared" si="42"/>
        <v>0.975029600780188</v>
      </c>
      <c r="Z100" s="10">
        <f t="shared" si="46"/>
        <v>57291.6462195149</v>
      </c>
      <c r="AA100" s="10">
        <f t="shared" si="41"/>
        <v>0.564504705049074</v>
      </c>
      <c r="AB100" s="10">
        <f t="shared" si="52"/>
        <v>0.0271824344834564</v>
      </c>
      <c r="AC100" s="10">
        <f t="shared" si="48"/>
        <v>0.166453366028716</v>
      </c>
      <c r="AD100" s="10">
        <f t="shared" si="39"/>
        <v>0.0175446230846854</v>
      </c>
      <c r="AE100" s="10">
        <f t="shared" si="43"/>
        <v>8.48466999971068</v>
      </c>
      <c r="AF100" s="10">
        <f t="shared" si="44"/>
        <v>0.141103023174919</v>
      </c>
      <c r="AG100" s="10">
        <f t="shared" si="50"/>
        <v>0.0104582634481001</v>
      </c>
      <c r="AH100" s="10">
        <f t="shared" si="34"/>
        <v>0.0265182172291352</v>
      </c>
      <c r="AI100" s="10">
        <f t="shared" si="35"/>
        <v>591.796407185629</v>
      </c>
      <c r="AJ100" s="10">
        <f t="shared" si="45"/>
        <v>1.19584890324669</v>
      </c>
      <c r="AK100" s="10">
        <f t="shared" si="49"/>
        <v>24.9631524893295</v>
      </c>
      <c r="AL100" s="10">
        <f t="shared" si="47"/>
        <v>0.419857279142573</v>
      </c>
      <c r="AM100" s="10">
        <f t="shared" si="51"/>
        <v>0.311921186677091</v>
      </c>
      <c r="AN100" s="10">
        <f t="shared" si="40"/>
        <v>2.11572463354817</v>
      </c>
    </row>
    <row r="101" ht="16" spans="1:40">
      <c r="A101" s="14">
        <v>2022</v>
      </c>
      <c r="B101" s="15">
        <v>410000</v>
      </c>
      <c r="C101" s="16" t="s">
        <v>50</v>
      </c>
      <c r="D101" s="24">
        <v>58220.1</v>
      </c>
      <c r="E101" s="25">
        <v>9872</v>
      </c>
      <c r="F101" s="26">
        <v>16.7</v>
      </c>
      <c r="G101" s="27">
        <v>5633</v>
      </c>
      <c r="H101" s="10">
        <v>2823270</v>
      </c>
      <c r="I101" s="30">
        <v>60414.9633339827</v>
      </c>
      <c r="J101" s="31">
        <v>10469.37</v>
      </c>
      <c r="K101" s="24">
        <v>11432586.34</v>
      </c>
      <c r="L101" s="10">
        <v>4782</v>
      </c>
      <c r="M101" s="10">
        <v>8549.5457</v>
      </c>
      <c r="N101" s="10">
        <v>1020.75</v>
      </c>
      <c r="O101" s="10">
        <v>1582.6464</v>
      </c>
      <c r="P101" s="35">
        <v>277482</v>
      </c>
      <c r="Q101" s="35">
        <v>259983</v>
      </c>
      <c r="R101" s="38">
        <v>75528.53</v>
      </c>
      <c r="S101" s="20">
        <v>24407.4</v>
      </c>
      <c r="T101" s="39">
        <v>17134.2</v>
      </c>
      <c r="U101" s="22">
        <v>18697</v>
      </c>
      <c r="V101" s="22">
        <v>38484</v>
      </c>
      <c r="W101" s="32">
        <v>58942</v>
      </c>
      <c r="X101" s="10">
        <v>62106</v>
      </c>
      <c r="Y101" s="10">
        <f t="shared" ref="Y101:Y132" si="53">I101/D101</f>
        <v>1.03769940852013</v>
      </c>
      <c r="Z101" s="10">
        <f t="shared" si="46"/>
        <v>61198.3015943909</v>
      </c>
      <c r="AA101" s="10">
        <f t="shared" ref="AA101:AA128" si="54">G101/E101</f>
        <v>0.570603727714749</v>
      </c>
      <c r="AB101" s="10">
        <f t="shared" si="52"/>
        <v>0.0285987641815235</v>
      </c>
      <c r="AC101" s="10">
        <f t="shared" si="48"/>
        <v>0.179823978316767</v>
      </c>
      <c r="AD101" s="10">
        <f t="shared" si="39"/>
        <v>0.0196368373465521</v>
      </c>
      <c r="AE101" s="10">
        <f t="shared" si="43"/>
        <v>8.47261414801827</v>
      </c>
      <c r="AF101" s="10">
        <f t="shared" si="44"/>
        <v>0.14684869486655</v>
      </c>
      <c r="AG101" s="10">
        <f t="shared" si="50"/>
        <v>0.0175326047189888</v>
      </c>
      <c r="AH101" s="10">
        <f t="shared" si="34"/>
        <v>0.0271838488769343</v>
      </c>
      <c r="AI101" s="10">
        <f t="shared" si="35"/>
        <v>591.137724550898</v>
      </c>
      <c r="AJ101" s="10">
        <f t="shared" si="45"/>
        <v>1.29729303110094</v>
      </c>
      <c r="AK101" s="10">
        <f t="shared" si="49"/>
        <v>25.0018828684446</v>
      </c>
      <c r="AL101" s="10">
        <f t="shared" si="47"/>
        <v>0.419226349662745</v>
      </c>
      <c r="AM101" s="10">
        <f t="shared" si="51"/>
        <v>0.2943004220192</v>
      </c>
      <c r="AN101" s="10">
        <f t="shared" si="40"/>
        <v>2.05829812269348</v>
      </c>
    </row>
    <row r="102" ht="16" spans="1:40">
      <c r="A102" s="14">
        <v>2013</v>
      </c>
      <c r="B102" s="15">
        <v>230000</v>
      </c>
      <c r="C102" s="16" t="s">
        <v>51</v>
      </c>
      <c r="D102" s="24">
        <v>11849.1</v>
      </c>
      <c r="E102" s="25">
        <v>3666</v>
      </c>
      <c r="F102" s="26">
        <v>47.07</v>
      </c>
      <c r="G102" s="27">
        <v>2128</v>
      </c>
      <c r="H102" s="10">
        <v>717856</v>
      </c>
      <c r="I102" s="30">
        <v>11453.1</v>
      </c>
      <c r="J102" s="31">
        <v>3366.79</v>
      </c>
      <c r="K102" s="24">
        <v>1154167.2</v>
      </c>
      <c r="L102" s="10">
        <v>1997</v>
      </c>
      <c r="M102" s="10">
        <v>2407.8601</v>
      </c>
      <c r="N102" s="10">
        <v>101.77</v>
      </c>
      <c r="O102" s="10">
        <v>377.3411</v>
      </c>
      <c r="P102" s="19">
        <v>160206</v>
      </c>
      <c r="Q102" s="19">
        <v>61094</v>
      </c>
      <c r="R102" s="38">
        <v>11359.43</v>
      </c>
      <c r="S102" s="20">
        <v>6251.2</v>
      </c>
      <c r="T102" s="39">
        <v>4857.5</v>
      </c>
      <c r="U102" s="22">
        <v>9369</v>
      </c>
      <c r="V102" s="22">
        <v>20848</v>
      </c>
      <c r="W102" s="32">
        <v>32068.04</v>
      </c>
      <c r="X102" s="10">
        <v>37696.9665</v>
      </c>
      <c r="Y102" s="10">
        <f t="shared" si="53"/>
        <v>0.966579740233435</v>
      </c>
      <c r="Z102" s="10">
        <f t="shared" si="46"/>
        <v>31241.4075286416</v>
      </c>
      <c r="AA102" s="10">
        <f t="shared" si="54"/>
        <v>0.580469176213857</v>
      </c>
      <c r="AB102" s="10">
        <f t="shared" si="52"/>
        <v>0.0195814511729405</v>
      </c>
      <c r="AC102" s="10">
        <f t="shared" si="48"/>
        <v>0.284138879746141</v>
      </c>
      <c r="AD102" s="10">
        <f t="shared" si="39"/>
        <v>0.00974054738334557</v>
      </c>
      <c r="AE102" s="10">
        <f t="shared" si="43"/>
        <v>7.59940133341582</v>
      </c>
      <c r="AF102" s="10">
        <f t="shared" si="44"/>
        <v>0.203210378847339</v>
      </c>
      <c r="AG102" s="10">
        <f t="shared" si="50"/>
        <v>0.00858883797081635</v>
      </c>
      <c r="AH102" s="10">
        <f t="shared" si="34"/>
        <v>0.0318455494510132</v>
      </c>
      <c r="AI102" s="10">
        <f t="shared" si="35"/>
        <v>77.8840025493945</v>
      </c>
      <c r="AJ102" s="10">
        <f t="shared" si="45"/>
        <v>0.958674498485117</v>
      </c>
      <c r="AK102" s="10">
        <f t="shared" si="49"/>
        <v>23.0043847067637</v>
      </c>
      <c r="AL102" s="10">
        <f t="shared" si="47"/>
        <v>0.527567494577647</v>
      </c>
      <c r="AM102" s="10">
        <f t="shared" si="51"/>
        <v>0.409946747010321</v>
      </c>
      <c r="AN102" s="10">
        <f t="shared" si="40"/>
        <v>2.22521080157968</v>
      </c>
    </row>
    <row r="103" ht="16" spans="1:40">
      <c r="A103" s="14">
        <v>2014</v>
      </c>
      <c r="B103" s="15">
        <v>230000</v>
      </c>
      <c r="C103" s="16" t="s">
        <v>51</v>
      </c>
      <c r="D103" s="24">
        <v>12170.8</v>
      </c>
      <c r="E103" s="25">
        <v>3608</v>
      </c>
      <c r="F103" s="26">
        <v>47.07</v>
      </c>
      <c r="G103" s="27">
        <v>2137</v>
      </c>
      <c r="H103" s="10">
        <v>730614</v>
      </c>
      <c r="I103" s="30">
        <v>9828.99</v>
      </c>
      <c r="J103" s="31">
        <v>3431.49</v>
      </c>
      <c r="K103" s="24">
        <v>1385589.7</v>
      </c>
      <c r="L103" s="10">
        <v>1946</v>
      </c>
      <c r="M103" s="10">
        <v>2389.6061</v>
      </c>
      <c r="N103" s="10">
        <v>120.28</v>
      </c>
      <c r="O103" s="10">
        <v>430.4718</v>
      </c>
      <c r="P103" s="19">
        <v>162464</v>
      </c>
      <c r="Q103" s="19">
        <v>60212.7</v>
      </c>
      <c r="R103" s="38">
        <v>13391.7</v>
      </c>
      <c r="S103" s="20">
        <v>7015.3</v>
      </c>
      <c r="T103" s="39">
        <v>4527.9</v>
      </c>
      <c r="U103" s="22">
        <v>10453</v>
      </c>
      <c r="V103" s="22">
        <v>22609</v>
      </c>
      <c r="W103" s="32">
        <v>33463.76</v>
      </c>
      <c r="X103" s="10">
        <v>39226.3339</v>
      </c>
      <c r="Y103" s="10">
        <f t="shared" si="53"/>
        <v>0.807587833174483</v>
      </c>
      <c r="Z103" s="10">
        <f t="shared" si="46"/>
        <v>27242.211751663</v>
      </c>
      <c r="AA103" s="10">
        <f t="shared" si="54"/>
        <v>0.592294900221729</v>
      </c>
      <c r="AB103" s="10">
        <f t="shared" si="52"/>
        <v>0.0202498337028825</v>
      </c>
      <c r="AC103" s="10">
        <f t="shared" si="48"/>
        <v>0.281944490091038</v>
      </c>
      <c r="AD103" s="10">
        <f t="shared" si="39"/>
        <v>0.0113845408683078</v>
      </c>
      <c r="AE103" s="10">
        <f t="shared" si="43"/>
        <v>7.57353126274595</v>
      </c>
      <c r="AF103" s="10">
        <f t="shared" si="44"/>
        <v>0.196339279258553</v>
      </c>
      <c r="AG103" s="10">
        <f t="shared" si="50"/>
        <v>0.0098826699970421</v>
      </c>
      <c r="AH103" s="10">
        <f t="shared" si="34"/>
        <v>0.0353692279882999</v>
      </c>
      <c r="AI103" s="10">
        <f t="shared" si="35"/>
        <v>76.6517951986403</v>
      </c>
      <c r="AJ103" s="10">
        <f t="shared" si="45"/>
        <v>1.1003138659743</v>
      </c>
      <c r="AK103" s="10">
        <f t="shared" si="49"/>
        <v>23.0038502902495</v>
      </c>
      <c r="AL103" s="10">
        <f t="shared" si="47"/>
        <v>0.576404180497584</v>
      </c>
      <c r="AM103" s="10">
        <f t="shared" si="51"/>
        <v>0.372029776185625</v>
      </c>
      <c r="AN103" s="10">
        <f t="shared" si="40"/>
        <v>2.16291973596097</v>
      </c>
    </row>
    <row r="104" ht="16" spans="1:40">
      <c r="A104" s="14">
        <v>2015</v>
      </c>
      <c r="B104" s="15">
        <v>230000</v>
      </c>
      <c r="C104" s="16" t="s">
        <v>51</v>
      </c>
      <c r="D104" s="24">
        <v>11690</v>
      </c>
      <c r="E104" s="25">
        <v>3529</v>
      </c>
      <c r="F104" s="26">
        <v>47.07</v>
      </c>
      <c r="G104" s="27">
        <v>2134</v>
      </c>
      <c r="H104" s="10">
        <v>735151</v>
      </c>
      <c r="I104" s="30">
        <v>10182.95</v>
      </c>
      <c r="J104" s="31">
        <v>4016.36</v>
      </c>
      <c r="K104" s="24">
        <v>1576677</v>
      </c>
      <c r="L104" s="10">
        <v>1825</v>
      </c>
      <c r="M104" s="10">
        <v>1308.7135</v>
      </c>
      <c r="N104" s="10">
        <v>127.26</v>
      </c>
      <c r="O104" s="10">
        <v>511.4429</v>
      </c>
      <c r="P104" s="19">
        <v>163233</v>
      </c>
      <c r="Q104" s="19">
        <v>54478</v>
      </c>
      <c r="R104" s="38">
        <v>16214.93</v>
      </c>
      <c r="S104" s="20">
        <v>4471</v>
      </c>
      <c r="T104" s="39">
        <v>3593.9</v>
      </c>
      <c r="U104" s="22">
        <v>11095</v>
      </c>
      <c r="V104" s="22">
        <v>24203</v>
      </c>
      <c r="W104" s="32">
        <v>32758.95</v>
      </c>
      <c r="X104" s="10">
        <v>39461.5644</v>
      </c>
      <c r="Y104" s="10">
        <f t="shared" si="53"/>
        <v>0.871082121471343</v>
      </c>
      <c r="Z104" s="10">
        <f t="shared" si="46"/>
        <v>28855.0580901105</v>
      </c>
      <c r="AA104" s="10">
        <f t="shared" si="54"/>
        <v>0.604703882119581</v>
      </c>
      <c r="AB104" s="10">
        <f t="shared" si="52"/>
        <v>0.0208317086993483</v>
      </c>
      <c r="AC104" s="10">
        <f t="shared" si="48"/>
        <v>0.343572284003422</v>
      </c>
      <c r="AD104" s="10">
        <f t="shared" si="39"/>
        <v>0.0134873994867408</v>
      </c>
      <c r="AE104" s="10">
        <f t="shared" si="43"/>
        <v>7.50933526601659</v>
      </c>
      <c r="AF104" s="10">
        <f t="shared" si="44"/>
        <v>0.111951539777588</v>
      </c>
      <c r="AG104" s="10">
        <f t="shared" si="50"/>
        <v>0.0108862275449102</v>
      </c>
      <c r="AH104" s="10">
        <f t="shared" si="34"/>
        <v>0.0437504619332763</v>
      </c>
      <c r="AI104" s="10">
        <f t="shared" si="35"/>
        <v>74.9734438070958</v>
      </c>
      <c r="AJ104" s="10">
        <f t="shared" si="45"/>
        <v>1.38707698887938</v>
      </c>
      <c r="AK104" s="10">
        <f t="shared" si="49"/>
        <v>22.9084861363837</v>
      </c>
      <c r="AL104" s="10">
        <f t="shared" si="47"/>
        <v>0.382463644140291</v>
      </c>
      <c r="AM104" s="10">
        <f t="shared" si="51"/>
        <v>0.30743370402053</v>
      </c>
      <c r="AN104" s="10">
        <f t="shared" si="40"/>
        <v>2.18143307796305</v>
      </c>
    </row>
    <row r="105" ht="16" spans="1:40">
      <c r="A105" s="14">
        <v>2016</v>
      </c>
      <c r="B105" s="15">
        <v>230000</v>
      </c>
      <c r="C105" s="16" t="s">
        <v>51</v>
      </c>
      <c r="D105" s="24">
        <v>11895</v>
      </c>
      <c r="E105" s="25">
        <v>3463</v>
      </c>
      <c r="F105" s="26">
        <v>47.07</v>
      </c>
      <c r="G105" s="27">
        <v>2116</v>
      </c>
      <c r="H105" s="10">
        <v>735857</v>
      </c>
      <c r="I105" s="30">
        <v>10648.35</v>
      </c>
      <c r="J105" s="31">
        <v>4223.54</v>
      </c>
      <c r="K105" s="24">
        <v>1525047.9</v>
      </c>
      <c r="L105" s="10">
        <v>1776</v>
      </c>
      <c r="M105" s="10">
        <v>1098.5818</v>
      </c>
      <c r="N105" s="10">
        <v>125.81</v>
      </c>
      <c r="O105" s="10">
        <v>388.9971</v>
      </c>
      <c r="P105" s="19">
        <v>164502</v>
      </c>
      <c r="Q105" s="19">
        <v>53569.2</v>
      </c>
      <c r="R105" s="38">
        <v>17725.02</v>
      </c>
      <c r="S105" s="20">
        <v>4794.1</v>
      </c>
      <c r="T105" s="39">
        <v>3367.3</v>
      </c>
      <c r="U105" s="22">
        <v>11832</v>
      </c>
      <c r="V105" s="22">
        <v>25736</v>
      </c>
      <c r="W105" s="32">
        <v>34024.63</v>
      </c>
      <c r="X105" s="10">
        <v>40432</v>
      </c>
      <c r="Y105" s="10">
        <f t="shared" si="53"/>
        <v>0.895195460277427</v>
      </c>
      <c r="Z105" s="10">
        <f t="shared" si="46"/>
        <v>30748.917123881</v>
      </c>
      <c r="AA105" s="10">
        <f t="shared" si="54"/>
        <v>0.611030898065261</v>
      </c>
      <c r="AB105" s="10">
        <f t="shared" si="52"/>
        <v>0.0212491192607566</v>
      </c>
      <c r="AC105" s="10">
        <f t="shared" si="48"/>
        <v>0.35506851618327</v>
      </c>
      <c r="AD105" s="10">
        <f t="shared" si="39"/>
        <v>0.0128209155107188</v>
      </c>
      <c r="AE105" s="10">
        <f t="shared" si="43"/>
        <v>7.48211892355212</v>
      </c>
      <c r="AF105" s="10">
        <f t="shared" si="44"/>
        <v>0.0923566036149643</v>
      </c>
      <c r="AG105" s="10">
        <f t="shared" si="50"/>
        <v>0.0105767129045818</v>
      </c>
      <c r="AH105" s="10">
        <f t="shared" si="34"/>
        <v>0.0327025725094578</v>
      </c>
      <c r="AI105" s="10">
        <f t="shared" si="35"/>
        <v>73.5712768217548</v>
      </c>
      <c r="AJ105" s="10">
        <f t="shared" si="45"/>
        <v>1.4901235813367</v>
      </c>
      <c r="AK105" s="10">
        <f t="shared" si="49"/>
        <v>22.8994075622003</v>
      </c>
      <c r="AL105" s="10">
        <f t="shared" si="47"/>
        <v>0.403034888608659</v>
      </c>
      <c r="AM105" s="10">
        <f t="shared" si="51"/>
        <v>0.283085329970576</v>
      </c>
      <c r="AN105" s="10">
        <f t="shared" si="40"/>
        <v>2.17511832319135</v>
      </c>
    </row>
    <row r="106" ht="16" spans="1:40">
      <c r="A106" s="14">
        <v>2017</v>
      </c>
      <c r="B106" s="15">
        <v>230000</v>
      </c>
      <c r="C106" s="16" t="s">
        <v>51</v>
      </c>
      <c r="D106" s="24">
        <v>12313</v>
      </c>
      <c r="E106" s="25">
        <v>3399</v>
      </c>
      <c r="F106" s="26">
        <v>47.07</v>
      </c>
      <c r="G106" s="27">
        <v>2104</v>
      </c>
      <c r="H106" s="10">
        <v>734166</v>
      </c>
      <c r="I106" s="30">
        <v>11291.98</v>
      </c>
      <c r="J106" s="31">
        <v>4637.58</v>
      </c>
      <c r="K106" s="24">
        <v>1465897.8</v>
      </c>
      <c r="L106" s="10">
        <v>1699</v>
      </c>
      <c r="M106" s="10">
        <v>1279.5468</v>
      </c>
      <c r="N106" s="10">
        <v>146.71</v>
      </c>
      <c r="O106" s="10">
        <v>676.7261</v>
      </c>
      <c r="P106" s="19">
        <v>165989</v>
      </c>
      <c r="Q106" s="19">
        <v>56398.2</v>
      </c>
      <c r="R106" s="38">
        <v>19208.43</v>
      </c>
      <c r="S106" s="20">
        <v>5077.4</v>
      </c>
      <c r="T106" s="39">
        <v>3226.1</v>
      </c>
      <c r="U106" s="22">
        <v>12665</v>
      </c>
      <c r="V106" s="22">
        <v>27446</v>
      </c>
      <c r="W106" s="32">
        <v>35887.47</v>
      </c>
      <c r="X106" s="10">
        <v>41916</v>
      </c>
      <c r="Y106" s="10">
        <f t="shared" si="53"/>
        <v>0.917077885162024</v>
      </c>
      <c r="Z106" s="10">
        <f t="shared" si="46"/>
        <v>33221.476904972</v>
      </c>
      <c r="AA106" s="10">
        <f t="shared" si="54"/>
        <v>0.619005589879376</v>
      </c>
      <c r="AB106" s="10">
        <f t="shared" si="52"/>
        <v>0.0215994704324801</v>
      </c>
      <c r="AC106" s="10">
        <f t="shared" si="48"/>
        <v>0.37664094859092</v>
      </c>
      <c r="AD106" s="10">
        <f t="shared" si="39"/>
        <v>0.0119052854706408</v>
      </c>
      <c r="AE106" s="10">
        <f t="shared" si="43"/>
        <v>7.43779512167193</v>
      </c>
      <c r="AF106" s="10">
        <f t="shared" si="44"/>
        <v>0.103918362706083</v>
      </c>
      <c r="AG106" s="10">
        <f t="shared" si="50"/>
        <v>0.0119150491350605</v>
      </c>
      <c r="AH106" s="10">
        <f t="shared" si="34"/>
        <v>0.0549602939982133</v>
      </c>
      <c r="AI106" s="10">
        <f t="shared" si="35"/>
        <v>72.2115997450606</v>
      </c>
      <c r="AJ106" s="10">
        <f t="shared" si="45"/>
        <v>1.56001218224641</v>
      </c>
      <c r="AK106" s="10">
        <f t="shared" si="49"/>
        <v>22.9598693221661</v>
      </c>
      <c r="AL106" s="10">
        <f t="shared" si="47"/>
        <v>0.412360919353529</v>
      </c>
      <c r="AM106" s="10">
        <f t="shared" si="51"/>
        <v>0.262007634207748</v>
      </c>
      <c r="AN106" s="10">
        <f t="shared" si="40"/>
        <v>2.16707461508093</v>
      </c>
    </row>
    <row r="107" ht="16" spans="1:40">
      <c r="A107" s="14">
        <v>2018</v>
      </c>
      <c r="B107" s="15">
        <v>230000</v>
      </c>
      <c r="C107" s="16" t="s">
        <v>51</v>
      </c>
      <c r="D107" s="24">
        <v>12846.5</v>
      </c>
      <c r="E107" s="25">
        <v>3327</v>
      </c>
      <c r="F107" s="26">
        <v>47.07</v>
      </c>
      <c r="G107" s="27">
        <v>2111</v>
      </c>
      <c r="H107" s="10">
        <v>732082</v>
      </c>
      <c r="I107" s="30">
        <v>10761.25694</v>
      </c>
      <c r="J107" s="31">
        <v>4672.38</v>
      </c>
      <c r="K107" s="24">
        <v>1349873.3</v>
      </c>
      <c r="L107" s="10">
        <v>1635</v>
      </c>
      <c r="M107" s="10">
        <v>1749.4658</v>
      </c>
      <c r="N107" s="10">
        <v>165.92</v>
      </c>
      <c r="O107" s="10">
        <v>1225.2667</v>
      </c>
      <c r="P107" s="19">
        <v>167116</v>
      </c>
      <c r="Q107" s="19">
        <v>55189.8</v>
      </c>
      <c r="R107" s="38">
        <v>20156.28</v>
      </c>
      <c r="S107" s="20">
        <v>5275</v>
      </c>
      <c r="T107" s="39">
        <v>3266.7</v>
      </c>
      <c r="U107" s="22">
        <v>13804</v>
      </c>
      <c r="V107" s="22">
        <v>29191</v>
      </c>
      <c r="W107" s="32">
        <v>38199.46</v>
      </c>
      <c r="X107" s="10">
        <v>43274.4056</v>
      </c>
      <c r="Y107" s="10">
        <f t="shared" si="53"/>
        <v>0.837680063830615</v>
      </c>
      <c r="Z107" s="10">
        <f t="shared" si="46"/>
        <v>32345.2267508266</v>
      </c>
      <c r="AA107" s="10">
        <f t="shared" si="54"/>
        <v>0.634505560565074</v>
      </c>
      <c r="AB107" s="10">
        <f t="shared" si="52"/>
        <v>0.0220042681094079</v>
      </c>
      <c r="AC107" s="10">
        <f t="shared" si="48"/>
        <v>0.363708403066983</v>
      </c>
      <c r="AD107" s="10">
        <f t="shared" si="39"/>
        <v>0.0105077126065465</v>
      </c>
      <c r="AE107" s="10">
        <f t="shared" si="43"/>
        <v>7.39939808333135</v>
      </c>
      <c r="AF107" s="10">
        <f t="shared" si="44"/>
        <v>0.136182290896353</v>
      </c>
      <c r="AG107" s="10">
        <f t="shared" si="50"/>
        <v>0.0129155801190986</v>
      </c>
      <c r="AH107" s="10">
        <f t="shared" si="34"/>
        <v>0.0953774724633168</v>
      </c>
      <c r="AI107" s="10">
        <f t="shared" si="35"/>
        <v>70.6819630337795</v>
      </c>
      <c r="AJ107" s="10">
        <f t="shared" si="45"/>
        <v>1.56900945782898</v>
      </c>
      <c r="AK107" s="10">
        <f t="shared" si="49"/>
        <v>22.944976893629</v>
      </c>
      <c r="AL107" s="10">
        <f t="shared" si="47"/>
        <v>0.410617677966761</v>
      </c>
      <c r="AM107" s="10">
        <f t="shared" si="51"/>
        <v>0.254287159926828</v>
      </c>
      <c r="AN107" s="10">
        <f t="shared" ref="AN107:AN138" si="55">V107/U107</f>
        <v>2.11467690524486</v>
      </c>
    </row>
    <row r="108" ht="16" spans="1:40">
      <c r="A108" s="14">
        <v>2019</v>
      </c>
      <c r="B108" s="15">
        <v>230000</v>
      </c>
      <c r="C108" s="16" t="s">
        <v>51</v>
      </c>
      <c r="D108" s="24">
        <v>13544.4</v>
      </c>
      <c r="E108" s="25">
        <v>3255</v>
      </c>
      <c r="F108" s="26">
        <v>47.07</v>
      </c>
      <c r="G108" s="27">
        <v>2103</v>
      </c>
      <c r="H108" s="10">
        <v>778160</v>
      </c>
      <c r="I108" s="30">
        <v>11439.21612722</v>
      </c>
      <c r="J108" s="31">
        <v>4977.02</v>
      </c>
      <c r="K108" s="24">
        <v>1465527.8</v>
      </c>
      <c r="L108" s="10">
        <v>1551</v>
      </c>
      <c r="M108" s="10">
        <v>1870.0899</v>
      </c>
      <c r="N108" s="10">
        <v>232.88</v>
      </c>
      <c r="O108" s="10">
        <v>1847.1285</v>
      </c>
      <c r="P108" s="19">
        <v>168710</v>
      </c>
      <c r="Q108" s="19">
        <v>50475.2</v>
      </c>
      <c r="R108" s="38">
        <v>21370.04</v>
      </c>
      <c r="S108" s="20">
        <v>5603.9</v>
      </c>
      <c r="T108" s="39">
        <v>3334</v>
      </c>
      <c r="U108" s="22">
        <v>14982</v>
      </c>
      <c r="V108" s="22">
        <v>30945</v>
      </c>
      <c r="W108" s="32">
        <v>41155.97</v>
      </c>
      <c r="X108" s="10">
        <v>36182.77</v>
      </c>
      <c r="Y108" s="10">
        <f t="shared" si="53"/>
        <v>0.844571640472815</v>
      </c>
      <c r="Z108" s="10">
        <f t="shared" si="46"/>
        <v>35143.521128172</v>
      </c>
      <c r="AA108" s="10">
        <f t="shared" si="54"/>
        <v>0.646082949308756</v>
      </c>
      <c r="AB108" s="10">
        <f t="shared" si="52"/>
        <v>0.0239066052227343</v>
      </c>
      <c r="AC108" s="10">
        <f t="shared" si="48"/>
        <v>0.367459614305543</v>
      </c>
      <c r="AD108" s="10">
        <f t="shared" ref="AD108:AD151" si="56">K108/(D108*10000)</f>
        <v>0.0108201751277281</v>
      </c>
      <c r="AE108" s="10">
        <f t="shared" si="43"/>
        <v>7.34665516317654</v>
      </c>
      <c r="AF108" s="10">
        <f t="shared" si="44"/>
        <v>0.138071077345619</v>
      </c>
      <c r="AG108" s="10">
        <f t="shared" si="50"/>
        <v>0.0171938218008919</v>
      </c>
      <c r="AH108" s="10">
        <f t="shared" si="34"/>
        <v>0.136375808452202</v>
      </c>
      <c r="AI108" s="10">
        <f t="shared" si="35"/>
        <v>69.1523263224984</v>
      </c>
      <c r="AJ108" s="10">
        <f t="shared" si="45"/>
        <v>1.57777679336109</v>
      </c>
      <c r="AK108" s="10">
        <f t="shared" si="49"/>
        <v>22.8651739491308</v>
      </c>
      <c r="AL108" s="10">
        <f t="shared" si="47"/>
        <v>0.413742949115502</v>
      </c>
      <c r="AM108" s="10">
        <f t="shared" si="51"/>
        <v>0.246153391807684</v>
      </c>
      <c r="AN108" s="10">
        <f t="shared" si="55"/>
        <v>2.06547857428915</v>
      </c>
    </row>
    <row r="109" ht="16" spans="1:40">
      <c r="A109" s="14">
        <v>2020</v>
      </c>
      <c r="B109" s="15">
        <v>230000</v>
      </c>
      <c r="C109" s="16" t="s">
        <v>51</v>
      </c>
      <c r="D109" s="24">
        <v>13633.4</v>
      </c>
      <c r="E109" s="25">
        <v>3171</v>
      </c>
      <c r="F109" s="26">
        <v>47.07</v>
      </c>
      <c r="G109" s="27">
        <v>2080</v>
      </c>
      <c r="H109" s="10">
        <v>726957</v>
      </c>
      <c r="I109" s="30">
        <v>11851.0279077999</v>
      </c>
      <c r="J109" s="31">
        <v>5408.39</v>
      </c>
      <c r="K109" s="24">
        <v>1731605.2</v>
      </c>
      <c r="L109" s="10">
        <v>1473</v>
      </c>
      <c r="M109" s="10">
        <v>1533.4</v>
      </c>
      <c r="N109" s="10">
        <v>265.2</v>
      </c>
      <c r="O109" s="10">
        <v>2235.8372</v>
      </c>
      <c r="P109" s="19">
        <v>168119</v>
      </c>
      <c r="Q109" s="19">
        <v>48662.4</v>
      </c>
      <c r="R109" s="38">
        <v>22482.34</v>
      </c>
      <c r="S109" s="20">
        <v>5092.3</v>
      </c>
      <c r="T109" s="39">
        <v>3121.8</v>
      </c>
      <c r="U109" s="22">
        <v>16168</v>
      </c>
      <c r="V109" s="22">
        <v>31115</v>
      </c>
      <c r="W109" s="32">
        <v>42432</v>
      </c>
      <c r="X109" s="10">
        <v>42634.61</v>
      </c>
      <c r="Y109" s="10">
        <f t="shared" si="53"/>
        <v>0.869264300013196</v>
      </c>
      <c r="Z109" s="10">
        <f t="shared" si="46"/>
        <v>37373.1564421315</v>
      </c>
      <c r="AA109" s="10">
        <f t="shared" si="54"/>
        <v>0.6559444970041</v>
      </c>
      <c r="AB109" s="10">
        <f t="shared" si="52"/>
        <v>0.0229251655629139</v>
      </c>
      <c r="AC109" s="10">
        <f t="shared" si="48"/>
        <v>0.396701483122332</v>
      </c>
      <c r="AD109" s="10">
        <f t="shared" si="56"/>
        <v>0.0127011985271466</v>
      </c>
      <c r="AE109" s="10">
        <f t="shared" si="43"/>
        <v>7.29505641646263</v>
      </c>
      <c r="AF109" s="10">
        <f t="shared" si="44"/>
        <v>0.112473777634339</v>
      </c>
      <c r="AG109" s="10">
        <f t="shared" si="50"/>
        <v>0.0194522276174689</v>
      </c>
      <c r="AH109" s="10">
        <f t="shared" si="34"/>
        <v>0.163997036689307</v>
      </c>
      <c r="AI109" s="10">
        <f t="shared" si="35"/>
        <v>67.3677501593372</v>
      </c>
      <c r="AJ109" s="10">
        <f t="shared" si="45"/>
        <v>1.64906332976367</v>
      </c>
      <c r="AK109" s="10">
        <f t="shared" si="49"/>
        <v>22.8250892779152</v>
      </c>
      <c r="AL109" s="10">
        <f t="shared" si="47"/>
        <v>0.373516510921707</v>
      </c>
      <c r="AM109" s="10">
        <f t="shared" si="51"/>
        <v>0.228981765370341</v>
      </c>
      <c r="AN109" s="10">
        <f t="shared" si="55"/>
        <v>1.92448045522019</v>
      </c>
    </row>
    <row r="110" ht="16" spans="1:40">
      <c r="A110" s="14">
        <v>2021</v>
      </c>
      <c r="B110" s="15">
        <v>230000</v>
      </c>
      <c r="C110" s="16" t="s">
        <v>51</v>
      </c>
      <c r="D110" s="24">
        <v>14858.2</v>
      </c>
      <c r="E110" s="25">
        <v>3125</v>
      </c>
      <c r="F110" s="26">
        <v>47.07</v>
      </c>
      <c r="G110" s="27">
        <v>2053</v>
      </c>
      <c r="H110" s="10">
        <v>879107</v>
      </c>
      <c r="I110" s="30">
        <v>12609.4936938991</v>
      </c>
      <c r="J110" s="31">
        <v>5060.14</v>
      </c>
      <c r="K110" s="24">
        <v>1945827.3</v>
      </c>
      <c r="L110" s="10">
        <v>1420</v>
      </c>
      <c r="M110" s="10">
        <v>1990.2877</v>
      </c>
      <c r="N110" s="10">
        <v>350.143</v>
      </c>
      <c r="O110" s="10">
        <v>380.21</v>
      </c>
      <c r="P110" s="19">
        <v>168354</v>
      </c>
      <c r="Q110" s="19">
        <v>55116</v>
      </c>
      <c r="R110" s="38">
        <v>24307.77</v>
      </c>
      <c r="S110" s="20">
        <v>5542.9</v>
      </c>
      <c r="T110" s="39">
        <v>3751</v>
      </c>
      <c r="U110" s="22">
        <v>17889</v>
      </c>
      <c r="V110" s="22">
        <v>33646</v>
      </c>
      <c r="W110" s="32">
        <v>47199</v>
      </c>
      <c r="X110" s="10">
        <v>47266</v>
      </c>
      <c r="Y110" s="10">
        <f t="shared" si="53"/>
        <v>0.848655536599258</v>
      </c>
      <c r="Z110" s="10">
        <f t="shared" si="46"/>
        <v>40350.3798204771</v>
      </c>
      <c r="AA110" s="10">
        <f t="shared" si="54"/>
        <v>0.65696</v>
      </c>
      <c r="AB110" s="10">
        <f t="shared" si="52"/>
        <v>0.028131424</v>
      </c>
      <c r="AC110" s="10">
        <f t="shared" si="48"/>
        <v>0.340562113849591</v>
      </c>
      <c r="AD110" s="10">
        <f t="shared" si="56"/>
        <v>0.0130959826896932</v>
      </c>
      <c r="AE110" s="10">
        <f t="shared" si="43"/>
        <v>7.25841215059531</v>
      </c>
      <c r="AF110" s="10">
        <f t="shared" si="44"/>
        <v>0.133952140905359</v>
      </c>
      <c r="AG110" s="10">
        <f t="shared" si="50"/>
        <v>0.0235656405217321</v>
      </c>
      <c r="AH110" s="10">
        <f t="shared" si="34"/>
        <v>0.0255892369196807</v>
      </c>
      <c r="AI110" s="10">
        <f t="shared" si="35"/>
        <v>66.3904822604631</v>
      </c>
      <c r="AJ110" s="10">
        <f t="shared" si="45"/>
        <v>1.63598349732807</v>
      </c>
      <c r="AK110" s="10">
        <f t="shared" si="49"/>
        <v>22.9510195184445</v>
      </c>
      <c r="AL110" s="10">
        <f t="shared" si="47"/>
        <v>0.373053263517788</v>
      </c>
      <c r="AM110" s="10">
        <f t="shared" si="51"/>
        <v>0.252453190830652</v>
      </c>
      <c r="AN110" s="10">
        <f t="shared" si="55"/>
        <v>1.88082061602102</v>
      </c>
    </row>
    <row r="111" ht="16" spans="1:40">
      <c r="A111" s="14">
        <v>2022</v>
      </c>
      <c r="B111" s="15">
        <v>230000</v>
      </c>
      <c r="C111" s="16" t="s">
        <v>51</v>
      </c>
      <c r="D111" s="24">
        <v>15831.5</v>
      </c>
      <c r="E111" s="25">
        <v>3099</v>
      </c>
      <c r="F111" s="26">
        <v>47.07</v>
      </c>
      <c r="G111" s="27">
        <v>2052</v>
      </c>
      <c r="H111" s="10">
        <v>912011</v>
      </c>
      <c r="I111" s="30">
        <v>12685.1506560625</v>
      </c>
      <c r="J111" s="31">
        <v>5401.62</v>
      </c>
      <c r="K111" s="24">
        <v>2177940.8</v>
      </c>
      <c r="L111" s="10">
        <v>1351</v>
      </c>
      <c r="M111" s="10">
        <v>2669.5891</v>
      </c>
      <c r="N111" s="10">
        <v>460.18</v>
      </c>
      <c r="O111" s="10">
        <v>412.2059</v>
      </c>
      <c r="P111" s="35">
        <v>168958</v>
      </c>
      <c r="Q111" s="35">
        <v>52119</v>
      </c>
      <c r="R111" s="38">
        <v>25263.13</v>
      </c>
      <c r="S111" s="20">
        <v>5210</v>
      </c>
      <c r="T111" s="39">
        <v>4198.3</v>
      </c>
      <c r="U111" s="22">
        <v>18577</v>
      </c>
      <c r="V111" s="22">
        <v>35042</v>
      </c>
      <c r="W111" s="32">
        <v>50873</v>
      </c>
      <c r="X111" s="10">
        <v>51096</v>
      </c>
      <c r="Y111" s="10">
        <f t="shared" si="53"/>
        <v>0.801260187351957</v>
      </c>
      <c r="Z111" s="10">
        <f t="shared" si="46"/>
        <v>40933.0450340836</v>
      </c>
      <c r="AA111" s="10">
        <f t="shared" si="54"/>
        <v>0.6621490803485</v>
      </c>
      <c r="AB111" s="10">
        <f t="shared" si="52"/>
        <v>0.0294292029686996</v>
      </c>
      <c r="AC111" s="10">
        <f t="shared" si="48"/>
        <v>0.341194454094685</v>
      </c>
      <c r="AD111" s="10">
        <f t="shared" si="56"/>
        <v>0.0137570084957206</v>
      </c>
      <c r="AE111" s="10">
        <f t="shared" si="43"/>
        <v>7.2086003379602</v>
      </c>
      <c r="AF111" s="10">
        <f t="shared" si="44"/>
        <v>0.168625152386066</v>
      </c>
      <c r="AG111" s="10">
        <f t="shared" si="50"/>
        <v>0.0290673656949752</v>
      </c>
      <c r="AH111" s="10">
        <f t="shared" si="34"/>
        <v>0.0260370716609292</v>
      </c>
      <c r="AI111" s="10">
        <f t="shared" si="35"/>
        <v>65.8381134480561</v>
      </c>
      <c r="AJ111" s="10">
        <f t="shared" si="45"/>
        <v>1.59575087641727</v>
      </c>
      <c r="AK111" s="10">
        <f t="shared" si="49"/>
        <v>22.8986902868708</v>
      </c>
      <c r="AL111" s="10">
        <f t="shared" si="47"/>
        <v>0.329090736822158</v>
      </c>
      <c r="AM111" s="10">
        <f t="shared" si="51"/>
        <v>0.265186495278401</v>
      </c>
      <c r="AN111" s="10">
        <f t="shared" si="55"/>
        <v>1.88631102976799</v>
      </c>
    </row>
    <row r="112" ht="16" spans="1:40">
      <c r="A112" s="14">
        <v>2013</v>
      </c>
      <c r="B112" s="15">
        <v>420000</v>
      </c>
      <c r="C112" s="16" t="s">
        <v>52</v>
      </c>
      <c r="D112" s="24">
        <v>25378</v>
      </c>
      <c r="E112" s="25">
        <v>5798</v>
      </c>
      <c r="F112" s="26">
        <v>18.59</v>
      </c>
      <c r="G112" s="27">
        <v>3160</v>
      </c>
      <c r="H112" s="10">
        <v>1421434</v>
      </c>
      <c r="I112" s="30">
        <v>19307.3</v>
      </c>
      <c r="J112" s="31">
        <v>4367.07</v>
      </c>
      <c r="K112" s="24">
        <v>4462690</v>
      </c>
      <c r="L112" s="10">
        <v>3404</v>
      </c>
      <c r="M112" s="10">
        <v>2253.0909</v>
      </c>
      <c r="N112" s="10">
        <v>397.62</v>
      </c>
      <c r="O112" s="10">
        <v>610.1631</v>
      </c>
      <c r="P112" s="19">
        <v>226912</v>
      </c>
      <c r="Q112" s="19">
        <v>131000</v>
      </c>
      <c r="R112" s="38">
        <v>20796.86</v>
      </c>
      <c r="S112" s="20">
        <v>11035.9</v>
      </c>
      <c r="T112" s="39">
        <v>10227.4</v>
      </c>
      <c r="U112" s="22">
        <v>9692</v>
      </c>
      <c r="V112" s="22">
        <v>22668</v>
      </c>
      <c r="W112" s="32">
        <v>43834.55</v>
      </c>
      <c r="X112" s="10">
        <v>42825.76</v>
      </c>
      <c r="Y112" s="10">
        <f t="shared" si="53"/>
        <v>0.760788872251556</v>
      </c>
      <c r="Z112" s="10">
        <f t="shared" si="46"/>
        <v>33299.9310106933</v>
      </c>
      <c r="AA112" s="10">
        <f t="shared" si="54"/>
        <v>0.545015522593998</v>
      </c>
      <c r="AB112" s="10">
        <f t="shared" si="52"/>
        <v>0.0245159365298379</v>
      </c>
      <c r="AC112" s="10">
        <f t="shared" si="48"/>
        <v>0.172080936243991</v>
      </c>
      <c r="AD112" s="10">
        <f t="shared" si="56"/>
        <v>0.0175848766648278</v>
      </c>
      <c r="AE112" s="10">
        <f t="shared" si="43"/>
        <v>8.13270648969326</v>
      </c>
      <c r="AF112" s="10">
        <f t="shared" ref="AF112:AF136" si="57">M112/D112</f>
        <v>0.0887812632989203</v>
      </c>
      <c r="AG112" s="10">
        <f t="shared" si="50"/>
        <v>0.0156679013318622</v>
      </c>
      <c r="AH112" s="10">
        <f t="shared" si="34"/>
        <v>0.0240429939317519</v>
      </c>
      <c r="AI112" s="10">
        <f t="shared" si="35"/>
        <v>311.888111888112</v>
      </c>
      <c r="AJ112" s="10">
        <f t="shared" si="45"/>
        <v>0.81948380487036</v>
      </c>
      <c r="AK112" s="10">
        <f t="shared" si="49"/>
        <v>24.115270158287</v>
      </c>
      <c r="AL112" s="10">
        <f t="shared" si="47"/>
        <v>0.434860903144456</v>
      </c>
      <c r="AM112" s="10">
        <f t="shared" si="51"/>
        <v>0.403002600677752</v>
      </c>
      <c r="AN112" s="10">
        <f t="shared" si="55"/>
        <v>2.33883615352868</v>
      </c>
    </row>
    <row r="113" ht="16" spans="1:40">
      <c r="A113" s="14">
        <v>2014</v>
      </c>
      <c r="B113" s="15">
        <v>420000</v>
      </c>
      <c r="C113" s="16" t="s">
        <v>52</v>
      </c>
      <c r="D113" s="24">
        <v>28242.1</v>
      </c>
      <c r="E113" s="25">
        <v>5816</v>
      </c>
      <c r="F113" s="26">
        <v>18.59</v>
      </c>
      <c r="G113" s="27">
        <v>3241</v>
      </c>
      <c r="H113" s="10">
        <v>1419699</v>
      </c>
      <c r="I113" s="30">
        <v>22915.3</v>
      </c>
      <c r="J113" s="31">
        <v>4928.97</v>
      </c>
      <c r="K113" s="24">
        <v>5108973</v>
      </c>
      <c r="L113" s="10">
        <v>3408</v>
      </c>
      <c r="M113" s="10">
        <v>2643.8377</v>
      </c>
      <c r="N113" s="10">
        <v>580.68</v>
      </c>
      <c r="O113" s="10">
        <v>719.0901</v>
      </c>
      <c r="P113" s="19">
        <v>236933</v>
      </c>
      <c r="Q113" s="19">
        <v>150762</v>
      </c>
      <c r="R113" s="38">
        <v>24239.96</v>
      </c>
      <c r="S113" s="20">
        <v>12449.3</v>
      </c>
      <c r="T113" s="39">
        <v>11174.2</v>
      </c>
      <c r="U113" s="22">
        <v>10849</v>
      </c>
      <c r="V113" s="22">
        <v>24852</v>
      </c>
      <c r="W113" s="32">
        <v>48634.63</v>
      </c>
      <c r="X113" s="10">
        <v>47144.6</v>
      </c>
      <c r="Y113" s="10">
        <f t="shared" si="53"/>
        <v>0.811387963359665</v>
      </c>
      <c r="Z113" s="10">
        <f t="shared" si="46"/>
        <v>39400.447042641</v>
      </c>
      <c r="AA113" s="10">
        <f t="shared" si="54"/>
        <v>0.557255845942228</v>
      </c>
      <c r="AB113" s="10">
        <f t="shared" si="52"/>
        <v>0.0244102303988996</v>
      </c>
      <c r="AC113" s="10">
        <f t="shared" si="48"/>
        <v>0.174525619553787</v>
      </c>
      <c r="AD113" s="10">
        <f t="shared" si="56"/>
        <v>0.0180899189507862</v>
      </c>
      <c r="AE113" s="10">
        <f t="shared" si="43"/>
        <v>8.13388088794921</v>
      </c>
      <c r="AF113" s="10">
        <f t="shared" si="57"/>
        <v>0.093613353822839</v>
      </c>
      <c r="AG113" s="10">
        <f t="shared" si="50"/>
        <v>0.0205607939919482</v>
      </c>
      <c r="AH113" s="10">
        <f t="shared" si="34"/>
        <v>0.0254616370595671</v>
      </c>
      <c r="AI113" s="10">
        <f t="shared" si="35"/>
        <v>312.856374394836</v>
      </c>
      <c r="AJ113" s="10">
        <f t="shared" si="45"/>
        <v>0.858291699271655</v>
      </c>
      <c r="AK113" s="10">
        <f t="shared" si="49"/>
        <v>24.2989903931394</v>
      </c>
      <c r="AL113" s="10">
        <f t="shared" si="47"/>
        <v>0.440806455610596</v>
      </c>
      <c r="AM113" s="10">
        <f t="shared" si="51"/>
        <v>0.395657546712178</v>
      </c>
      <c r="AN113" s="10">
        <f t="shared" si="55"/>
        <v>2.2907180385289</v>
      </c>
    </row>
    <row r="114" ht="16" spans="1:40">
      <c r="A114" s="14">
        <v>2015</v>
      </c>
      <c r="B114" s="15">
        <v>420000</v>
      </c>
      <c r="C114" s="16" t="s">
        <v>52</v>
      </c>
      <c r="D114" s="24">
        <v>30344</v>
      </c>
      <c r="E114" s="25">
        <v>5850</v>
      </c>
      <c r="F114" s="26">
        <v>18.59</v>
      </c>
      <c r="G114" s="27">
        <v>3345</v>
      </c>
      <c r="H114" s="10">
        <v>1410567</v>
      </c>
      <c r="I114" s="30">
        <v>26563.9</v>
      </c>
      <c r="J114" s="31">
        <v>6125.37</v>
      </c>
      <c r="K114" s="24">
        <v>5617415</v>
      </c>
      <c r="L114" s="10">
        <v>3398</v>
      </c>
      <c r="M114" s="10">
        <v>2837.1969</v>
      </c>
      <c r="N114" s="10">
        <v>789.34</v>
      </c>
      <c r="O114" s="10">
        <v>965.7511</v>
      </c>
      <c r="P114" s="19">
        <v>252980</v>
      </c>
      <c r="Q114" s="19">
        <v>153904</v>
      </c>
      <c r="R114" s="38">
        <v>28338.9</v>
      </c>
      <c r="S114" s="20">
        <v>14847.9</v>
      </c>
      <c r="T114" s="39">
        <v>11677.3</v>
      </c>
      <c r="U114" s="22">
        <v>11844</v>
      </c>
      <c r="V114" s="22">
        <v>27051</v>
      </c>
      <c r="W114" s="32">
        <v>52021.26</v>
      </c>
      <c r="X114" s="10">
        <v>50653.85</v>
      </c>
      <c r="Y114" s="10">
        <f t="shared" si="53"/>
        <v>0.875425125230688</v>
      </c>
      <c r="Z114" s="10">
        <f t="shared" si="46"/>
        <v>45408.3760683761</v>
      </c>
      <c r="AA114" s="10">
        <f t="shared" si="54"/>
        <v>0.571794871794872</v>
      </c>
      <c r="AB114" s="10">
        <f t="shared" si="52"/>
        <v>0.0241122564102564</v>
      </c>
      <c r="AC114" s="10">
        <f t="shared" si="48"/>
        <v>0.201864289480622</v>
      </c>
      <c r="AD114" s="10">
        <f t="shared" si="56"/>
        <v>0.0185124406802004</v>
      </c>
      <c r="AE114" s="10">
        <f t="shared" ref="AE114:AE132" si="58">LN(L114)</f>
        <v>8.13094230223188</v>
      </c>
      <c r="AF114" s="10">
        <f t="shared" si="57"/>
        <v>0.0935010842341155</v>
      </c>
      <c r="AG114" s="10">
        <f t="shared" si="50"/>
        <v>0.0260130503559188</v>
      </c>
      <c r="AH114" s="10">
        <f t="shared" si="34"/>
        <v>0.031826756525178</v>
      </c>
      <c r="AI114" s="10">
        <f t="shared" si="35"/>
        <v>314.685314685315</v>
      </c>
      <c r="AJ114" s="10">
        <f t="shared" si="45"/>
        <v>0.933921038755603</v>
      </c>
      <c r="AK114" s="10">
        <f t="shared" si="49"/>
        <v>24.3851500235939</v>
      </c>
      <c r="AL114" s="10">
        <f t="shared" si="47"/>
        <v>0.489319140522014</v>
      </c>
      <c r="AM114" s="10">
        <f t="shared" si="51"/>
        <v>0.38483060901661</v>
      </c>
      <c r="AN114" s="10">
        <f t="shared" si="55"/>
        <v>2.2839412360689</v>
      </c>
    </row>
    <row r="115" ht="16" spans="1:40">
      <c r="A115" s="14">
        <v>2016</v>
      </c>
      <c r="B115" s="15">
        <v>420000</v>
      </c>
      <c r="C115" s="16" t="s">
        <v>52</v>
      </c>
      <c r="D115" s="24">
        <v>33353</v>
      </c>
      <c r="E115" s="25">
        <v>5885</v>
      </c>
      <c r="F115" s="26">
        <v>18.59</v>
      </c>
      <c r="G115" s="27">
        <v>3447</v>
      </c>
      <c r="H115" s="10">
        <v>1401840</v>
      </c>
      <c r="I115" s="30">
        <v>30011.65</v>
      </c>
      <c r="J115" s="31">
        <v>6415.82</v>
      </c>
      <c r="K115" s="24">
        <v>6000422</v>
      </c>
      <c r="L115" s="10">
        <v>3385</v>
      </c>
      <c r="M115" s="10">
        <v>2616.3205</v>
      </c>
      <c r="N115" s="10">
        <v>903.84</v>
      </c>
      <c r="O115" s="10">
        <v>707.3856</v>
      </c>
      <c r="P115" s="19">
        <v>260179</v>
      </c>
      <c r="Q115" s="19">
        <v>162460</v>
      </c>
      <c r="R115" s="38">
        <v>34530.72</v>
      </c>
      <c r="S115" s="20">
        <v>16601.9</v>
      </c>
      <c r="T115" s="39">
        <v>12480.5</v>
      </c>
      <c r="U115" s="22">
        <v>12725</v>
      </c>
      <c r="V115" s="22">
        <v>29386</v>
      </c>
      <c r="W115" s="32">
        <v>56843.63</v>
      </c>
      <c r="X115" s="10">
        <v>55665</v>
      </c>
      <c r="Y115" s="10">
        <f t="shared" si="53"/>
        <v>0.899818607021857</v>
      </c>
      <c r="Z115" s="10">
        <f t="shared" si="46"/>
        <v>50996.8564146134</v>
      </c>
      <c r="AA115" s="10">
        <f t="shared" si="54"/>
        <v>0.585726423109601</v>
      </c>
      <c r="AB115" s="10">
        <f t="shared" si="52"/>
        <v>0.0238205607476636</v>
      </c>
      <c r="AC115" s="10">
        <f t="shared" si="48"/>
        <v>0.192361106946901</v>
      </c>
      <c r="AD115" s="10">
        <f t="shared" si="56"/>
        <v>0.0179906515156058</v>
      </c>
      <c r="AE115" s="10">
        <f t="shared" si="58"/>
        <v>8.12710918534638</v>
      </c>
      <c r="AF115" s="10">
        <f t="shared" si="57"/>
        <v>0.0784433334332744</v>
      </c>
      <c r="AG115" s="10">
        <f t="shared" si="50"/>
        <v>0.0270992114652355</v>
      </c>
      <c r="AH115" s="10">
        <f t="shared" si="34"/>
        <v>0.0212090546577519</v>
      </c>
      <c r="AI115" s="10">
        <f t="shared" si="35"/>
        <v>316.568047337278</v>
      </c>
      <c r="AJ115" s="10">
        <f t="shared" si="45"/>
        <v>1.03531076664768</v>
      </c>
      <c r="AK115" s="10">
        <f t="shared" si="49"/>
        <v>24.4673122312601</v>
      </c>
      <c r="AL115" s="10">
        <f t="shared" si="47"/>
        <v>0.497763319641412</v>
      </c>
      <c r="AM115" s="10">
        <f t="shared" si="51"/>
        <v>0.37419422540701</v>
      </c>
      <c r="AN115" s="10">
        <f t="shared" si="55"/>
        <v>2.30931237721022</v>
      </c>
    </row>
    <row r="116" ht="16" spans="1:40">
      <c r="A116" s="14">
        <v>2017</v>
      </c>
      <c r="B116" s="15">
        <v>420000</v>
      </c>
      <c r="C116" s="16" t="s">
        <v>52</v>
      </c>
      <c r="D116" s="24">
        <v>37235</v>
      </c>
      <c r="E116" s="25">
        <v>5904</v>
      </c>
      <c r="F116" s="26">
        <v>18.59</v>
      </c>
      <c r="G116" s="27">
        <v>3535</v>
      </c>
      <c r="H116" s="10">
        <v>1400918</v>
      </c>
      <c r="I116" s="30">
        <v>32282.36</v>
      </c>
      <c r="J116" s="31">
        <v>6793.89</v>
      </c>
      <c r="K116" s="24">
        <v>7006253</v>
      </c>
      <c r="L116" s="10">
        <v>3379</v>
      </c>
      <c r="M116" s="10">
        <v>3128.5944</v>
      </c>
      <c r="N116" s="10">
        <v>1033.08</v>
      </c>
      <c r="O116" s="10">
        <v>1123.3846</v>
      </c>
      <c r="P116" s="19">
        <v>269484</v>
      </c>
      <c r="Q116" s="19">
        <v>188107</v>
      </c>
      <c r="R116" s="38">
        <v>38154.95</v>
      </c>
      <c r="S116" s="20">
        <v>18519.7</v>
      </c>
      <c r="T116" s="39">
        <v>13431.6</v>
      </c>
      <c r="U116" s="22">
        <v>13812</v>
      </c>
      <c r="V116" s="22">
        <v>31889</v>
      </c>
      <c r="W116" s="32">
        <v>63169.06</v>
      </c>
      <c r="X116" s="10">
        <v>60199</v>
      </c>
      <c r="Y116" s="10">
        <f t="shared" si="53"/>
        <v>0.866989660265879</v>
      </c>
      <c r="Z116" s="10">
        <f t="shared" si="46"/>
        <v>54678.7940379404</v>
      </c>
      <c r="AA116" s="10">
        <f t="shared" si="54"/>
        <v>0.598746612466125</v>
      </c>
      <c r="AB116" s="10">
        <f t="shared" si="52"/>
        <v>0.0237282859078591</v>
      </c>
      <c r="AC116" s="10">
        <f t="shared" si="48"/>
        <v>0.182459782462737</v>
      </c>
      <c r="AD116" s="10">
        <f t="shared" si="56"/>
        <v>0.0188163099234591</v>
      </c>
      <c r="AE116" s="10">
        <f t="shared" si="58"/>
        <v>8.12533508671429</v>
      </c>
      <c r="AF116" s="10">
        <f t="shared" si="57"/>
        <v>0.0840229461528132</v>
      </c>
      <c r="AG116" s="10">
        <f t="shared" si="50"/>
        <v>0.0277448637035048</v>
      </c>
      <c r="AH116" s="10">
        <f t="shared" si="34"/>
        <v>0.030170124882503</v>
      </c>
      <c r="AI116" s="10">
        <f t="shared" si="35"/>
        <v>317.590102205487</v>
      </c>
      <c r="AJ116" s="10">
        <f t="shared" si="45"/>
        <v>1.02470659325903</v>
      </c>
      <c r="AK116" s="10">
        <f t="shared" si="49"/>
        <v>24.649030527211</v>
      </c>
      <c r="AL116" s="10">
        <f t="shared" si="47"/>
        <v>0.497373438968712</v>
      </c>
      <c r="AM116" s="10">
        <f t="shared" si="51"/>
        <v>0.360725124211092</v>
      </c>
      <c r="AN116" s="10">
        <f t="shared" si="55"/>
        <v>2.30878945844193</v>
      </c>
    </row>
    <row r="117" ht="16" spans="1:40">
      <c r="A117" s="14">
        <v>2018</v>
      </c>
      <c r="B117" s="15">
        <v>420000</v>
      </c>
      <c r="C117" s="16" t="s">
        <v>52</v>
      </c>
      <c r="D117" s="24">
        <v>42022</v>
      </c>
      <c r="E117" s="25">
        <v>5917</v>
      </c>
      <c r="F117" s="26">
        <v>18.59</v>
      </c>
      <c r="G117" s="27">
        <v>3609</v>
      </c>
      <c r="H117" s="10">
        <v>1438242</v>
      </c>
      <c r="I117" s="30">
        <v>35833.4196</v>
      </c>
      <c r="J117" s="31">
        <v>7250.2</v>
      </c>
      <c r="K117" s="24">
        <v>8220501</v>
      </c>
      <c r="L117" s="10">
        <v>3377</v>
      </c>
      <c r="M117" s="10">
        <v>3492.7661</v>
      </c>
      <c r="N117" s="10">
        <v>1204.09</v>
      </c>
      <c r="O117" s="10">
        <v>2385.274</v>
      </c>
      <c r="P117" s="19">
        <v>275039</v>
      </c>
      <c r="Q117" s="19">
        <v>204307</v>
      </c>
      <c r="R117" s="38">
        <v>44340.54</v>
      </c>
      <c r="S117" s="20">
        <v>20598.2</v>
      </c>
      <c r="T117" s="39">
        <v>14849.6</v>
      </c>
      <c r="U117" s="22">
        <v>14978</v>
      </c>
      <c r="V117" s="22">
        <v>34455</v>
      </c>
      <c r="W117" s="32">
        <v>71097.12</v>
      </c>
      <c r="X117" s="10">
        <v>66615.7035</v>
      </c>
      <c r="Y117" s="10">
        <f t="shared" si="53"/>
        <v>0.852729989053353</v>
      </c>
      <c r="Z117" s="10">
        <f t="shared" si="46"/>
        <v>60560.1142470847</v>
      </c>
      <c r="AA117" s="10">
        <f t="shared" si="54"/>
        <v>0.609937468311644</v>
      </c>
      <c r="AB117" s="10">
        <f t="shared" si="52"/>
        <v>0.0243069460875444</v>
      </c>
      <c r="AC117" s="10">
        <f t="shared" si="48"/>
        <v>0.17253343486745</v>
      </c>
      <c r="AD117" s="10">
        <f t="shared" si="56"/>
        <v>0.0195623744705154</v>
      </c>
      <c r="AE117" s="10">
        <f t="shared" si="58"/>
        <v>8.12474302038557</v>
      </c>
      <c r="AF117" s="10">
        <f t="shared" si="57"/>
        <v>0.0831175598496026</v>
      </c>
      <c r="AG117" s="10">
        <f t="shared" si="50"/>
        <v>0.0286538003902718</v>
      </c>
      <c r="AH117" s="10">
        <f t="shared" si="34"/>
        <v>0.0567625053543382</v>
      </c>
      <c r="AI117" s="10">
        <f t="shared" si="35"/>
        <v>318.289402904788</v>
      </c>
      <c r="AJ117" s="10">
        <f t="shared" si="45"/>
        <v>1.05517443244015</v>
      </c>
      <c r="AK117" s="10">
        <f t="shared" si="49"/>
        <v>24.7520472283322</v>
      </c>
      <c r="AL117" s="10">
        <f t="shared" si="47"/>
        <v>0.490176574175432</v>
      </c>
      <c r="AM117" s="10">
        <f t="shared" si="51"/>
        <v>0.353376802627195</v>
      </c>
      <c r="AN117" s="10">
        <f t="shared" si="55"/>
        <v>2.30037388169315</v>
      </c>
    </row>
    <row r="118" ht="16" spans="1:40">
      <c r="A118" s="14">
        <v>2019</v>
      </c>
      <c r="B118" s="15">
        <v>420000</v>
      </c>
      <c r="C118" s="16" t="s">
        <v>52</v>
      </c>
      <c r="D118" s="24">
        <v>45429</v>
      </c>
      <c r="E118" s="25">
        <v>5927</v>
      </c>
      <c r="F118" s="26">
        <v>18.59</v>
      </c>
      <c r="G118" s="27">
        <v>3665</v>
      </c>
      <c r="H118" s="10">
        <v>1500819</v>
      </c>
      <c r="I118" s="30">
        <v>39667.5954972</v>
      </c>
      <c r="J118" s="31">
        <v>7918.2</v>
      </c>
      <c r="K118" s="24">
        <v>9578823</v>
      </c>
      <c r="L118" s="10">
        <v>3375</v>
      </c>
      <c r="M118" s="10">
        <v>3943.2241</v>
      </c>
      <c r="N118" s="10">
        <v>1429.84</v>
      </c>
      <c r="O118" s="10">
        <v>3829.3434</v>
      </c>
      <c r="P118" s="19">
        <v>289029</v>
      </c>
      <c r="Q118" s="19">
        <v>188133</v>
      </c>
      <c r="R118" s="38">
        <v>50663.96</v>
      </c>
      <c r="S118" s="20">
        <v>22722.3</v>
      </c>
      <c r="T118" s="39">
        <v>15707.6</v>
      </c>
      <c r="U118" s="22">
        <v>16391</v>
      </c>
      <c r="V118" s="22">
        <v>37601</v>
      </c>
      <c r="W118" s="32">
        <v>76712.19</v>
      </c>
      <c r="X118" s="10">
        <v>77386.54</v>
      </c>
      <c r="Y118" s="10">
        <f t="shared" si="53"/>
        <v>0.873177826877105</v>
      </c>
      <c r="Z118" s="10">
        <f t="shared" si="46"/>
        <v>66926.9368942129</v>
      </c>
      <c r="AA118" s="10">
        <f t="shared" si="54"/>
        <v>0.618356672853045</v>
      </c>
      <c r="AB118" s="10">
        <f t="shared" si="52"/>
        <v>0.0253217310612451</v>
      </c>
      <c r="AC118" s="10">
        <f t="shared" si="48"/>
        <v>0.17429835567589</v>
      </c>
      <c r="AD118" s="10">
        <f t="shared" si="56"/>
        <v>0.0210852605164102</v>
      </c>
      <c r="AE118" s="10">
        <f t="shared" si="58"/>
        <v>8.12415060330663</v>
      </c>
      <c r="AF118" s="10">
        <f t="shared" si="57"/>
        <v>0.0867997116379405</v>
      </c>
      <c r="AG118" s="10">
        <f t="shared" si="50"/>
        <v>0.0314741684826873</v>
      </c>
      <c r="AH118" s="10">
        <f t="shared" si="34"/>
        <v>0.084292927425213</v>
      </c>
      <c r="AI118" s="10">
        <f t="shared" si="35"/>
        <v>318.827326519634</v>
      </c>
      <c r="AJ118" s="10">
        <f t="shared" si="45"/>
        <v>1.11523388144137</v>
      </c>
      <c r="AK118" s="10">
        <f t="shared" si="49"/>
        <v>24.7191867465791</v>
      </c>
      <c r="AL118" s="10">
        <f t="shared" si="47"/>
        <v>0.500171696493429</v>
      </c>
      <c r="AM118" s="10">
        <f t="shared" si="51"/>
        <v>0.345761517973101</v>
      </c>
      <c r="AN118" s="10">
        <f t="shared" si="55"/>
        <v>2.29400280641816</v>
      </c>
    </row>
    <row r="119" ht="16" spans="1:40">
      <c r="A119" s="14">
        <v>2020</v>
      </c>
      <c r="B119" s="15">
        <v>420000</v>
      </c>
      <c r="C119" s="16" t="s">
        <v>52</v>
      </c>
      <c r="D119" s="24">
        <v>43004.5</v>
      </c>
      <c r="E119" s="25">
        <v>5745</v>
      </c>
      <c r="F119" s="26">
        <v>18.59</v>
      </c>
      <c r="G119" s="27">
        <v>3613</v>
      </c>
      <c r="H119" s="10">
        <v>1616873</v>
      </c>
      <c r="I119" s="30">
        <v>32210.0875437264</v>
      </c>
      <c r="J119" s="31">
        <v>8357.29</v>
      </c>
      <c r="K119" s="24">
        <v>10052799.7</v>
      </c>
      <c r="L119" s="10">
        <v>3261</v>
      </c>
      <c r="M119" s="10">
        <v>4293.4577</v>
      </c>
      <c r="N119" s="10">
        <v>1665.81</v>
      </c>
      <c r="O119" s="10">
        <v>4676.9439</v>
      </c>
      <c r="P119" s="19">
        <v>289612</v>
      </c>
      <c r="Q119" s="19">
        <v>160422</v>
      </c>
      <c r="R119" s="38">
        <v>59872.13</v>
      </c>
      <c r="S119" s="20">
        <v>17984.9</v>
      </c>
      <c r="T119" s="39">
        <v>13174.7</v>
      </c>
      <c r="U119" s="22">
        <v>16306</v>
      </c>
      <c r="V119" s="22">
        <v>36706</v>
      </c>
      <c r="W119" s="32">
        <v>73687.46</v>
      </c>
      <c r="X119" s="10">
        <v>74440.47</v>
      </c>
      <c r="Y119" s="10">
        <f t="shared" si="53"/>
        <v>0.748993420310116</v>
      </c>
      <c r="Z119" s="10">
        <f t="shared" si="46"/>
        <v>56066.2968559206</v>
      </c>
      <c r="AA119" s="10">
        <f t="shared" si="54"/>
        <v>0.628894691035683</v>
      </c>
      <c r="AB119" s="10">
        <f t="shared" si="52"/>
        <v>0.0281440034812881</v>
      </c>
      <c r="AC119" s="10">
        <f t="shared" si="48"/>
        <v>0.194335243986095</v>
      </c>
      <c r="AD119" s="10">
        <f t="shared" si="56"/>
        <v>0.0233761576114128</v>
      </c>
      <c r="AE119" s="10">
        <f t="shared" si="58"/>
        <v>8.08978917578932</v>
      </c>
      <c r="AF119" s="10">
        <f t="shared" si="57"/>
        <v>0.0998374053878082</v>
      </c>
      <c r="AG119" s="10">
        <f t="shared" si="50"/>
        <v>0.0387357137043798</v>
      </c>
      <c r="AH119" s="10">
        <f t="shared" si="34"/>
        <v>0.108754755897639</v>
      </c>
      <c r="AI119" s="10">
        <f t="shared" si="35"/>
        <v>309.037116729424</v>
      </c>
      <c r="AJ119" s="10">
        <f t="shared" si="45"/>
        <v>1.39222941785162</v>
      </c>
      <c r="AK119" s="10">
        <f t="shared" si="49"/>
        <v>24.5618604972159</v>
      </c>
      <c r="AL119" s="10">
        <f t="shared" si="47"/>
        <v>0.41820972223837</v>
      </c>
      <c r="AM119" s="10">
        <f t="shared" si="51"/>
        <v>0.306356311548791</v>
      </c>
      <c r="AN119" s="10">
        <f t="shared" si="55"/>
        <v>2.25107322457991</v>
      </c>
    </row>
    <row r="120" ht="16" spans="1:40">
      <c r="A120" s="14">
        <v>2021</v>
      </c>
      <c r="B120" s="15">
        <v>420000</v>
      </c>
      <c r="C120" s="16" t="s">
        <v>52</v>
      </c>
      <c r="D120" s="24">
        <v>50091.2</v>
      </c>
      <c r="E120" s="25">
        <v>5830</v>
      </c>
      <c r="F120" s="26">
        <v>18.59</v>
      </c>
      <c r="G120" s="27">
        <v>3736</v>
      </c>
      <c r="H120" s="10">
        <v>1699723</v>
      </c>
      <c r="I120" s="30">
        <v>38780.9454026466</v>
      </c>
      <c r="J120" s="31">
        <v>7869.04</v>
      </c>
      <c r="K120" s="24">
        <v>11602178</v>
      </c>
      <c r="L120" s="10">
        <v>3286</v>
      </c>
      <c r="M120" s="10">
        <v>5359.9062</v>
      </c>
      <c r="N120" s="10">
        <v>2090.78</v>
      </c>
      <c r="O120" s="10">
        <v>895.46</v>
      </c>
      <c r="P120" s="19">
        <v>296922</v>
      </c>
      <c r="Q120" s="19">
        <v>214762</v>
      </c>
      <c r="R120" s="38">
        <v>67037.99</v>
      </c>
      <c r="S120" s="20">
        <v>21561.4</v>
      </c>
      <c r="T120" s="39">
        <v>16040.7</v>
      </c>
      <c r="U120" s="22">
        <v>18259</v>
      </c>
      <c r="V120" s="22">
        <v>40278</v>
      </c>
      <c r="W120" s="32">
        <v>86551</v>
      </c>
      <c r="X120" s="10">
        <v>86416</v>
      </c>
      <c r="Y120" s="10">
        <f t="shared" si="53"/>
        <v>0.774206754931936</v>
      </c>
      <c r="Z120" s="10">
        <f t="shared" si="46"/>
        <v>66519.6319084847</v>
      </c>
      <c r="AA120" s="10">
        <f t="shared" si="54"/>
        <v>0.64082332761578</v>
      </c>
      <c r="AB120" s="10">
        <f t="shared" si="52"/>
        <v>0.0291547684391081</v>
      </c>
      <c r="AC120" s="10">
        <f t="shared" si="48"/>
        <v>0.157094260069633</v>
      </c>
      <c r="AD120" s="10">
        <f t="shared" si="56"/>
        <v>0.0231621083144345</v>
      </c>
      <c r="AE120" s="10">
        <f t="shared" si="58"/>
        <v>8.09742629859721</v>
      </c>
      <c r="AF120" s="10">
        <f t="shared" si="57"/>
        <v>0.107002950618073</v>
      </c>
      <c r="AG120" s="10">
        <f t="shared" si="50"/>
        <v>0.0417394672118057</v>
      </c>
      <c r="AH120" s="10">
        <f t="shared" si="34"/>
        <v>0.0178765930941962</v>
      </c>
      <c r="AI120" s="10">
        <f t="shared" si="35"/>
        <v>313.609467455621</v>
      </c>
      <c r="AJ120" s="10">
        <f t="shared" si="45"/>
        <v>1.33831870667902</v>
      </c>
      <c r="AK120" s="10">
        <f t="shared" si="49"/>
        <v>24.8785104742442</v>
      </c>
      <c r="AL120" s="10">
        <f t="shared" si="47"/>
        <v>0.430442872201105</v>
      </c>
      <c r="AM120" s="10">
        <f t="shared" si="51"/>
        <v>0.320229900661194</v>
      </c>
      <c r="AN120" s="10">
        <f t="shared" si="55"/>
        <v>2.20592584478887</v>
      </c>
    </row>
    <row r="121" ht="16" spans="1:40">
      <c r="A121" s="14">
        <v>2022</v>
      </c>
      <c r="B121" s="15">
        <v>420000</v>
      </c>
      <c r="C121" s="16" t="s">
        <v>52</v>
      </c>
      <c r="D121" s="24">
        <v>52741.7</v>
      </c>
      <c r="E121" s="25">
        <v>5844</v>
      </c>
      <c r="F121" s="26">
        <v>18.59</v>
      </c>
      <c r="G121" s="27">
        <v>3779</v>
      </c>
      <c r="H121" s="10">
        <v>1772611</v>
      </c>
      <c r="I121" s="30">
        <v>44598.0872130436</v>
      </c>
      <c r="J121" s="31">
        <v>8549.25</v>
      </c>
      <c r="K121" s="24">
        <v>12546695.8</v>
      </c>
      <c r="L121" s="10">
        <v>3243</v>
      </c>
      <c r="M121" s="10">
        <v>6194.7381</v>
      </c>
      <c r="N121" s="10">
        <v>3010</v>
      </c>
      <c r="O121" s="10">
        <v>995.7117</v>
      </c>
      <c r="P121" s="35">
        <v>302178</v>
      </c>
      <c r="Q121" s="35">
        <v>209475</v>
      </c>
      <c r="R121" s="38">
        <v>74229.99</v>
      </c>
      <c r="S121" s="20">
        <v>22164.8</v>
      </c>
      <c r="T121" s="39">
        <v>16240.8</v>
      </c>
      <c r="U121" s="22">
        <v>19709</v>
      </c>
      <c r="V121" s="22">
        <v>42626</v>
      </c>
      <c r="W121" s="32">
        <v>90358</v>
      </c>
      <c r="X121" s="10">
        <v>92059</v>
      </c>
      <c r="Y121" s="10">
        <f t="shared" si="53"/>
        <v>0.845594419843191</v>
      </c>
      <c r="Z121" s="10">
        <f t="shared" si="46"/>
        <v>76314.3176130109</v>
      </c>
      <c r="AA121" s="10">
        <f t="shared" si="54"/>
        <v>0.646646132785763</v>
      </c>
      <c r="AB121" s="10">
        <f t="shared" si="52"/>
        <v>0.0303321526351814</v>
      </c>
      <c r="AC121" s="10">
        <f t="shared" si="48"/>
        <v>0.162096595293667</v>
      </c>
      <c r="AD121" s="10">
        <f t="shared" si="56"/>
        <v>0.0237889484032559</v>
      </c>
      <c r="AE121" s="10">
        <f t="shared" si="58"/>
        <v>8.08425410630732</v>
      </c>
      <c r="AF121" s="10">
        <f t="shared" si="57"/>
        <v>0.117454274321836</v>
      </c>
      <c r="AG121" s="10">
        <f t="shared" si="50"/>
        <v>0.057070591202028</v>
      </c>
      <c r="AH121" s="10">
        <f t="shared" si="34"/>
        <v>0.0188790217228493</v>
      </c>
      <c r="AI121" s="10">
        <f t="shared" si="35"/>
        <v>314.362560516407</v>
      </c>
      <c r="AJ121" s="10">
        <f t="shared" si="45"/>
        <v>1.40742505455835</v>
      </c>
      <c r="AK121" s="10">
        <f t="shared" si="49"/>
        <v>24.8711312061817</v>
      </c>
      <c r="AL121" s="10">
        <f t="shared" si="47"/>
        <v>0.42025190693512</v>
      </c>
      <c r="AM121" s="10">
        <f t="shared" si="51"/>
        <v>0.307930916144152</v>
      </c>
      <c r="AN121" s="10">
        <f t="shared" si="55"/>
        <v>2.16276827845147</v>
      </c>
    </row>
    <row r="122" ht="16" spans="1:40">
      <c r="A122" s="14">
        <v>2013</v>
      </c>
      <c r="B122" s="15">
        <v>430000</v>
      </c>
      <c r="C122" s="16" t="s">
        <v>53</v>
      </c>
      <c r="D122" s="24">
        <v>23545.2</v>
      </c>
      <c r="E122" s="25">
        <v>6600</v>
      </c>
      <c r="F122" s="26">
        <v>21.18</v>
      </c>
      <c r="G122" s="27">
        <v>3144</v>
      </c>
      <c r="H122" s="10">
        <v>1100770</v>
      </c>
      <c r="I122" s="30">
        <v>17841.4</v>
      </c>
      <c r="J122" s="31">
        <v>4690.86</v>
      </c>
      <c r="K122" s="24">
        <v>3270252.9</v>
      </c>
      <c r="L122" s="10">
        <v>4036.45</v>
      </c>
      <c r="M122" s="10">
        <v>1559.1572</v>
      </c>
      <c r="N122" s="10">
        <v>77.21</v>
      </c>
      <c r="O122" s="10">
        <v>595.2872</v>
      </c>
      <c r="P122" s="19">
        <v>235392</v>
      </c>
      <c r="Q122" s="19">
        <v>184535</v>
      </c>
      <c r="R122" s="38">
        <v>17774.99</v>
      </c>
      <c r="S122" s="20">
        <v>9509.5</v>
      </c>
      <c r="T122" s="39">
        <v>9179.7</v>
      </c>
      <c r="U122" s="22">
        <v>9029</v>
      </c>
      <c r="V122" s="22">
        <v>24352</v>
      </c>
      <c r="W122" s="32">
        <v>35701.65</v>
      </c>
      <c r="X122" s="10">
        <v>36943</v>
      </c>
      <c r="Y122" s="10">
        <f t="shared" si="53"/>
        <v>0.75775104904609</v>
      </c>
      <c r="Z122" s="10">
        <f t="shared" si="46"/>
        <v>27032.4242424242</v>
      </c>
      <c r="AA122" s="10">
        <f t="shared" si="54"/>
        <v>0.476363636363636</v>
      </c>
      <c r="AB122" s="10">
        <f t="shared" si="52"/>
        <v>0.0166783333333333</v>
      </c>
      <c r="AC122" s="10">
        <f t="shared" si="48"/>
        <v>0.199227868100505</v>
      </c>
      <c r="AD122" s="10">
        <f t="shared" si="56"/>
        <v>0.0138892551348045</v>
      </c>
      <c r="AE122" s="10">
        <f t="shared" si="58"/>
        <v>8.30312087178944</v>
      </c>
      <c r="AF122" s="10">
        <f t="shared" si="57"/>
        <v>0.0662197475493944</v>
      </c>
      <c r="AG122" s="10">
        <f t="shared" si="50"/>
        <v>0.00327922464026638</v>
      </c>
      <c r="AH122" s="10">
        <f t="shared" si="34"/>
        <v>0.0252827412806007</v>
      </c>
      <c r="AI122" s="10">
        <f t="shared" si="35"/>
        <v>311.614730878187</v>
      </c>
      <c r="AJ122" s="10">
        <f t="shared" si="45"/>
        <v>0.754930516623346</v>
      </c>
      <c r="AK122" s="10">
        <f t="shared" si="49"/>
        <v>24.4946019148925</v>
      </c>
      <c r="AL122" s="10">
        <f t="shared" si="47"/>
        <v>0.403882744678321</v>
      </c>
      <c r="AM122" s="10">
        <f t="shared" si="51"/>
        <v>0.38987564344325</v>
      </c>
      <c r="AN122" s="10">
        <f t="shared" si="55"/>
        <v>2.69708716358401</v>
      </c>
    </row>
    <row r="123" ht="16" spans="1:40">
      <c r="A123" s="14">
        <v>2014</v>
      </c>
      <c r="B123" s="15">
        <v>430000</v>
      </c>
      <c r="C123" s="16" t="s">
        <v>53</v>
      </c>
      <c r="D123" s="24">
        <v>25881.3</v>
      </c>
      <c r="E123" s="25">
        <v>6611</v>
      </c>
      <c r="F123" s="26">
        <v>21.18</v>
      </c>
      <c r="G123" s="27">
        <v>3238</v>
      </c>
      <c r="H123" s="10">
        <v>1136302</v>
      </c>
      <c r="I123" s="30">
        <v>21242.92</v>
      </c>
      <c r="J123" s="31">
        <v>5013.68</v>
      </c>
      <c r="K123" s="24">
        <v>3679345.3</v>
      </c>
      <c r="L123" s="10">
        <v>4044.13</v>
      </c>
      <c r="M123" s="10">
        <v>1893.9237</v>
      </c>
      <c r="N123" s="10">
        <v>97.93</v>
      </c>
      <c r="O123" s="10">
        <v>744.8788</v>
      </c>
      <c r="P123" s="19">
        <v>236250</v>
      </c>
      <c r="Q123" s="19">
        <v>203053</v>
      </c>
      <c r="R123" s="38">
        <v>20356.39</v>
      </c>
      <c r="S123" s="20">
        <v>10723.5</v>
      </c>
      <c r="T123" s="39">
        <v>9859.9</v>
      </c>
      <c r="U123" s="22">
        <v>10060</v>
      </c>
      <c r="V123" s="22">
        <v>26570</v>
      </c>
      <c r="W123" s="32">
        <v>39181.41</v>
      </c>
      <c r="X123" s="10">
        <v>40270.5443</v>
      </c>
      <c r="Y123" s="10">
        <f t="shared" si="53"/>
        <v>0.820782572745573</v>
      </c>
      <c r="Z123" s="10">
        <f t="shared" si="46"/>
        <v>32132.6879443352</v>
      </c>
      <c r="AA123" s="10">
        <f t="shared" si="54"/>
        <v>0.489789744365452</v>
      </c>
      <c r="AB123" s="10">
        <f t="shared" si="52"/>
        <v>0.0171880502193314</v>
      </c>
      <c r="AC123" s="10">
        <f t="shared" si="48"/>
        <v>0.193718244446763</v>
      </c>
      <c r="AD123" s="10">
        <f t="shared" si="56"/>
        <v>0.0142162306375646</v>
      </c>
      <c r="AE123" s="10">
        <f t="shared" si="58"/>
        <v>8.30502172601339</v>
      </c>
      <c r="AF123" s="10">
        <f t="shared" si="57"/>
        <v>0.0731773017584124</v>
      </c>
      <c r="AG123" s="10">
        <f t="shared" si="50"/>
        <v>0.00378381302330254</v>
      </c>
      <c r="AH123" s="10">
        <f t="shared" si="34"/>
        <v>0.0287805790281014</v>
      </c>
      <c r="AI123" s="10">
        <f t="shared" si="35"/>
        <v>312.134088762984</v>
      </c>
      <c r="AJ123" s="10">
        <f t="shared" si="45"/>
        <v>0.786528883788681</v>
      </c>
      <c r="AK123" s="10">
        <f t="shared" si="49"/>
        <v>24.5938681530473</v>
      </c>
      <c r="AL123" s="10">
        <f t="shared" si="47"/>
        <v>0.414333901310985</v>
      </c>
      <c r="AM123" s="10">
        <f t="shared" si="51"/>
        <v>0.380966180215059</v>
      </c>
      <c r="AN123" s="10">
        <f t="shared" si="55"/>
        <v>2.64115308151093</v>
      </c>
    </row>
    <row r="124" ht="16" spans="1:40">
      <c r="A124" s="14">
        <v>2015</v>
      </c>
      <c r="B124" s="15">
        <v>430000</v>
      </c>
      <c r="C124" s="16" t="s">
        <v>53</v>
      </c>
      <c r="D124" s="24">
        <v>28538.6</v>
      </c>
      <c r="E124" s="25">
        <v>6615</v>
      </c>
      <c r="F124" s="26">
        <v>21.18</v>
      </c>
      <c r="G124" s="27">
        <v>3360</v>
      </c>
      <c r="H124" s="10">
        <v>1180643</v>
      </c>
      <c r="I124" s="30">
        <v>25045.08</v>
      </c>
      <c r="J124" s="31">
        <v>5722.66</v>
      </c>
      <c r="K124" s="24">
        <v>4126691.5</v>
      </c>
      <c r="L124" s="10">
        <v>3980.3</v>
      </c>
      <c r="M124" s="10">
        <v>1825.0334</v>
      </c>
      <c r="N124" s="10">
        <v>105.06</v>
      </c>
      <c r="O124" s="10">
        <v>906.6609</v>
      </c>
      <c r="P124" s="19">
        <v>236886</v>
      </c>
      <c r="Q124" s="19">
        <v>199716</v>
      </c>
      <c r="R124" s="38">
        <v>23738.58</v>
      </c>
      <c r="S124" s="20">
        <v>11241.4</v>
      </c>
      <c r="T124" s="39">
        <v>10458.8</v>
      </c>
      <c r="U124" s="22">
        <v>10993</v>
      </c>
      <c r="V124" s="22">
        <v>28838</v>
      </c>
      <c r="W124" s="32">
        <v>43155.3</v>
      </c>
      <c r="X124" s="10">
        <v>42753.86</v>
      </c>
      <c r="Y124" s="10">
        <f t="shared" si="53"/>
        <v>0.877586146482308</v>
      </c>
      <c r="Z124" s="10">
        <f t="shared" si="46"/>
        <v>37861.0430839002</v>
      </c>
      <c r="AA124" s="10">
        <f t="shared" si="54"/>
        <v>0.507936507936508</v>
      </c>
      <c r="AB124" s="10">
        <f t="shared" si="52"/>
        <v>0.0178479667422525</v>
      </c>
      <c r="AC124" s="10">
        <f t="shared" ref="AC124:AC153" si="59">J124/D124</f>
        <v>0.200523501503227</v>
      </c>
      <c r="AD124" s="10">
        <f t="shared" si="56"/>
        <v>0.0144600348300197</v>
      </c>
      <c r="AE124" s="10">
        <f t="shared" si="58"/>
        <v>8.28911247232221</v>
      </c>
      <c r="AF124" s="10">
        <f t="shared" si="57"/>
        <v>0.0639496471445691</v>
      </c>
      <c r="AG124" s="10">
        <f t="shared" si="50"/>
        <v>0.00368132984799535</v>
      </c>
      <c r="AH124" s="10">
        <f t="shared" si="34"/>
        <v>0.0317696348103972</v>
      </c>
      <c r="AI124" s="10">
        <f t="shared" si="35"/>
        <v>312.322946175637</v>
      </c>
      <c r="AJ124" s="10">
        <f t="shared" si="45"/>
        <v>0.831806045145873</v>
      </c>
      <c r="AK124" s="10">
        <f t="shared" ref="AK124:AK142" si="60">LN(P124)+LN(Q124)</f>
        <v>24.5799859281101</v>
      </c>
      <c r="AL124" s="10">
        <f t="shared" si="47"/>
        <v>0.393901592930277</v>
      </c>
      <c r="AM124" s="10">
        <f t="shared" si="51"/>
        <v>0.366479084468054</v>
      </c>
      <c r="AN124" s="10">
        <f t="shared" si="55"/>
        <v>2.62330574001637</v>
      </c>
    </row>
    <row r="125" ht="16" spans="1:40">
      <c r="A125" s="14">
        <v>2016</v>
      </c>
      <c r="B125" s="15">
        <v>430000</v>
      </c>
      <c r="C125" s="16" t="s">
        <v>53</v>
      </c>
      <c r="D125" s="24">
        <v>30853.5</v>
      </c>
      <c r="E125" s="25">
        <v>6625</v>
      </c>
      <c r="F125" s="26">
        <v>21.18</v>
      </c>
      <c r="G125" s="27">
        <v>3491</v>
      </c>
      <c r="H125" s="10">
        <v>1225016</v>
      </c>
      <c r="I125" s="30">
        <v>28353.33</v>
      </c>
      <c r="J125" s="31">
        <v>6333.16</v>
      </c>
      <c r="K125" s="24">
        <v>4688418.2</v>
      </c>
      <c r="L125" s="10">
        <v>3920.41</v>
      </c>
      <c r="M125" s="10">
        <v>1743.17</v>
      </c>
      <c r="N125" s="10">
        <v>105.63</v>
      </c>
      <c r="O125" s="10">
        <v>699.1211</v>
      </c>
      <c r="P125" s="19">
        <v>238273</v>
      </c>
      <c r="Q125" s="19">
        <v>206527</v>
      </c>
      <c r="R125" s="38">
        <v>27215.51</v>
      </c>
      <c r="S125" s="20">
        <v>12500</v>
      </c>
      <c r="T125" s="39">
        <v>10540.1</v>
      </c>
      <c r="U125" s="22">
        <v>11930</v>
      </c>
      <c r="V125" s="22">
        <v>31284</v>
      </c>
      <c r="W125" s="32">
        <v>46606.42</v>
      </c>
      <c r="X125" s="10">
        <v>46382</v>
      </c>
      <c r="Y125" s="10">
        <f t="shared" si="53"/>
        <v>0.918966405756235</v>
      </c>
      <c r="Z125" s="10">
        <f t="shared" si="46"/>
        <v>42797.479245283</v>
      </c>
      <c r="AA125" s="10">
        <f t="shared" si="54"/>
        <v>0.526943396226415</v>
      </c>
      <c r="AB125" s="10">
        <f t="shared" si="52"/>
        <v>0.0184908075471698</v>
      </c>
      <c r="AC125" s="10">
        <f t="shared" si="59"/>
        <v>0.205265529032363</v>
      </c>
      <c r="AD125" s="10">
        <f t="shared" si="56"/>
        <v>0.0151957418121121</v>
      </c>
      <c r="AE125" s="10">
        <f t="shared" si="58"/>
        <v>8.2739515191519</v>
      </c>
      <c r="AF125" s="10">
        <f t="shared" si="57"/>
        <v>0.0564982903074206</v>
      </c>
      <c r="AG125" s="10">
        <f t="shared" si="50"/>
        <v>0.00342359861928144</v>
      </c>
      <c r="AH125" s="10">
        <f t="shared" si="34"/>
        <v>0.0226593773802</v>
      </c>
      <c r="AI125" s="10">
        <f t="shared" si="35"/>
        <v>312.795089707271</v>
      </c>
      <c r="AJ125" s="10">
        <f t="shared" ref="AJ125:AJ156" si="61">R125/D125</f>
        <v>0.882088255789457</v>
      </c>
      <c r="AK125" s="10">
        <f t="shared" si="60"/>
        <v>24.6193587875493</v>
      </c>
      <c r="AL125" s="10">
        <f t="shared" si="47"/>
        <v>0.405140421670151</v>
      </c>
      <c r="AM125" s="10">
        <f t="shared" si="51"/>
        <v>0.341617644675645</v>
      </c>
      <c r="AN125" s="10">
        <f t="shared" si="55"/>
        <v>2.62229673093043</v>
      </c>
    </row>
    <row r="126" ht="16" spans="1:40">
      <c r="A126" s="14">
        <v>2017</v>
      </c>
      <c r="B126" s="15">
        <v>430000</v>
      </c>
      <c r="C126" s="16" t="s">
        <v>53</v>
      </c>
      <c r="D126" s="24">
        <v>33828.1</v>
      </c>
      <c r="E126" s="25">
        <v>6633</v>
      </c>
      <c r="F126" s="26">
        <v>21.18</v>
      </c>
      <c r="G126" s="27">
        <v>3623</v>
      </c>
      <c r="H126" s="10">
        <v>1273208</v>
      </c>
      <c r="I126" s="30">
        <v>31959.23</v>
      </c>
      <c r="J126" s="31">
        <v>6863.31</v>
      </c>
      <c r="K126" s="24">
        <v>5685310.2</v>
      </c>
      <c r="L126" s="10">
        <v>3817.22</v>
      </c>
      <c r="M126" s="10">
        <v>2432.8961</v>
      </c>
      <c r="N126" s="10">
        <v>203.19</v>
      </c>
      <c r="O126" s="10">
        <v>1121.7468</v>
      </c>
      <c r="P126" s="19">
        <v>239724</v>
      </c>
      <c r="Q126" s="19">
        <v>225551</v>
      </c>
      <c r="R126" s="38">
        <v>31532.69</v>
      </c>
      <c r="S126" s="20">
        <v>13793.7</v>
      </c>
      <c r="T126" s="39">
        <v>10709.8</v>
      </c>
      <c r="U126" s="22">
        <v>12936</v>
      </c>
      <c r="V126" s="22">
        <v>33948</v>
      </c>
      <c r="W126" s="32">
        <v>51030.49</v>
      </c>
      <c r="X126" s="10">
        <v>49558</v>
      </c>
      <c r="Y126" s="10">
        <f t="shared" si="53"/>
        <v>0.944753917601048</v>
      </c>
      <c r="Z126" s="10">
        <f t="shared" si="46"/>
        <v>48182.1649329112</v>
      </c>
      <c r="AA126" s="10">
        <f t="shared" si="54"/>
        <v>0.546208352178501</v>
      </c>
      <c r="AB126" s="10">
        <f t="shared" si="52"/>
        <v>0.0191950550278908</v>
      </c>
      <c r="AC126" s="10">
        <f t="shared" si="59"/>
        <v>0.202887835852442</v>
      </c>
      <c r="AD126" s="10">
        <f t="shared" si="56"/>
        <v>0.0168064721341134</v>
      </c>
      <c r="AE126" s="10">
        <f t="shared" si="58"/>
        <v>8.2472776879719</v>
      </c>
      <c r="AF126" s="10">
        <f t="shared" si="57"/>
        <v>0.0719193835893828</v>
      </c>
      <c r="AG126" s="10">
        <f t="shared" si="50"/>
        <v>0.00600654485472137</v>
      </c>
      <c r="AH126" s="10">
        <f t="shared" si="34"/>
        <v>0.0331602070468043</v>
      </c>
      <c r="AI126" s="10">
        <f t="shared" si="35"/>
        <v>313.172804532578</v>
      </c>
      <c r="AJ126" s="10">
        <f t="shared" si="61"/>
        <v>0.932144873640553</v>
      </c>
      <c r="AK126" s="10">
        <f t="shared" si="60"/>
        <v>24.7135451170002</v>
      </c>
      <c r="AL126" s="10">
        <f t="shared" si="47"/>
        <v>0.407758638528324</v>
      </c>
      <c r="AM126" s="10">
        <f t="shared" si="51"/>
        <v>0.31659478362663</v>
      </c>
      <c r="AN126" s="10">
        <f t="shared" si="55"/>
        <v>2.62430426716141</v>
      </c>
    </row>
    <row r="127" ht="16" spans="1:40">
      <c r="A127" s="14">
        <v>2018</v>
      </c>
      <c r="B127" s="15">
        <v>430000</v>
      </c>
      <c r="C127" s="16" t="s">
        <v>53</v>
      </c>
      <c r="D127" s="24">
        <v>36329.7</v>
      </c>
      <c r="E127" s="25">
        <v>6635</v>
      </c>
      <c r="F127" s="26">
        <v>21.18</v>
      </c>
      <c r="G127" s="27">
        <v>3722</v>
      </c>
      <c r="H127" s="10">
        <v>1326828</v>
      </c>
      <c r="I127" s="30">
        <v>35155.153</v>
      </c>
      <c r="J127" s="31">
        <v>7472.71</v>
      </c>
      <c r="K127" s="24">
        <v>6582729.3</v>
      </c>
      <c r="L127" s="10">
        <v>3738.58</v>
      </c>
      <c r="M127" s="10">
        <v>3075.3838</v>
      </c>
      <c r="N127" s="10">
        <v>281.61</v>
      </c>
      <c r="O127" s="10">
        <v>2725.3403</v>
      </c>
      <c r="P127" s="19">
        <v>240060</v>
      </c>
      <c r="Q127" s="19">
        <v>229957</v>
      </c>
      <c r="R127" s="38">
        <v>36211.75</v>
      </c>
      <c r="S127" s="20">
        <v>15134.3</v>
      </c>
      <c r="T127" s="39">
        <v>10785.6</v>
      </c>
      <c r="U127" s="22">
        <v>14093</v>
      </c>
      <c r="V127" s="22">
        <v>36698</v>
      </c>
      <c r="W127" s="32">
        <v>54762.86</v>
      </c>
      <c r="X127" s="10">
        <v>52948.6035</v>
      </c>
      <c r="Y127" s="10">
        <f t="shared" si="53"/>
        <v>0.967669785327157</v>
      </c>
      <c r="Z127" s="10">
        <f t="shared" ref="Z127:Z148" si="62">(I127/E127)*10000</f>
        <v>52984.4054257724</v>
      </c>
      <c r="AA127" s="10">
        <f t="shared" si="54"/>
        <v>0.560964581763376</v>
      </c>
      <c r="AB127" s="10">
        <f t="shared" si="52"/>
        <v>0.0199974076865109</v>
      </c>
      <c r="AC127" s="10">
        <f t="shared" si="59"/>
        <v>0.205691486579851</v>
      </c>
      <c r="AD127" s="10">
        <f t="shared" si="56"/>
        <v>0.0181194155195336</v>
      </c>
      <c r="AE127" s="10">
        <f t="shared" si="58"/>
        <v>8.22646113916782</v>
      </c>
      <c r="AF127" s="10">
        <f t="shared" si="57"/>
        <v>0.0846520560312912</v>
      </c>
      <c r="AG127" s="10">
        <f t="shared" si="50"/>
        <v>0.00775150909586372</v>
      </c>
      <c r="AH127" s="10">
        <f t="shared" si="34"/>
        <v>0.0750168677418201</v>
      </c>
      <c r="AI127" s="10">
        <f t="shared" si="35"/>
        <v>313.267233238905</v>
      </c>
      <c r="AJ127" s="10">
        <f t="shared" si="61"/>
        <v>0.996753345059277</v>
      </c>
      <c r="AK127" s="10">
        <f t="shared" si="60"/>
        <v>24.7342917849844</v>
      </c>
      <c r="AL127" s="10">
        <f t="shared" si="47"/>
        <v>0.416582025174995</v>
      </c>
      <c r="AM127" s="10">
        <f t="shared" si="51"/>
        <v>0.296881064253214</v>
      </c>
      <c r="AN127" s="10">
        <f t="shared" si="55"/>
        <v>2.6039877953594</v>
      </c>
    </row>
    <row r="128" ht="16" spans="1:40">
      <c r="A128" s="14">
        <v>2019</v>
      </c>
      <c r="B128" s="15">
        <v>430000</v>
      </c>
      <c r="C128" s="16" t="s">
        <v>53</v>
      </c>
      <c r="D128" s="24">
        <v>39894.1</v>
      </c>
      <c r="E128" s="25">
        <v>6640</v>
      </c>
      <c r="F128" s="26">
        <v>21.18</v>
      </c>
      <c r="G128" s="27">
        <v>3815</v>
      </c>
      <c r="H128" s="10">
        <v>1407108</v>
      </c>
      <c r="I128" s="30">
        <v>38705.823453</v>
      </c>
      <c r="J128" s="31">
        <v>7986.11</v>
      </c>
      <c r="K128" s="24">
        <v>7871637.8</v>
      </c>
      <c r="L128" s="10">
        <v>3666.48</v>
      </c>
      <c r="M128" s="10">
        <v>4335.6959</v>
      </c>
      <c r="N128" s="10">
        <v>490.69</v>
      </c>
      <c r="O128" s="10">
        <v>4570.6063</v>
      </c>
      <c r="P128" s="19">
        <v>240566</v>
      </c>
      <c r="Q128" s="19">
        <v>189740</v>
      </c>
      <c r="R128" s="38">
        <v>42159.45</v>
      </c>
      <c r="S128" s="20">
        <v>16683.9</v>
      </c>
      <c r="T128" s="39">
        <v>11995.8</v>
      </c>
      <c r="U128" s="22">
        <v>15395</v>
      </c>
      <c r="V128" s="22">
        <v>39842</v>
      </c>
      <c r="W128" s="32">
        <v>60104.17</v>
      </c>
      <c r="X128" s="10">
        <v>57540.26</v>
      </c>
      <c r="Y128" s="10">
        <f t="shared" si="53"/>
        <v>0.97021422849494</v>
      </c>
      <c r="Z128" s="10">
        <f t="shared" si="62"/>
        <v>58291.9027906627</v>
      </c>
      <c r="AA128" s="10">
        <f t="shared" si="54"/>
        <v>0.574548192771084</v>
      </c>
      <c r="AB128" s="10">
        <f t="shared" si="52"/>
        <v>0.0211913855421687</v>
      </c>
      <c r="AC128" s="10">
        <f t="shared" si="59"/>
        <v>0.200182733787703</v>
      </c>
      <c r="AD128" s="10">
        <f t="shared" si="56"/>
        <v>0.0197313332046593</v>
      </c>
      <c r="AE128" s="10">
        <f t="shared" si="58"/>
        <v>8.20698735272558</v>
      </c>
      <c r="AF128" s="10">
        <f t="shared" si="57"/>
        <v>0.108680128139249</v>
      </c>
      <c r="AG128" s="10">
        <f t="shared" si="50"/>
        <v>0.0122998137569215</v>
      </c>
      <c r="AH128" s="10">
        <f t="shared" si="34"/>
        <v>0.114568477544299</v>
      </c>
      <c r="AI128" s="10">
        <f t="shared" si="35"/>
        <v>313.503305004721</v>
      </c>
      <c r="AJ128" s="10">
        <f t="shared" si="61"/>
        <v>1.05678408586733</v>
      </c>
      <c r="AK128" s="10">
        <f t="shared" si="60"/>
        <v>24.5441597521007</v>
      </c>
      <c r="AL128" s="10">
        <f t="shared" si="47"/>
        <v>0.418204696935136</v>
      </c>
      <c r="AM128" s="10">
        <f t="shared" si="51"/>
        <v>0.300691079633329</v>
      </c>
      <c r="AN128" s="10">
        <f t="shared" si="55"/>
        <v>2.58798311139981</v>
      </c>
    </row>
    <row r="129" ht="16" spans="1:40">
      <c r="A129" s="14">
        <v>2020</v>
      </c>
      <c r="B129" s="15">
        <v>430000</v>
      </c>
      <c r="C129" s="16" t="s">
        <v>53</v>
      </c>
      <c r="D129" s="24">
        <v>41542.6</v>
      </c>
      <c r="E129" s="25">
        <v>6645</v>
      </c>
      <c r="F129" s="26">
        <v>21.18</v>
      </c>
      <c r="G129" s="27">
        <v>3905</v>
      </c>
      <c r="H129" s="10">
        <v>1510332</v>
      </c>
      <c r="I129" s="30">
        <v>41647.466035428</v>
      </c>
      <c r="J129" s="31">
        <v>8332.87</v>
      </c>
      <c r="K129" s="24">
        <v>8987000.96</v>
      </c>
      <c r="L129" s="10">
        <v>3280</v>
      </c>
      <c r="M129" s="10">
        <v>4875.5315</v>
      </c>
      <c r="N129" s="10">
        <v>735.95</v>
      </c>
      <c r="O129" s="10">
        <v>6100.4653</v>
      </c>
      <c r="P129" s="19">
        <v>241138</v>
      </c>
      <c r="Q129" s="19">
        <v>200878</v>
      </c>
      <c r="R129" s="38">
        <v>49165.68</v>
      </c>
      <c r="S129" s="20">
        <v>16258.1</v>
      </c>
      <c r="T129" s="39">
        <v>12401.4</v>
      </c>
      <c r="U129" s="22">
        <v>16585</v>
      </c>
      <c r="V129" s="22">
        <v>41698</v>
      </c>
      <c r="W129" s="32">
        <v>62537</v>
      </c>
      <c r="X129" s="10">
        <v>62900.25</v>
      </c>
      <c r="Y129" s="10">
        <f t="shared" si="53"/>
        <v>1.00252430120955</v>
      </c>
      <c r="Z129" s="10">
        <f t="shared" si="62"/>
        <v>62674.8924536162</v>
      </c>
      <c r="AA129" s="10">
        <f t="shared" ref="AA129:AA152" si="63">G129/E129</f>
        <v>0.587659894657637</v>
      </c>
      <c r="AB129" s="10">
        <f t="shared" si="52"/>
        <v>0.022728848758465</v>
      </c>
      <c r="AC129" s="10">
        <f t="shared" si="59"/>
        <v>0.200586145306264</v>
      </c>
      <c r="AD129" s="10">
        <f t="shared" si="56"/>
        <v>0.021633217372047</v>
      </c>
      <c r="AE129" s="10">
        <f t="shared" si="58"/>
        <v>8.09559870137819</v>
      </c>
      <c r="AF129" s="10">
        <f t="shared" si="57"/>
        <v>0.117362213727595</v>
      </c>
      <c r="AG129" s="10">
        <f t="shared" si="50"/>
        <v>0.0177155498211474</v>
      </c>
      <c r="AH129" s="10">
        <f t="shared" si="34"/>
        <v>0.146848423064517</v>
      </c>
      <c r="AI129" s="10">
        <f t="shared" si="35"/>
        <v>313.739376770538</v>
      </c>
      <c r="AJ129" s="10">
        <f t="shared" si="61"/>
        <v>1.18350031052462</v>
      </c>
      <c r="AK129" s="10">
        <f t="shared" si="60"/>
        <v>24.6035777002889</v>
      </c>
      <c r="AL129" s="10">
        <f t="shared" si="47"/>
        <v>0.391359712680477</v>
      </c>
      <c r="AM129" s="10">
        <f t="shared" ref="AM129:AM160" si="64">T129/D129</f>
        <v>0.29852248053805</v>
      </c>
      <c r="AN129" s="10">
        <f t="shared" si="55"/>
        <v>2.51419957793187</v>
      </c>
    </row>
    <row r="130" ht="16" spans="1:40">
      <c r="A130" s="14">
        <v>2021</v>
      </c>
      <c r="B130" s="15">
        <v>430000</v>
      </c>
      <c r="C130" s="16" t="s">
        <v>53</v>
      </c>
      <c r="D130" s="24">
        <v>45713.5</v>
      </c>
      <c r="E130" s="25">
        <v>6622</v>
      </c>
      <c r="F130" s="26">
        <v>21.18</v>
      </c>
      <c r="G130" s="27">
        <v>3954</v>
      </c>
      <c r="H130" s="10">
        <v>1596103</v>
      </c>
      <c r="I130" s="30">
        <v>44979.2633182623</v>
      </c>
      <c r="J130" s="31">
        <v>8255.22</v>
      </c>
      <c r="K130" s="24">
        <v>10289088.24</v>
      </c>
      <c r="L130" s="10">
        <v>3258</v>
      </c>
      <c r="M130" s="10">
        <v>5961.186</v>
      </c>
      <c r="N130" s="10">
        <v>1261.26</v>
      </c>
      <c r="O130" s="10">
        <v>932.34</v>
      </c>
      <c r="P130" s="19">
        <v>241940</v>
      </c>
      <c r="Q130" s="19">
        <v>224465</v>
      </c>
      <c r="R130" s="38">
        <v>55508.7</v>
      </c>
      <c r="S130" s="20">
        <v>18596.9</v>
      </c>
      <c r="T130" s="39">
        <v>13959</v>
      </c>
      <c r="U130" s="22">
        <v>18295</v>
      </c>
      <c r="V130" s="22">
        <v>44866</v>
      </c>
      <c r="W130" s="32">
        <v>68913</v>
      </c>
      <c r="X130" s="10">
        <v>69440</v>
      </c>
      <c r="Y130" s="10">
        <f t="shared" si="53"/>
        <v>0.983938296526459</v>
      </c>
      <c r="Z130" s="10">
        <f t="shared" si="62"/>
        <v>67923.9856814592</v>
      </c>
      <c r="AA130" s="10">
        <f t="shared" si="63"/>
        <v>0.59710057384476</v>
      </c>
      <c r="AB130" s="10">
        <f t="shared" ref="AB130:AB167" si="65">H130/(E130*10000)</f>
        <v>0.0241030353367563</v>
      </c>
      <c r="AC130" s="10">
        <f t="shared" si="59"/>
        <v>0.180586041322585</v>
      </c>
      <c r="AD130" s="10">
        <f t="shared" si="56"/>
        <v>0.0225077673772518</v>
      </c>
      <c r="AE130" s="10">
        <f t="shared" si="58"/>
        <v>8.08886878916199</v>
      </c>
      <c r="AF130" s="10">
        <f t="shared" si="57"/>
        <v>0.130403185054743</v>
      </c>
      <c r="AG130" s="10">
        <f t="shared" si="50"/>
        <v>0.0275905367123497</v>
      </c>
      <c r="AH130" s="10">
        <f t="shared" si="34"/>
        <v>0.0203952880440133</v>
      </c>
      <c r="AI130" s="10">
        <f t="shared" si="35"/>
        <v>312.653446647781</v>
      </c>
      <c r="AJ130" s="10">
        <f t="shared" si="61"/>
        <v>1.21427368282892</v>
      </c>
      <c r="AK130" s="10">
        <f t="shared" si="60"/>
        <v>24.7179201125198</v>
      </c>
      <c r="AL130" s="10">
        <f t="shared" si="47"/>
        <v>0.406814179618712</v>
      </c>
      <c r="AM130" s="10">
        <f t="shared" si="64"/>
        <v>0.305358373347042</v>
      </c>
      <c r="AN130" s="10">
        <f t="shared" si="55"/>
        <v>2.45236403388904</v>
      </c>
    </row>
    <row r="131" ht="16" spans="1:40">
      <c r="A131" s="14">
        <v>2022</v>
      </c>
      <c r="B131" s="15">
        <v>430000</v>
      </c>
      <c r="C131" s="16" t="s">
        <v>53</v>
      </c>
      <c r="D131" s="24">
        <v>47558.6</v>
      </c>
      <c r="E131" s="25">
        <v>6604</v>
      </c>
      <c r="F131" s="26">
        <v>21.18</v>
      </c>
      <c r="G131" s="27">
        <v>3983</v>
      </c>
      <c r="H131" s="10">
        <v>1685091</v>
      </c>
      <c r="I131" s="30">
        <v>47947.8946972676</v>
      </c>
      <c r="J131" s="31">
        <v>8916.35</v>
      </c>
      <c r="K131" s="24">
        <v>11752512.08</v>
      </c>
      <c r="L131" s="10">
        <v>3219</v>
      </c>
      <c r="M131" s="10">
        <v>7068.4585</v>
      </c>
      <c r="N131" s="10">
        <v>2542.89</v>
      </c>
      <c r="O131" s="10">
        <v>995.0559</v>
      </c>
      <c r="P131" s="35">
        <v>242420</v>
      </c>
      <c r="Q131" s="35">
        <v>213251</v>
      </c>
      <c r="R131" s="38">
        <v>62072.08</v>
      </c>
      <c r="S131" s="20">
        <v>19050.7</v>
      </c>
      <c r="T131" s="39">
        <v>13837</v>
      </c>
      <c r="U131" s="22">
        <v>19546</v>
      </c>
      <c r="V131" s="22">
        <v>47301</v>
      </c>
      <c r="W131" s="32">
        <v>71917</v>
      </c>
      <c r="X131" s="10">
        <v>73598</v>
      </c>
      <c r="Y131" s="10">
        <f t="shared" si="53"/>
        <v>1.00818557941713</v>
      </c>
      <c r="Z131" s="10">
        <f t="shared" si="62"/>
        <v>72604.3226790848</v>
      </c>
      <c r="AA131" s="10">
        <f t="shared" si="63"/>
        <v>0.603119321623259</v>
      </c>
      <c r="AB131" s="10">
        <f t="shared" si="65"/>
        <v>0.0255162174439733</v>
      </c>
      <c r="AC131" s="10">
        <f t="shared" si="59"/>
        <v>0.187481338811487</v>
      </c>
      <c r="AD131" s="10">
        <f t="shared" si="56"/>
        <v>0.0247116443293116</v>
      </c>
      <c r="AE131" s="10">
        <f t="shared" si="58"/>
        <v>8.07682603129881</v>
      </c>
      <c r="AF131" s="10">
        <f t="shared" si="57"/>
        <v>0.148626294718516</v>
      </c>
      <c r="AG131" s="10">
        <f t="shared" si="50"/>
        <v>0.0534685629938644</v>
      </c>
      <c r="AH131" s="10">
        <f t="shared" ref="AH131:AH194" si="66">O131/D131</f>
        <v>0.0209227332175464</v>
      </c>
      <c r="AI131" s="10">
        <f t="shared" ref="AI131:AI194" si="67">E131/F131</f>
        <v>311.80358829084</v>
      </c>
      <c r="AJ131" s="10">
        <f t="shared" si="61"/>
        <v>1.30517046338622</v>
      </c>
      <c r="AK131" s="10">
        <f t="shared" si="60"/>
        <v>24.6686521926992</v>
      </c>
      <c r="AL131" s="10">
        <f t="shared" si="47"/>
        <v>0.400573187604345</v>
      </c>
      <c r="AM131" s="10">
        <f t="shared" si="64"/>
        <v>0.290946327267834</v>
      </c>
      <c r="AN131" s="10">
        <f t="shared" si="55"/>
        <v>2.41998362836386</v>
      </c>
    </row>
    <row r="132" ht="16" spans="1:40">
      <c r="A132" s="14">
        <v>2013</v>
      </c>
      <c r="B132" s="15">
        <v>220000</v>
      </c>
      <c r="C132" s="16" t="s">
        <v>54</v>
      </c>
      <c r="D132" s="24">
        <v>9427.9</v>
      </c>
      <c r="E132" s="25">
        <v>2668</v>
      </c>
      <c r="F132" s="26">
        <v>18.74</v>
      </c>
      <c r="G132" s="27">
        <v>1487</v>
      </c>
      <c r="H132" s="10">
        <v>599526</v>
      </c>
      <c r="I132" s="30">
        <v>9979.3</v>
      </c>
      <c r="J132" s="31">
        <v>2742.59</v>
      </c>
      <c r="K132" s="24">
        <v>1182863</v>
      </c>
      <c r="L132" s="10">
        <v>1457</v>
      </c>
      <c r="M132" s="10">
        <v>1599.811</v>
      </c>
      <c r="N132" s="10">
        <v>34.72</v>
      </c>
      <c r="O132" s="10">
        <v>295.4645</v>
      </c>
      <c r="P132" s="19">
        <v>94191</v>
      </c>
      <c r="Q132" s="19">
        <v>44811.3</v>
      </c>
      <c r="R132" s="38">
        <v>10696.52</v>
      </c>
      <c r="S132" s="20">
        <v>5426.4</v>
      </c>
      <c r="T132" s="39">
        <v>2852.7</v>
      </c>
      <c r="U132" s="22">
        <v>9781</v>
      </c>
      <c r="V132" s="22">
        <v>21331</v>
      </c>
      <c r="W132" s="32">
        <v>35139</v>
      </c>
      <c r="X132" s="10">
        <v>47428</v>
      </c>
      <c r="Y132" s="10">
        <f t="shared" si="53"/>
        <v>1.05848598309274</v>
      </c>
      <c r="Z132" s="10">
        <f t="shared" si="62"/>
        <v>37403.6731634183</v>
      </c>
      <c r="AA132" s="10">
        <f t="shared" si="63"/>
        <v>0.557346326836582</v>
      </c>
      <c r="AB132" s="10">
        <f t="shared" si="65"/>
        <v>0.0224709895052474</v>
      </c>
      <c r="AC132" s="10">
        <f t="shared" si="59"/>
        <v>0.290901473286734</v>
      </c>
      <c r="AD132" s="10">
        <f t="shared" si="56"/>
        <v>0.0125464101231451</v>
      </c>
      <c r="AE132" s="10">
        <f t="shared" si="58"/>
        <v>7.2841348061952</v>
      </c>
      <c r="AF132" s="10">
        <f t="shared" si="57"/>
        <v>0.169689008156641</v>
      </c>
      <c r="AG132" s="10">
        <f t="shared" si="50"/>
        <v>0.00368268649434126</v>
      </c>
      <c r="AH132" s="10">
        <f t="shared" si="66"/>
        <v>0.0313393756828138</v>
      </c>
      <c r="AI132" s="10">
        <f t="shared" si="67"/>
        <v>142.369263607257</v>
      </c>
      <c r="AJ132" s="10">
        <f t="shared" si="61"/>
        <v>1.13456018837705</v>
      </c>
      <c r="AK132" s="10">
        <f t="shared" si="60"/>
        <v>22.1632955333396</v>
      </c>
      <c r="AL132" s="10">
        <f t="shared" si="47"/>
        <v>0.575568260163981</v>
      </c>
      <c r="AM132" s="10">
        <f t="shared" si="64"/>
        <v>0.302580638318183</v>
      </c>
      <c r="AN132" s="10">
        <f t="shared" si="55"/>
        <v>2.18086085267355</v>
      </c>
    </row>
    <row r="133" ht="16" spans="1:40">
      <c r="A133" s="14">
        <v>2014</v>
      </c>
      <c r="B133" s="15">
        <v>220000</v>
      </c>
      <c r="C133" s="16" t="s">
        <v>54</v>
      </c>
      <c r="D133" s="24">
        <v>9966.5</v>
      </c>
      <c r="E133" s="25">
        <v>2642</v>
      </c>
      <c r="F133" s="26">
        <v>18.74</v>
      </c>
      <c r="G133" s="27">
        <v>1501</v>
      </c>
      <c r="H133" s="10">
        <v>618273</v>
      </c>
      <c r="I133" s="30">
        <v>11339.62</v>
      </c>
      <c r="J133" s="31">
        <v>2910.67</v>
      </c>
      <c r="K133" s="24">
        <v>1307243</v>
      </c>
      <c r="L133" s="10">
        <v>1427.01</v>
      </c>
      <c r="M133" s="10">
        <v>1620.5189</v>
      </c>
      <c r="N133" s="10">
        <v>28.58</v>
      </c>
      <c r="O133" s="10">
        <v>328.1991</v>
      </c>
      <c r="P133" s="19">
        <v>96041</v>
      </c>
      <c r="Q133" s="19">
        <v>48311.3</v>
      </c>
      <c r="R133" s="38">
        <v>12587.26</v>
      </c>
      <c r="S133" s="20">
        <v>6080.9</v>
      </c>
      <c r="T133" s="39">
        <v>3065</v>
      </c>
      <c r="U133" s="22">
        <v>10780</v>
      </c>
      <c r="V133" s="22">
        <v>23218</v>
      </c>
      <c r="W133" s="32">
        <v>37539</v>
      </c>
      <c r="X133" s="10">
        <v>50160</v>
      </c>
      <c r="Y133" s="10">
        <f t="shared" ref="Y133:Y152" si="68">I133/D133</f>
        <v>1.13777354136357</v>
      </c>
      <c r="Z133" s="10">
        <f t="shared" si="62"/>
        <v>42920.5904617714</v>
      </c>
      <c r="AA133" s="10">
        <f t="shared" si="63"/>
        <v>0.568130204390613</v>
      </c>
      <c r="AB133" s="10">
        <f t="shared" si="65"/>
        <v>0.0234017032551098</v>
      </c>
      <c r="AC133" s="10">
        <f t="shared" si="59"/>
        <v>0.292045351928962</v>
      </c>
      <c r="AD133" s="10">
        <f t="shared" si="56"/>
        <v>0.0131163698389605</v>
      </c>
      <c r="AE133" s="10">
        <f t="shared" ref="AE133:AE178" si="69">LN(L133)</f>
        <v>7.26333662516076</v>
      </c>
      <c r="AF133" s="10">
        <f t="shared" si="57"/>
        <v>0.162596588571715</v>
      </c>
      <c r="AG133" s="10">
        <f t="shared" si="50"/>
        <v>0.00286760648171374</v>
      </c>
      <c r="AH133" s="10">
        <f t="shared" si="66"/>
        <v>0.0329302262579642</v>
      </c>
      <c r="AI133" s="10">
        <f t="shared" si="67"/>
        <v>140.981856990395</v>
      </c>
      <c r="AJ133" s="10">
        <f t="shared" si="61"/>
        <v>1.26295690563387</v>
      </c>
      <c r="AK133" s="10">
        <f t="shared" si="60"/>
        <v>22.2579512293381</v>
      </c>
      <c r="AL133" s="10">
        <f t="shared" si="47"/>
        <v>0.61013394872824</v>
      </c>
      <c r="AM133" s="10">
        <f t="shared" si="64"/>
        <v>0.307530226257964</v>
      </c>
      <c r="AN133" s="10">
        <f t="shared" si="55"/>
        <v>2.15380333951762</v>
      </c>
    </row>
    <row r="134" ht="16" spans="1:40">
      <c r="A134" s="14">
        <v>2015</v>
      </c>
      <c r="B134" s="15">
        <v>220000</v>
      </c>
      <c r="C134" s="16" t="s">
        <v>54</v>
      </c>
      <c r="D134" s="24">
        <v>10018</v>
      </c>
      <c r="E134" s="25">
        <v>2613</v>
      </c>
      <c r="F134" s="26">
        <v>18.74</v>
      </c>
      <c r="G134" s="27">
        <v>1506</v>
      </c>
      <c r="H134" s="10">
        <v>632723</v>
      </c>
      <c r="I134" s="30">
        <v>12705.29</v>
      </c>
      <c r="J134" s="31">
        <v>3213.85</v>
      </c>
      <c r="K134" s="24">
        <v>1414089</v>
      </c>
      <c r="L134" s="10">
        <v>1399</v>
      </c>
      <c r="M134" s="10">
        <v>1175.7594</v>
      </c>
      <c r="N134" s="10">
        <v>26.47</v>
      </c>
      <c r="O134" s="10">
        <v>387.2573</v>
      </c>
      <c r="P134" s="19">
        <v>97326</v>
      </c>
      <c r="Q134" s="19">
        <v>43333</v>
      </c>
      <c r="R134" s="38">
        <v>15203.11</v>
      </c>
      <c r="S134" s="20">
        <v>3571.7</v>
      </c>
      <c r="T134" s="39">
        <v>3090.7</v>
      </c>
      <c r="U134" s="22">
        <v>11326</v>
      </c>
      <c r="V134" s="22">
        <v>24901</v>
      </c>
      <c r="W134" s="32">
        <v>38128</v>
      </c>
      <c r="X134" s="10">
        <v>51086</v>
      </c>
      <c r="Y134" s="10">
        <f t="shared" si="68"/>
        <v>1.26824615691755</v>
      </c>
      <c r="Z134" s="10">
        <f t="shared" si="62"/>
        <v>48623.3830845771</v>
      </c>
      <c r="AA134" s="10">
        <f t="shared" si="63"/>
        <v>0.576349024110218</v>
      </c>
      <c r="AB134" s="10">
        <f t="shared" si="65"/>
        <v>0.0242144278606965</v>
      </c>
      <c r="AC134" s="10">
        <f t="shared" si="59"/>
        <v>0.32080754641645</v>
      </c>
      <c r="AD134" s="10">
        <f t="shared" si="56"/>
        <v>0.0141154821321621</v>
      </c>
      <c r="AE134" s="10">
        <f t="shared" si="69"/>
        <v>7.24351297466548</v>
      </c>
      <c r="AF134" s="10">
        <f t="shared" si="57"/>
        <v>0.117364683569575</v>
      </c>
      <c r="AG134" s="10">
        <f t="shared" si="50"/>
        <v>0.00264224396087043</v>
      </c>
      <c r="AH134" s="10">
        <f t="shared" si="66"/>
        <v>0.0386561489319225</v>
      </c>
      <c r="AI134" s="10">
        <f t="shared" si="67"/>
        <v>139.434364994664</v>
      </c>
      <c r="AJ134" s="10">
        <f t="shared" si="61"/>
        <v>1.51757935715712</v>
      </c>
      <c r="AK134" s="10">
        <f t="shared" si="60"/>
        <v>22.1624911957105</v>
      </c>
      <c r="AL134" s="10">
        <f t="shared" si="47"/>
        <v>0.356528249151527</v>
      </c>
      <c r="AM134" s="10">
        <f t="shared" si="64"/>
        <v>0.308514673587542</v>
      </c>
      <c r="AN134" s="10">
        <f t="shared" si="55"/>
        <v>2.19856966272294</v>
      </c>
    </row>
    <row r="135" ht="16" spans="1:40">
      <c r="A135" s="14">
        <v>2016</v>
      </c>
      <c r="B135" s="15">
        <v>220000</v>
      </c>
      <c r="C135" s="16" t="s">
        <v>54</v>
      </c>
      <c r="D135" s="24">
        <v>10427</v>
      </c>
      <c r="E135" s="25">
        <v>2567</v>
      </c>
      <c r="F135" s="26">
        <v>18.74</v>
      </c>
      <c r="G135" s="27">
        <v>1508</v>
      </c>
      <c r="H135" s="10">
        <v>642263</v>
      </c>
      <c r="I135" s="30">
        <v>13923.2</v>
      </c>
      <c r="J135" s="31">
        <v>3582.96</v>
      </c>
      <c r="K135" s="24">
        <v>1396668</v>
      </c>
      <c r="L135" s="10">
        <v>1367.99</v>
      </c>
      <c r="M135" s="10">
        <v>1225.696</v>
      </c>
      <c r="N135" s="10">
        <v>116.42</v>
      </c>
      <c r="O135" s="10">
        <v>310.3429</v>
      </c>
      <c r="P135" s="19">
        <v>102484</v>
      </c>
      <c r="Q135" s="19">
        <v>45059.5</v>
      </c>
      <c r="R135" s="38">
        <v>17141.06</v>
      </c>
      <c r="S135" s="20">
        <v>3812.9</v>
      </c>
      <c r="T135" s="39">
        <v>3148.2</v>
      </c>
      <c r="U135" s="22">
        <v>12123</v>
      </c>
      <c r="V135" s="22">
        <v>26530</v>
      </c>
      <c r="W135" s="32">
        <v>40259</v>
      </c>
      <c r="X135" s="10">
        <v>53868</v>
      </c>
      <c r="Y135" s="10">
        <f t="shared" si="68"/>
        <v>1.3353025798408</v>
      </c>
      <c r="Z135" s="10">
        <f t="shared" si="62"/>
        <v>54239.1897156214</v>
      </c>
      <c r="AA135" s="10">
        <f t="shared" si="63"/>
        <v>0.587456174522789</v>
      </c>
      <c r="AB135" s="10">
        <f t="shared" si="65"/>
        <v>0.0250199844176081</v>
      </c>
      <c r="AC135" s="10">
        <f t="shared" si="59"/>
        <v>0.343623285700585</v>
      </c>
      <c r="AD135" s="10">
        <f t="shared" si="56"/>
        <v>0.0133947252325693</v>
      </c>
      <c r="AE135" s="10">
        <f t="shared" si="69"/>
        <v>7.22109778821426</v>
      </c>
      <c r="AF135" s="10">
        <f t="shared" si="57"/>
        <v>0.117550206195454</v>
      </c>
      <c r="AG135" s="10">
        <f t="shared" si="50"/>
        <v>0.0111652440778747</v>
      </c>
      <c r="AH135" s="10">
        <f t="shared" si="66"/>
        <v>0.0297633931140309</v>
      </c>
      <c r="AI135" s="10">
        <f t="shared" si="67"/>
        <v>136.979722518677</v>
      </c>
      <c r="AJ135" s="10">
        <f t="shared" si="61"/>
        <v>1.64391100028771</v>
      </c>
      <c r="AK135" s="10">
        <f t="shared" si="60"/>
        <v>22.2532010854238</v>
      </c>
      <c r="AL135" s="10">
        <f t="shared" si="47"/>
        <v>0.365675649755443</v>
      </c>
      <c r="AM135" s="10">
        <f t="shared" si="64"/>
        <v>0.301927687733768</v>
      </c>
      <c r="AN135" s="10">
        <f t="shared" si="55"/>
        <v>2.18840221067393</v>
      </c>
    </row>
    <row r="136" ht="16" spans="1:40">
      <c r="A136" s="14">
        <v>2017</v>
      </c>
      <c r="B136" s="15">
        <v>220000</v>
      </c>
      <c r="C136" s="16" t="s">
        <v>54</v>
      </c>
      <c r="D136" s="24">
        <v>10922</v>
      </c>
      <c r="E136" s="25">
        <v>2526</v>
      </c>
      <c r="F136" s="26">
        <v>18.74</v>
      </c>
      <c r="G136" s="27">
        <v>1508</v>
      </c>
      <c r="H136" s="10">
        <v>643872</v>
      </c>
      <c r="I136" s="30">
        <v>13283.89</v>
      </c>
      <c r="J136" s="31">
        <v>3722.42</v>
      </c>
      <c r="K136" s="24">
        <v>1280073</v>
      </c>
      <c r="L136" s="10">
        <v>1339</v>
      </c>
      <c r="M136" s="10">
        <v>1251.9843</v>
      </c>
      <c r="N136" s="10">
        <v>219.92</v>
      </c>
      <c r="O136" s="10">
        <v>543.8946</v>
      </c>
      <c r="P136" s="19">
        <v>103896</v>
      </c>
      <c r="Q136" s="19">
        <v>49903.2</v>
      </c>
      <c r="R136" s="38">
        <v>17959.69</v>
      </c>
      <c r="S136" s="20">
        <v>3992.3</v>
      </c>
      <c r="T136" s="39">
        <v>3235.2</v>
      </c>
      <c r="U136" s="22">
        <v>12950</v>
      </c>
      <c r="V136" s="22">
        <v>28319</v>
      </c>
      <c r="W136" s="32">
        <v>42890</v>
      </c>
      <c r="X136" s="10">
        <v>54838</v>
      </c>
      <c r="Y136" s="10">
        <f t="shared" si="68"/>
        <v>1.21625068668742</v>
      </c>
      <c r="Z136" s="10">
        <f t="shared" si="62"/>
        <v>52588.6381631037</v>
      </c>
      <c r="AA136" s="10">
        <f t="shared" si="63"/>
        <v>0.596991290577989</v>
      </c>
      <c r="AB136" s="10">
        <f t="shared" si="65"/>
        <v>0.0254897862232779</v>
      </c>
      <c r="AC136" s="10">
        <f t="shared" si="59"/>
        <v>0.340818531404505</v>
      </c>
      <c r="AD136" s="10">
        <f t="shared" si="56"/>
        <v>0.0117201336751511</v>
      </c>
      <c r="AE136" s="10">
        <f t="shared" si="69"/>
        <v>7.19967834569117</v>
      </c>
      <c r="AF136" s="10">
        <f t="shared" si="57"/>
        <v>0.114629582494049</v>
      </c>
      <c r="AG136" s="10">
        <f t="shared" si="50"/>
        <v>0.0201355063175243</v>
      </c>
      <c r="AH136" s="10">
        <f t="shared" si="66"/>
        <v>0.0497980772752243</v>
      </c>
      <c r="AI136" s="10">
        <f t="shared" si="67"/>
        <v>134.791889007471</v>
      </c>
      <c r="AJ136" s="10">
        <f t="shared" si="61"/>
        <v>1.64435909174144</v>
      </c>
      <c r="AK136" s="10">
        <f t="shared" si="60"/>
        <v>22.3689860857299</v>
      </c>
      <c r="AL136" s="10">
        <f t="shared" si="47"/>
        <v>0.365528291521699</v>
      </c>
      <c r="AM136" s="10">
        <f t="shared" si="64"/>
        <v>0.296209485442227</v>
      </c>
      <c r="AN136" s="10">
        <f t="shared" si="55"/>
        <v>2.18679536679537</v>
      </c>
    </row>
    <row r="137" ht="16" spans="1:40">
      <c r="A137" s="14">
        <v>2018</v>
      </c>
      <c r="B137" s="15">
        <v>220000</v>
      </c>
      <c r="C137" s="16" t="s">
        <v>54</v>
      </c>
      <c r="D137" s="24">
        <v>11253.8</v>
      </c>
      <c r="E137" s="25">
        <v>2484</v>
      </c>
      <c r="F137" s="26">
        <v>18.74</v>
      </c>
      <c r="G137" s="27">
        <v>1512</v>
      </c>
      <c r="H137" s="10">
        <v>658327</v>
      </c>
      <c r="I137" s="30">
        <v>13496.43224</v>
      </c>
      <c r="J137" s="31">
        <v>3785.49</v>
      </c>
      <c r="K137" s="24">
        <v>1150255.3</v>
      </c>
      <c r="L137" s="10">
        <v>1314.01</v>
      </c>
      <c r="M137" s="10">
        <v>1368.423</v>
      </c>
      <c r="N137" s="10">
        <v>341.95</v>
      </c>
      <c r="O137" s="10">
        <v>1150.4398</v>
      </c>
      <c r="P137" s="19">
        <v>105399</v>
      </c>
      <c r="Q137" s="19">
        <v>52156.3</v>
      </c>
      <c r="R137" s="38">
        <v>18956.37</v>
      </c>
      <c r="S137" s="20">
        <v>4073.8</v>
      </c>
      <c r="T137" s="39">
        <v>3287.2</v>
      </c>
      <c r="U137" s="22">
        <v>13748</v>
      </c>
      <c r="V137" s="22">
        <v>30172</v>
      </c>
      <c r="W137" s="32">
        <v>44925</v>
      </c>
      <c r="X137" s="10">
        <v>55610.924</v>
      </c>
      <c r="Y137" s="10">
        <f t="shared" si="68"/>
        <v>1.19927777639553</v>
      </c>
      <c r="Z137" s="10">
        <f t="shared" si="62"/>
        <v>54333.4631239936</v>
      </c>
      <c r="AA137" s="10">
        <f t="shared" si="63"/>
        <v>0.608695652173913</v>
      </c>
      <c r="AB137" s="10">
        <f t="shared" si="65"/>
        <v>0.0265026972624799</v>
      </c>
      <c r="AC137" s="10">
        <f t="shared" si="59"/>
        <v>0.336374380209352</v>
      </c>
      <c r="AD137" s="10">
        <f t="shared" si="56"/>
        <v>0.0102210391156765</v>
      </c>
      <c r="AE137" s="10">
        <f t="shared" si="69"/>
        <v>7.18083880936567</v>
      </c>
      <c r="AF137" s="10">
        <f t="shared" ref="AF137:AF166" si="70">M137/D137</f>
        <v>0.121596527395191</v>
      </c>
      <c r="AG137" s="10">
        <f t="shared" si="50"/>
        <v>0.0303852920791199</v>
      </c>
      <c r="AH137" s="10">
        <f t="shared" si="66"/>
        <v>0.10222678561908</v>
      </c>
      <c r="AI137" s="10">
        <f t="shared" si="67"/>
        <v>132.550693703308</v>
      </c>
      <c r="AJ137" s="10">
        <f t="shared" si="61"/>
        <v>1.68444169969255</v>
      </c>
      <c r="AK137" s="10">
        <f t="shared" si="60"/>
        <v>22.42750868588</v>
      </c>
      <c r="AL137" s="10">
        <f t="shared" si="47"/>
        <v>0.3619932822691</v>
      </c>
      <c r="AM137" s="10">
        <f t="shared" si="64"/>
        <v>0.292096891716576</v>
      </c>
      <c r="AN137" s="10">
        <f t="shared" si="55"/>
        <v>2.1946464940355</v>
      </c>
    </row>
    <row r="138" ht="16" spans="1:40">
      <c r="A138" s="14">
        <v>2019</v>
      </c>
      <c r="B138" s="15">
        <v>220000</v>
      </c>
      <c r="C138" s="16" t="s">
        <v>54</v>
      </c>
      <c r="D138" s="24">
        <v>11726.8</v>
      </c>
      <c r="E138" s="25">
        <v>2448</v>
      </c>
      <c r="F138" s="26">
        <v>18.74</v>
      </c>
      <c r="G138" s="27">
        <v>1509</v>
      </c>
      <c r="H138" s="10">
        <v>700145</v>
      </c>
      <c r="I138" s="30">
        <v>11310.01021712</v>
      </c>
      <c r="J138" s="31">
        <v>3909.57</v>
      </c>
      <c r="K138" s="24">
        <v>1484000</v>
      </c>
      <c r="L138" s="10">
        <v>1286</v>
      </c>
      <c r="M138" s="10">
        <v>1304.1009</v>
      </c>
      <c r="N138" s="10">
        <v>474.13</v>
      </c>
      <c r="O138" s="10">
        <v>1863.8585</v>
      </c>
      <c r="P138" s="19">
        <v>106660</v>
      </c>
      <c r="Q138" s="19">
        <v>43193</v>
      </c>
      <c r="R138" s="38">
        <v>20863.6</v>
      </c>
      <c r="S138" s="20">
        <v>4212.9</v>
      </c>
      <c r="T138" s="39">
        <v>3347.8</v>
      </c>
      <c r="U138" s="22">
        <v>14936</v>
      </c>
      <c r="V138" s="22">
        <v>32299</v>
      </c>
      <c r="W138" s="32">
        <v>47554</v>
      </c>
      <c r="X138" s="10">
        <v>43475</v>
      </c>
      <c r="Y138" s="10">
        <f t="shared" si="68"/>
        <v>0.964458353269434</v>
      </c>
      <c r="Z138" s="10">
        <f t="shared" si="62"/>
        <v>46201.0221287582</v>
      </c>
      <c r="AA138" s="10">
        <f t="shared" si="63"/>
        <v>0.616421568627451</v>
      </c>
      <c r="AB138" s="10">
        <f t="shared" si="65"/>
        <v>0.0286006944444444</v>
      </c>
      <c r="AC138" s="10">
        <f t="shared" si="59"/>
        <v>0.333387624927517</v>
      </c>
      <c r="AD138" s="10">
        <f t="shared" si="56"/>
        <v>0.0126547736807995</v>
      </c>
      <c r="AE138" s="10">
        <f t="shared" si="69"/>
        <v>7.15929190479756</v>
      </c>
      <c r="AF138" s="10">
        <f t="shared" si="70"/>
        <v>0.11120688508374</v>
      </c>
      <c r="AG138" s="10">
        <f t="shared" si="50"/>
        <v>0.0404313197121124</v>
      </c>
      <c r="AH138" s="10">
        <f t="shared" si="66"/>
        <v>0.158940077429478</v>
      </c>
      <c r="AI138" s="10">
        <f t="shared" si="67"/>
        <v>130.629669156884</v>
      </c>
      <c r="AJ138" s="10">
        <f t="shared" si="61"/>
        <v>1.77913838387284</v>
      </c>
      <c r="AK138" s="10">
        <f t="shared" si="60"/>
        <v>22.2508352082203</v>
      </c>
      <c r="AL138" s="10">
        <f t="shared" ref="AL138:AL179" si="71">S138/D138</f>
        <v>0.359254016440973</v>
      </c>
      <c r="AM138" s="10">
        <f t="shared" si="64"/>
        <v>0.28548282566429</v>
      </c>
      <c r="AN138" s="10">
        <f t="shared" si="55"/>
        <v>2.16249330476701</v>
      </c>
    </row>
    <row r="139" ht="16" spans="1:40">
      <c r="A139" s="14">
        <v>2020</v>
      </c>
      <c r="B139" s="15">
        <v>220000</v>
      </c>
      <c r="C139" s="16" t="s">
        <v>54</v>
      </c>
      <c r="D139" s="24">
        <v>12256</v>
      </c>
      <c r="E139" s="25">
        <v>2399</v>
      </c>
      <c r="F139" s="26">
        <v>18.74</v>
      </c>
      <c r="G139" s="27">
        <v>1503</v>
      </c>
      <c r="H139" s="10">
        <v>1140799</v>
      </c>
      <c r="I139" s="30">
        <v>12248.741065141</v>
      </c>
      <c r="J139" s="31">
        <v>4097.18</v>
      </c>
      <c r="K139" s="24">
        <v>1595000</v>
      </c>
      <c r="L139" s="10">
        <v>1261</v>
      </c>
      <c r="M139" s="10">
        <v>1277.8718</v>
      </c>
      <c r="N139" s="10">
        <v>462.15</v>
      </c>
      <c r="O139" s="10">
        <v>2242.0927</v>
      </c>
      <c r="P139" s="19">
        <v>107848</v>
      </c>
      <c r="Q139" s="19">
        <v>44848</v>
      </c>
      <c r="R139" s="38">
        <v>22739.82</v>
      </c>
      <c r="S139" s="20">
        <v>3824</v>
      </c>
      <c r="T139" s="39">
        <v>3501.2</v>
      </c>
      <c r="U139" s="22">
        <v>16067</v>
      </c>
      <c r="V139" s="22">
        <v>33396</v>
      </c>
      <c r="W139" s="32">
        <v>50561</v>
      </c>
      <c r="X139" s="10">
        <v>50799.75</v>
      </c>
      <c r="Y139" s="10">
        <f t="shared" si="68"/>
        <v>0.999407723983437</v>
      </c>
      <c r="Z139" s="10">
        <f t="shared" si="62"/>
        <v>51057.6951443977</v>
      </c>
      <c r="AA139" s="10">
        <f t="shared" si="63"/>
        <v>0.626511046269279</v>
      </c>
      <c r="AB139" s="10">
        <f t="shared" si="65"/>
        <v>0.0475531054606086</v>
      </c>
      <c r="AC139" s="10">
        <f t="shared" si="59"/>
        <v>0.334299934725849</v>
      </c>
      <c r="AD139" s="10">
        <f t="shared" si="56"/>
        <v>0.0130140339425587</v>
      </c>
      <c r="AE139" s="10">
        <f t="shared" si="69"/>
        <v>7.13966033596492</v>
      </c>
      <c r="AF139" s="10">
        <f t="shared" si="70"/>
        <v>0.104264996736292</v>
      </c>
      <c r="AG139" s="10">
        <f t="shared" si="50"/>
        <v>0.0377080613577023</v>
      </c>
      <c r="AH139" s="10">
        <f t="shared" si="66"/>
        <v>0.182938373041775</v>
      </c>
      <c r="AI139" s="10">
        <f t="shared" si="67"/>
        <v>128.014941302028</v>
      </c>
      <c r="AJ139" s="10">
        <f t="shared" si="61"/>
        <v>1.85540306788512</v>
      </c>
      <c r="AK139" s="10">
        <f t="shared" si="60"/>
        <v>22.2995123807755</v>
      </c>
      <c r="AL139" s="10">
        <f t="shared" si="71"/>
        <v>0.31201044386423</v>
      </c>
      <c r="AM139" s="10">
        <f t="shared" si="64"/>
        <v>0.285672323759791</v>
      </c>
      <c r="AN139" s="10">
        <f>V139/U139</f>
        <v>2.07854608825543</v>
      </c>
    </row>
    <row r="140" ht="16" spans="1:40">
      <c r="A140" s="14">
        <v>2021</v>
      </c>
      <c r="B140" s="15">
        <v>220000</v>
      </c>
      <c r="C140" s="16" t="s">
        <v>54</v>
      </c>
      <c r="D140" s="24">
        <v>13163.8</v>
      </c>
      <c r="E140" s="25">
        <v>2375</v>
      </c>
      <c r="F140" s="26">
        <v>18.74</v>
      </c>
      <c r="G140" s="27">
        <v>1505</v>
      </c>
      <c r="H140" s="10">
        <v>755552</v>
      </c>
      <c r="I140" s="30">
        <v>13596.1025823065</v>
      </c>
      <c r="J140" s="31">
        <v>3671.57</v>
      </c>
      <c r="K140" s="24">
        <v>1837000</v>
      </c>
      <c r="L140" s="10">
        <v>1228.44</v>
      </c>
      <c r="M140" s="10">
        <v>1500.6189</v>
      </c>
      <c r="N140" s="10">
        <v>108.147</v>
      </c>
      <c r="O140" s="10">
        <v>352.66</v>
      </c>
      <c r="P140" s="19">
        <v>108691</v>
      </c>
      <c r="Q140" s="19">
        <v>53587</v>
      </c>
      <c r="R140" s="38">
        <v>24594.72</v>
      </c>
      <c r="S140" s="20">
        <v>4216.6</v>
      </c>
      <c r="T140" s="39">
        <v>3839.5</v>
      </c>
      <c r="U140" s="22">
        <v>17642</v>
      </c>
      <c r="V140" s="22">
        <v>35646</v>
      </c>
      <c r="W140" s="32">
        <v>55148</v>
      </c>
      <c r="X140" s="10">
        <v>55450</v>
      </c>
      <c r="Y140" s="10">
        <f t="shared" si="68"/>
        <v>1.03284025754771</v>
      </c>
      <c r="Z140" s="10">
        <f t="shared" si="62"/>
        <v>57246.7477149747</v>
      </c>
      <c r="AA140" s="10">
        <f t="shared" si="63"/>
        <v>0.633684210526316</v>
      </c>
      <c r="AB140" s="10">
        <f t="shared" si="65"/>
        <v>0.0318127157894737</v>
      </c>
      <c r="AC140" s="10">
        <f t="shared" si="59"/>
        <v>0.278914143332472</v>
      </c>
      <c r="AD140" s="10">
        <f t="shared" si="56"/>
        <v>0.0139549370242635</v>
      </c>
      <c r="AE140" s="10">
        <f t="shared" si="69"/>
        <v>7.11350035071968</v>
      </c>
      <c r="AF140" s="10">
        <f t="shared" si="70"/>
        <v>0.113995875051277</v>
      </c>
      <c r="AG140" s="10">
        <f t="shared" si="50"/>
        <v>0.0082154848903812</v>
      </c>
      <c r="AH140" s="10">
        <f t="shared" si="66"/>
        <v>0.0267901365866999</v>
      </c>
      <c r="AI140" s="10">
        <f t="shared" si="67"/>
        <v>126.734258271078</v>
      </c>
      <c r="AJ140" s="10">
        <f t="shared" si="61"/>
        <v>1.86836019994227</v>
      </c>
      <c r="AK140" s="10">
        <f t="shared" si="60"/>
        <v>22.4853260533219</v>
      </c>
      <c r="AL140" s="10">
        <f t="shared" si="71"/>
        <v>0.320317841352801</v>
      </c>
      <c r="AM140" s="10">
        <f t="shared" si="64"/>
        <v>0.291671098011213</v>
      </c>
      <c r="AN140" s="10">
        <f>V140/U140</f>
        <v>2.02051921550845</v>
      </c>
    </row>
    <row r="141" ht="16" spans="1:40">
      <c r="A141" s="14">
        <v>2022</v>
      </c>
      <c r="B141" s="15">
        <v>220000</v>
      </c>
      <c r="C141" s="16" t="s">
        <v>54</v>
      </c>
      <c r="D141" s="24">
        <v>12818.1</v>
      </c>
      <c r="E141" s="25">
        <v>2348</v>
      </c>
      <c r="F141" s="26">
        <v>18.74</v>
      </c>
      <c r="G141" s="27">
        <v>1496</v>
      </c>
      <c r="H141" s="10">
        <v>788677</v>
      </c>
      <c r="I141" s="30">
        <v>13269.7961203311</v>
      </c>
      <c r="J141" s="31">
        <v>4015.29</v>
      </c>
      <c r="K141" s="24">
        <v>1872793.8</v>
      </c>
      <c r="L141" s="10">
        <v>1184.98</v>
      </c>
      <c r="M141" s="10">
        <v>1573.2348</v>
      </c>
      <c r="N141" s="10">
        <v>36.95</v>
      </c>
      <c r="O141" s="10">
        <v>335.9438</v>
      </c>
      <c r="P141" s="35">
        <v>109761</v>
      </c>
      <c r="Q141" s="35">
        <v>46467</v>
      </c>
      <c r="R141" s="38">
        <v>26313.82</v>
      </c>
      <c r="S141" s="20">
        <v>3807.7</v>
      </c>
      <c r="T141" s="39">
        <v>3528.8</v>
      </c>
      <c r="U141" s="22">
        <v>18134</v>
      </c>
      <c r="V141" s="22">
        <v>35471</v>
      </c>
      <c r="W141" s="32">
        <v>54279</v>
      </c>
      <c r="X141" s="10">
        <v>55347</v>
      </c>
      <c r="Y141" s="10">
        <f t="shared" si="68"/>
        <v>1.03523892935233</v>
      </c>
      <c r="Z141" s="10">
        <f t="shared" si="62"/>
        <v>56515.3156743233</v>
      </c>
      <c r="AA141" s="10">
        <f t="shared" si="63"/>
        <v>0.637137989778535</v>
      </c>
      <c r="AB141" s="10">
        <f t="shared" si="65"/>
        <v>0.0335893100511073</v>
      </c>
      <c r="AC141" s="10">
        <f t="shared" si="59"/>
        <v>0.313251573946217</v>
      </c>
      <c r="AD141" s="10">
        <f t="shared" si="56"/>
        <v>0.0146105413438809</v>
      </c>
      <c r="AE141" s="10">
        <f t="shared" si="69"/>
        <v>7.07748117578967</v>
      </c>
      <c r="AF141" s="10">
        <f t="shared" si="70"/>
        <v>0.122735413204765</v>
      </c>
      <c r="AG141" s="10">
        <f t="shared" si="50"/>
        <v>0.00288264251332101</v>
      </c>
      <c r="AH141" s="10">
        <f t="shared" si="66"/>
        <v>0.0262085488488934</v>
      </c>
      <c r="AI141" s="10">
        <f t="shared" si="67"/>
        <v>125.293489861259</v>
      </c>
      <c r="AJ141" s="10">
        <f t="shared" si="61"/>
        <v>2.05286430906297</v>
      </c>
      <c r="AK141" s="10">
        <f t="shared" si="60"/>
        <v>22.3525582159212</v>
      </c>
      <c r="AL141" s="10">
        <f t="shared" si="71"/>
        <v>0.297056506034436</v>
      </c>
      <c r="AM141" s="10">
        <f t="shared" si="64"/>
        <v>0.275298211123333</v>
      </c>
      <c r="AN141" s="10">
        <f>V141/U141</f>
        <v>1.95604940994816</v>
      </c>
    </row>
    <row r="142" ht="16" spans="1:40">
      <c r="A142" s="14">
        <v>2013</v>
      </c>
      <c r="B142" s="15">
        <v>320000</v>
      </c>
      <c r="C142" s="16" t="s">
        <v>55</v>
      </c>
      <c r="D142" s="24">
        <v>59349.4</v>
      </c>
      <c r="E142" s="25">
        <v>8192</v>
      </c>
      <c r="F142" s="26">
        <v>10.72</v>
      </c>
      <c r="G142" s="27">
        <v>5275</v>
      </c>
      <c r="H142" s="10">
        <v>1684455</v>
      </c>
      <c r="I142" s="30">
        <v>36373.3</v>
      </c>
      <c r="J142" s="31">
        <v>7775.74</v>
      </c>
      <c r="K142" s="24">
        <v>14874500</v>
      </c>
      <c r="L142" s="10">
        <v>4791.9</v>
      </c>
      <c r="M142" s="10">
        <v>34112.286</v>
      </c>
      <c r="N142" s="10">
        <v>527.5</v>
      </c>
      <c r="O142" s="10">
        <v>1402.7972</v>
      </c>
      <c r="P142" s="19">
        <v>156094</v>
      </c>
      <c r="Q142" s="19">
        <v>181775</v>
      </c>
      <c r="R142" s="38">
        <v>61836.53</v>
      </c>
      <c r="S142" s="20">
        <v>20878.2</v>
      </c>
      <c r="T142" s="39">
        <v>25564.4</v>
      </c>
      <c r="U142" s="22">
        <v>13521</v>
      </c>
      <c r="V142" s="22">
        <v>31585</v>
      </c>
      <c r="W142" s="32">
        <v>72767.79</v>
      </c>
      <c r="X142" s="10">
        <v>75354</v>
      </c>
      <c r="Y142" s="10">
        <f t="shared" si="68"/>
        <v>0.61286718989577</v>
      </c>
      <c r="Z142" s="10">
        <f t="shared" si="62"/>
        <v>44401.0009765625</v>
      </c>
      <c r="AA142" s="10">
        <f t="shared" si="63"/>
        <v>0.6439208984375</v>
      </c>
      <c r="AB142" s="10">
        <f t="shared" si="65"/>
        <v>0.0205621948242188</v>
      </c>
      <c r="AC142" s="10">
        <f t="shared" si="59"/>
        <v>0.131016320299784</v>
      </c>
      <c r="AD142" s="10">
        <f t="shared" si="56"/>
        <v>0.0250625954095576</v>
      </c>
      <c r="AE142" s="10">
        <f t="shared" si="69"/>
        <v>8.47468227146402</v>
      </c>
      <c r="AF142" s="10">
        <f t="shared" si="70"/>
        <v>0.574770528429942</v>
      </c>
      <c r="AG142" s="10">
        <f t="shared" si="50"/>
        <v>0.00888804267608434</v>
      </c>
      <c r="AH142" s="10">
        <f t="shared" si="66"/>
        <v>0.0236362490606476</v>
      </c>
      <c r="AI142" s="10">
        <f t="shared" si="67"/>
        <v>764.179104477612</v>
      </c>
      <c r="AJ142" s="10">
        <f t="shared" si="61"/>
        <v>1.04190657361321</v>
      </c>
      <c r="AK142" s="10">
        <f t="shared" si="60"/>
        <v>24.0687386063836</v>
      </c>
      <c r="AL142" s="10">
        <f t="shared" si="71"/>
        <v>0.351784516776918</v>
      </c>
      <c r="AM142" s="10">
        <f t="shared" si="64"/>
        <v>0.430744034480551</v>
      </c>
      <c r="AN142" s="10">
        <f>V142/U142</f>
        <v>2.3359958582945</v>
      </c>
    </row>
    <row r="143" ht="16" spans="1:40">
      <c r="A143" s="14">
        <v>2014</v>
      </c>
      <c r="B143" s="15">
        <v>320000</v>
      </c>
      <c r="C143" s="16" t="s">
        <v>55</v>
      </c>
      <c r="D143" s="24">
        <v>64830.5</v>
      </c>
      <c r="E143" s="25">
        <v>8281</v>
      </c>
      <c r="F143" s="26">
        <v>10.72</v>
      </c>
      <c r="G143" s="27">
        <v>5441</v>
      </c>
      <c r="H143" s="10">
        <v>1698636</v>
      </c>
      <c r="I143" s="30">
        <v>41938.62</v>
      </c>
      <c r="J143" s="31">
        <v>8445.51</v>
      </c>
      <c r="K143" s="24">
        <v>16528200</v>
      </c>
      <c r="L143" s="10">
        <v>4812.82</v>
      </c>
      <c r="M143" s="10">
        <v>34617.939</v>
      </c>
      <c r="N143" s="10">
        <v>543.16</v>
      </c>
      <c r="O143" s="10">
        <v>1680.3303</v>
      </c>
      <c r="P143" s="19">
        <v>157521</v>
      </c>
      <c r="Q143" s="19">
        <v>196153</v>
      </c>
      <c r="R143" s="38">
        <v>69572.67</v>
      </c>
      <c r="S143" s="20">
        <v>23458.1</v>
      </c>
      <c r="T143" s="39">
        <v>27154.5</v>
      </c>
      <c r="U143" s="22">
        <v>14958</v>
      </c>
      <c r="V143" s="22">
        <v>34346</v>
      </c>
      <c r="W143" s="32">
        <v>78711.24</v>
      </c>
      <c r="X143" s="10">
        <v>81874</v>
      </c>
      <c r="Y143" s="10">
        <f t="shared" si="68"/>
        <v>0.646896445345941</v>
      </c>
      <c r="Z143" s="10">
        <f t="shared" si="62"/>
        <v>50644.3907740611</v>
      </c>
      <c r="AA143" s="10">
        <f t="shared" si="63"/>
        <v>0.657046250452844</v>
      </c>
      <c r="AB143" s="10">
        <f t="shared" si="65"/>
        <v>0.0205124501871755</v>
      </c>
      <c r="AC143" s="10">
        <f t="shared" si="59"/>
        <v>0.130270628793546</v>
      </c>
      <c r="AD143" s="10">
        <f t="shared" si="56"/>
        <v>0.0254944817639845</v>
      </c>
      <c r="AE143" s="10">
        <f t="shared" si="69"/>
        <v>8.47903846989194</v>
      </c>
      <c r="AF143" s="10">
        <f t="shared" si="70"/>
        <v>0.53397612234982</v>
      </c>
      <c r="AG143" s="10">
        <f t="shared" si="50"/>
        <v>0.00837815534354972</v>
      </c>
      <c r="AH143" s="10">
        <f t="shared" si="66"/>
        <v>0.025918823701807</v>
      </c>
      <c r="AI143" s="10">
        <f t="shared" si="67"/>
        <v>772.481343283582</v>
      </c>
      <c r="AJ143" s="10">
        <f t="shared" si="61"/>
        <v>1.07314720694735</v>
      </c>
      <c r="AK143" s="10">
        <f t="shared" ref="AK143:AK174" si="72">LN(P143)+LN(Q143)</f>
        <v>24.1539643076313</v>
      </c>
      <c r="AL143" s="10">
        <f t="shared" si="71"/>
        <v>0.361837406776132</v>
      </c>
      <c r="AM143" s="10">
        <f t="shared" si="64"/>
        <v>0.418853780242324</v>
      </c>
      <c r="AN143" s="10">
        <f>V143/U143</f>
        <v>2.29616258858136</v>
      </c>
    </row>
    <row r="144" ht="16" spans="1:40">
      <c r="A144" s="14">
        <v>2015</v>
      </c>
      <c r="B144" s="15">
        <v>320000</v>
      </c>
      <c r="C144" s="16" t="s">
        <v>55</v>
      </c>
      <c r="D144" s="24">
        <v>71255.9</v>
      </c>
      <c r="E144" s="25">
        <v>8315</v>
      </c>
      <c r="F144" s="26">
        <v>10.72</v>
      </c>
      <c r="G144" s="27">
        <v>5612</v>
      </c>
      <c r="H144" s="10">
        <v>1715749</v>
      </c>
      <c r="I144" s="30">
        <v>46246.87</v>
      </c>
      <c r="J144" s="31">
        <v>9655.5</v>
      </c>
      <c r="K144" s="24">
        <v>18012300</v>
      </c>
      <c r="L144" s="10">
        <v>4832.5</v>
      </c>
      <c r="M144" s="10">
        <v>33979.687</v>
      </c>
      <c r="N144" s="10">
        <v>572.92</v>
      </c>
      <c r="O144" s="10">
        <v>2316.4872</v>
      </c>
      <c r="P144" s="19">
        <v>158805</v>
      </c>
      <c r="Q144" s="19">
        <v>198998</v>
      </c>
      <c r="R144" s="38">
        <v>78866.34</v>
      </c>
      <c r="S144" s="20">
        <v>26710.1</v>
      </c>
      <c r="T144" s="39">
        <v>28802.6</v>
      </c>
      <c r="U144" s="22">
        <v>16257</v>
      </c>
      <c r="V144" s="22">
        <v>37173</v>
      </c>
      <c r="W144" s="32">
        <v>85871.21</v>
      </c>
      <c r="X144" s="10">
        <v>87995</v>
      </c>
      <c r="Y144" s="10">
        <f t="shared" si="68"/>
        <v>0.649025133357378</v>
      </c>
      <c r="Z144" s="10">
        <f t="shared" si="62"/>
        <v>55618.6049308479</v>
      </c>
      <c r="AA144" s="10">
        <f t="shared" si="63"/>
        <v>0.6749248346362</v>
      </c>
      <c r="AB144" s="10">
        <f t="shared" si="65"/>
        <v>0.0206343836440168</v>
      </c>
      <c r="AC144" s="10">
        <f t="shared" si="59"/>
        <v>0.135504568744483</v>
      </c>
      <c r="AD144" s="10">
        <f t="shared" si="56"/>
        <v>0.0252783278296955</v>
      </c>
      <c r="AE144" s="10">
        <f t="shared" si="69"/>
        <v>8.48311921108249</v>
      </c>
      <c r="AF144" s="10">
        <f t="shared" si="70"/>
        <v>0.476868399669361</v>
      </c>
      <c r="AG144" s="10">
        <f t="shared" si="50"/>
        <v>0.0080403166614975</v>
      </c>
      <c r="AH144" s="10">
        <f t="shared" si="66"/>
        <v>0.0325094090454264</v>
      </c>
      <c r="AI144" s="10">
        <f t="shared" si="67"/>
        <v>775.652985074627</v>
      </c>
      <c r="AJ144" s="10">
        <f t="shared" si="61"/>
        <v>1.10680434883287</v>
      </c>
      <c r="AK144" s="10">
        <f t="shared" si="72"/>
        <v>24.1764823668505</v>
      </c>
      <c r="AL144" s="10">
        <f t="shared" si="71"/>
        <v>0.374847556483042</v>
      </c>
      <c r="AM144" s="10">
        <f t="shared" si="64"/>
        <v>0.404213545825679</v>
      </c>
      <c r="AN144" s="10">
        <f>V144/U144</f>
        <v>2.2865842406348</v>
      </c>
    </row>
    <row r="145" ht="16" spans="1:40">
      <c r="A145" s="14">
        <v>2016</v>
      </c>
      <c r="B145" s="15">
        <v>320000</v>
      </c>
      <c r="C145" s="16" t="s">
        <v>55</v>
      </c>
      <c r="D145" s="24">
        <v>77350.9</v>
      </c>
      <c r="E145" s="25">
        <v>8381</v>
      </c>
      <c r="F145" s="26">
        <v>10.72</v>
      </c>
      <c r="G145" s="27">
        <v>5777</v>
      </c>
      <c r="H145" s="10">
        <v>1745847</v>
      </c>
      <c r="I145" s="30">
        <v>49663.21</v>
      </c>
      <c r="J145" s="31">
        <v>9945.81</v>
      </c>
      <c r="K145" s="24">
        <v>20268700</v>
      </c>
      <c r="L145" s="10">
        <v>4850.22</v>
      </c>
      <c r="M145" s="10">
        <v>33828.995</v>
      </c>
      <c r="N145" s="10">
        <v>635.64</v>
      </c>
      <c r="O145" s="10">
        <v>1870.2939</v>
      </c>
      <c r="P145" s="19">
        <v>157304</v>
      </c>
      <c r="Q145" s="19">
        <v>202070</v>
      </c>
      <c r="R145" s="38">
        <v>91107.6</v>
      </c>
      <c r="S145" s="20">
        <v>29612.5</v>
      </c>
      <c r="T145" s="39">
        <v>30291.4</v>
      </c>
      <c r="U145" s="22">
        <v>17606</v>
      </c>
      <c r="V145" s="22">
        <v>40152</v>
      </c>
      <c r="W145" s="32">
        <v>92657.94</v>
      </c>
      <c r="X145" s="10">
        <v>96887</v>
      </c>
      <c r="Y145" s="10">
        <f t="shared" si="68"/>
        <v>0.642050835866163</v>
      </c>
      <c r="Z145" s="10">
        <f t="shared" si="62"/>
        <v>59256.9025175993</v>
      </c>
      <c r="AA145" s="10">
        <f t="shared" si="63"/>
        <v>0.68929721990216</v>
      </c>
      <c r="AB145" s="10">
        <f t="shared" si="65"/>
        <v>0.0208310106192578</v>
      </c>
      <c r="AC145" s="10">
        <f t="shared" si="59"/>
        <v>0.128580404365043</v>
      </c>
      <c r="AD145" s="10">
        <f t="shared" si="56"/>
        <v>0.0262035735847935</v>
      </c>
      <c r="AE145" s="10">
        <f t="shared" si="69"/>
        <v>8.4867793437275</v>
      </c>
      <c r="AF145" s="10">
        <f t="shared" si="70"/>
        <v>0.437344555784096</v>
      </c>
      <c r="AG145" s="10">
        <f t="shared" si="50"/>
        <v>0.00821761608462216</v>
      </c>
      <c r="AH145" s="10">
        <f t="shared" si="66"/>
        <v>0.0241793424510898</v>
      </c>
      <c r="AI145" s="10">
        <f t="shared" si="67"/>
        <v>781.809701492537</v>
      </c>
      <c r="AJ145" s="10">
        <f t="shared" si="61"/>
        <v>1.17784796298427</v>
      </c>
      <c r="AK145" s="10">
        <f t="shared" si="72"/>
        <v>24.1823049688469</v>
      </c>
      <c r="AL145" s="10">
        <f t="shared" si="71"/>
        <v>0.382833296057318</v>
      </c>
      <c r="AM145" s="10">
        <f t="shared" si="64"/>
        <v>0.391610181652702</v>
      </c>
      <c r="AN145" s="10">
        <f>V145/U145</f>
        <v>2.28058616380779</v>
      </c>
    </row>
    <row r="146" ht="16" spans="1:40">
      <c r="A146" s="14">
        <v>2017</v>
      </c>
      <c r="B146" s="15">
        <v>320000</v>
      </c>
      <c r="C146" s="16" t="s">
        <v>55</v>
      </c>
      <c r="D146" s="24">
        <v>85869.8</v>
      </c>
      <c r="E146" s="25">
        <v>8423</v>
      </c>
      <c r="F146" s="26">
        <v>10.72</v>
      </c>
      <c r="G146" s="27">
        <v>5911</v>
      </c>
      <c r="H146" s="10">
        <v>1767877</v>
      </c>
      <c r="I146" s="30">
        <v>53277.03</v>
      </c>
      <c r="J146" s="31">
        <v>10579.81</v>
      </c>
      <c r="K146" s="24">
        <v>22600600</v>
      </c>
      <c r="L146" s="10">
        <v>4872.8</v>
      </c>
      <c r="M146" s="10">
        <v>39888.158</v>
      </c>
      <c r="N146" s="10">
        <v>778.42</v>
      </c>
      <c r="O146" s="10">
        <v>2947.4263</v>
      </c>
      <c r="P146" s="19">
        <v>158475</v>
      </c>
      <c r="Q146" s="19">
        <v>220532</v>
      </c>
      <c r="R146" s="38">
        <v>102113.27</v>
      </c>
      <c r="S146" s="20">
        <v>32818.2</v>
      </c>
      <c r="T146" s="39">
        <v>33782.6</v>
      </c>
      <c r="U146" s="22">
        <v>19158</v>
      </c>
      <c r="V146" s="22">
        <v>43622</v>
      </c>
      <c r="W146" s="32">
        <v>102201.57</v>
      </c>
      <c r="X146" s="10">
        <v>107150</v>
      </c>
      <c r="Y146" s="10">
        <f t="shared" si="68"/>
        <v>0.620439665633319</v>
      </c>
      <c r="Z146" s="10">
        <f t="shared" si="62"/>
        <v>63251.8461355811</v>
      </c>
      <c r="AA146" s="10">
        <f t="shared" si="63"/>
        <v>0.70176896592663</v>
      </c>
      <c r="AB146" s="10">
        <f t="shared" si="65"/>
        <v>0.0209886857414223</v>
      </c>
      <c r="AC146" s="10">
        <f t="shared" si="59"/>
        <v>0.123207577052701</v>
      </c>
      <c r="AD146" s="10">
        <f t="shared" si="56"/>
        <v>0.0263196141134601</v>
      </c>
      <c r="AE146" s="10">
        <f t="shared" si="69"/>
        <v>8.49142399952227</v>
      </c>
      <c r="AF146" s="10">
        <f t="shared" si="70"/>
        <v>0.464519050935253</v>
      </c>
      <c r="AG146" s="10">
        <f t="shared" si="50"/>
        <v>0.00906511951815423</v>
      </c>
      <c r="AH146" s="10">
        <f t="shared" si="66"/>
        <v>0.0343243643283203</v>
      </c>
      <c r="AI146" s="10">
        <f t="shared" si="67"/>
        <v>785.727611940299</v>
      </c>
      <c r="AJ146" s="10">
        <f t="shared" si="61"/>
        <v>1.18916394355175</v>
      </c>
      <c r="AK146" s="10">
        <f t="shared" si="72"/>
        <v>24.2771502192084</v>
      </c>
      <c r="AL146" s="10">
        <f t="shared" si="71"/>
        <v>0.382185587948266</v>
      </c>
      <c r="AM146" s="10">
        <f t="shared" si="64"/>
        <v>0.393416544582612</v>
      </c>
      <c r="AN146" s="10">
        <f>V146/U146</f>
        <v>2.2769600167032</v>
      </c>
    </row>
    <row r="147" ht="16" spans="1:40">
      <c r="A147" s="14">
        <v>2018</v>
      </c>
      <c r="B147" s="15">
        <v>320000</v>
      </c>
      <c r="C147" s="16" t="s">
        <v>55</v>
      </c>
      <c r="D147" s="24">
        <v>93207.6</v>
      </c>
      <c r="E147" s="25">
        <v>8446</v>
      </c>
      <c r="F147" s="26">
        <v>10.72</v>
      </c>
      <c r="G147" s="27">
        <v>6013</v>
      </c>
      <c r="H147" s="10">
        <v>1806277</v>
      </c>
      <c r="I147" s="30">
        <v>56207.26665</v>
      </c>
      <c r="J147" s="31">
        <v>11606.22</v>
      </c>
      <c r="K147" s="24">
        <v>25044292.5</v>
      </c>
      <c r="L147" s="10">
        <v>4886.9</v>
      </c>
      <c r="M147" s="10">
        <v>43933.828</v>
      </c>
      <c r="N147" s="10">
        <v>991.45</v>
      </c>
      <c r="O147" s="10">
        <v>5864.8878</v>
      </c>
      <c r="P147" s="19">
        <v>158729</v>
      </c>
      <c r="Q147" s="19">
        <v>233157</v>
      </c>
      <c r="R147" s="38">
        <v>115719</v>
      </c>
      <c r="S147" s="20">
        <v>35472.6</v>
      </c>
      <c r="T147" s="39">
        <v>36113.2</v>
      </c>
      <c r="U147" s="22">
        <v>20845</v>
      </c>
      <c r="V147" s="22">
        <v>47200</v>
      </c>
      <c r="W147" s="32">
        <v>110507.5</v>
      </c>
      <c r="X147" s="10">
        <v>115168.408</v>
      </c>
      <c r="Y147" s="10">
        <f t="shared" si="68"/>
        <v>0.603033085821328</v>
      </c>
      <c r="Z147" s="10">
        <f t="shared" si="62"/>
        <v>66548.9778001421</v>
      </c>
      <c r="AA147" s="10">
        <f t="shared" si="63"/>
        <v>0.711934643618281</v>
      </c>
      <c r="AB147" s="10">
        <f t="shared" si="65"/>
        <v>0.02138618280843</v>
      </c>
      <c r="AC147" s="10">
        <f t="shared" si="59"/>
        <v>0.124520103510872</v>
      </c>
      <c r="AD147" s="10">
        <f t="shared" si="56"/>
        <v>0.0268693674120994</v>
      </c>
      <c r="AE147" s="10">
        <f t="shared" si="69"/>
        <v>8.49431343460939</v>
      </c>
      <c r="AF147" s="10">
        <f t="shared" si="70"/>
        <v>0.471354567653281</v>
      </c>
      <c r="AG147" s="10">
        <f t="shared" si="50"/>
        <v>0.010637008140967</v>
      </c>
      <c r="AH147" s="10">
        <f t="shared" si="66"/>
        <v>0.0629228496388707</v>
      </c>
      <c r="AI147" s="10">
        <f t="shared" si="67"/>
        <v>787.873134328358</v>
      </c>
      <c r="AJ147" s="10">
        <f t="shared" si="61"/>
        <v>1.24151893193259</v>
      </c>
      <c r="AK147" s="10">
        <f t="shared" si="72"/>
        <v>24.3344209499159</v>
      </c>
      <c r="AL147" s="10">
        <f t="shared" si="71"/>
        <v>0.380576262021552</v>
      </c>
      <c r="AM147" s="10">
        <f t="shared" si="64"/>
        <v>0.387449092134118</v>
      </c>
      <c r="AN147" s="10">
        <f>V147/U147</f>
        <v>2.26433197409451</v>
      </c>
    </row>
    <row r="148" ht="16" spans="1:40">
      <c r="A148" s="14">
        <v>2019</v>
      </c>
      <c r="B148" s="15">
        <v>320000</v>
      </c>
      <c r="C148" s="16" t="s">
        <v>55</v>
      </c>
      <c r="D148" s="24">
        <v>98656.8</v>
      </c>
      <c r="E148" s="25">
        <v>8469</v>
      </c>
      <c r="F148" s="26">
        <v>10.72</v>
      </c>
      <c r="G148" s="27">
        <v>6137</v>
      </c>
      <c r="H148" s="10">
        <v>1874084</v>
      </c>
      <c r="I148" s="30">
        <v>59073.83724915</v>
      </c>
      <c r="J148" s="31">
        <v>12476.32</v>
      </c>
      <c r="K148" s="24">
        <v>27795165</v>
      </c>
      <c r="L148" s="10">
        <v>4903.2</v>
      </c>
      <c r="M148" s="10">
        <v>43427.157</v>
      </c>
      <c r="N148" s="10">
        <v>1471.52</v>
      </c>
      <c r="O148" s="10">
        <v>8972.3387</v>
      </c>
      <c r="P148" s="19">
        <v>159937</v>
      </c>
      <c r="Q148" s="19">
        <v>262749</v>
      </c>
      <c r="R148" s="38">
        <v>133329.87</v>
      </c>
      <c r="S148" s="20">
        <v>37672.5</v>
      </c>
      <c r="T148" s="39">
        <v>37225.7</v>
      </c>
      <c r="U148" s="22">
        <v>22675</v>
      </c>
      <c r="V148" s="22">
        <v>51056</v>
      </c>
      <c r="W148" s="32">
        <v>116650.1</v>
      </c>
      <c r="X148" s="10">
        <v>123607</v>
      </c>
      <c r="Y148" s="10">
        <f t="shared" si="68"/>
        <v>0.598781201591274</v>
      </c>
      <c r="Z148" s="10">
        <f t="shared" si="62"/>
        <v>69753.0254447396</v>
      </c>
      <c r="AA148" s="10">
        <f t="shared" si="63"/>
        <v>0.724642814972252</v>
      </c>
      <c r="AB148" s="10">
        <f t="shared" si="65"/>
        <v>0.0221287519187625</v>
      </c>
      <c r="AC148" s="10">
        <f t="shared" si="59"/>
        <v>0.126461835372726</v>
      </c>
      <c r="AD148" s="10">
        <f t="shared" si="56"/>
        <v>0.0281735926971075</v>
      </c>
      <c r="AE148" s="10">
        <f t="shared" si="69"/>
        <v>8.49764333217152</v>
      </c>
      <c r="AF148" s="10">
        <f t="shared" si="70"/>
        <v>0.440184123142044</v>
      </c>
      <c r="AG148" s="10">
        <f t="shared" si="50"/>
        <v>0.0149155456086149</v>
      </c>
      <c r="AH148" s="10">
        <f t="shared" si="66"/>
        <v>0.0909449596986726</v>
      </c>
      <c r="AI148" s="10">
        <f t="shared" si="67"/>
        <v>790.018656716418</v>
      </c>
      <c r="AJ148" s="10">
        <f t="shared" si="61"/>
        <v>1.35145139513951</v>
      </c>
      <c r="AK148" s="10">
        <f t="shared" si="72"/>
        <v>24.4614897495089</v>
      </c>
      <c r="AL148" s="10">
        <f t="shared" si="71"/>
        <v>0.381854063784757</v>
      </c>
      <c r="AM148" s="10">
        <f t="shared" si="64"/>
        <v>0.377325232523252</v>
      </c>
      <c r="AN148" s="10">
        <f>V148/U148</f>
        <v>2.2516427783903</v>
      </c>
    </row>
    <row r="149" ht="16" spans="1:40">
      <c r="A149" s="14">
        <v>2020</v>
      </c>
      <c r="B149" s="15">
        <v>320000</v>
      </c>
      <c r="C149" s="16" t="s">
        <v>55</v>
      </c>
      <c r="D149" s="24">
        <v>102807.7</v>
      </c>
      <c r="E149" s="25">
        <v>8477</v>
      </c>
      <c r="F149" s="26">
        <v>10.72</v>
      </c>
      <c r="G149" s="27">
        <v>6226</v>
      </c>
      <c r="H149" s="10">
        <v>540693</v>
      </c>
      <c r="I149" s="30">
        <v>59251.0587608974</v>
      </c>
      <c r="J149" s="31">
        <v>13558.54</v>
      </c>
      <c r="K149" s="24">
        <v>30059282.6</v>
      </c>
      <c r="L149" s="10">
        <v>4893</v>
      </c>
      <c r="M149" s="10">
        <v>44339.969</v>
      </c>
      <c r="N149" s="10">
        <v>2087.85</v>
      </c>
      <c r="O149" s="10">
        <v>10888.2291</v>
      </c>
      <c r="P149" s="19">
        <v>158101</v>
      </c>
      <c r="Q149" s="19">
        <v>276640</v>
      </c>
      <c r="R149" s="38">
        <v>154523.28</v>
      </c>
      <c r="S149" s="20">
        <v>37086.1</v>
      </c>
      <c r="T149" s="39">
        <v>38198.1</v>
      </c>
      <c r="U149" s="22">
        <v>24198</v>
      </c>
      <c r="V149" s="22">
        <v>53102</v>
      </c>
      <c r="W149" s="32">
        <v>121333</v>
      </c>
      <c r="X149" s="10">
        <v>121230.95</v>
      </c>
      <c r="Y149" s="10">
        <f t="shared" si="68"/>
        <v>0.576328998323058</v>
      </c>
      <c r="Z149" s="10">
        <f t="shared" ref="Z149:Z177" si="73">(I149/E149)*10000</f>
        <v>69896.2590077827</v>
      </c>
      <c r="AA149" s="10">
        <f t="shared" si="63"/>
        <v>0.734457945027722</v>
      </c>
      <c r="AB149" s="10">
        <f t="shared" si="65"/>
        <v>0.00637835319098738</v>
      </c>
      <c r="AC149" s="10">
        <f t="shared" si="59"/>
        <v>0.131882534090345</v>
      </c>
      <c r="AD149" s="10">
        <f t="shared" si="56"/>
        <v>0.0292383572436695</v>
      </c>
      <c r="AE149" s="10">
        <f t="shared" si="69"/>
        <v>8.49556089128912</v>
      </c>
      <c r="AF149" s="10">
        <f t="shared" si="70"/>
        <v>0.431290350820026</v>
      </c>
      <c r="AG149" s="10">
        <f t="shared" si="50"/>
        <v>0.020308303755458</v>
      </c>
      <c r="AH149" s="10">
        <f t="shared" si="66"/>
        <v>0.105908692636836</v>
      </c>
      <c r="AI149" s="10">
        <f t="shared" si="67"/>
        <v>790.764925373134</v>
      </c>
      <c r="AJ149" s="10">
        <f t="shared" si="61"/>
        <v>1.50303216587863</v>
      </c>
      <c r="AK149" s="10">
        <f t="shared" si="72"/>
        <v>24.5014616492054</v>
      </c>
      <c r="AL149" s="10">
        <f t="shared" si="71"/>
        <v>0.360732707764107</v>
      </c>
      <c r="AM149" s="10">
        <f t="shared" si="64"/>
        <v>0.371549018215562</v>
      </c>
      <c r="AN149" s="10">
        <f>V149/U149</f>
        <v>2.19447888255228</v>
      </c>
    </row>
    <row r="150" ht="16" spans="1:40">
      <c r="A150" s="14">
        <v>2021</v>
      </c>
      <c r="B150" s="15">
        <v>320000</v>
      </c>
      <c r="C150" s="16" t="s">
        <v>55</v>
      </c>
      <c r="D150" s="24">
        <v>117392.4</v>
      </c>
      <c r="E150" s="25">
        <v>8505</v>
      </c>
      <c r="F150" s="26">
        <v>10.72</v>
      </c>
      <c r="G150" s="27">
        <v>6289</v>
      </c>
      <c r="H150" s="10">
        <v>2110805</v>
      </c>
      <c r="I150" s="30">
        <v>62687.6201690295</v>
      </c>
      <c r="J150" s="31">
        <v>14443.65</v>
      </c>
      <c r="K150" s="24">
        <v>34385571.5</v>
      </c>
      <c r="L150" s="10">
        <v>4862.86</v>
      </c>
      <c r="M150" s="10">
        <v>52029.412</v>
      </c>
      <c r="N150" s="10">
        <v>2606.17</v>
      </c>
      <c r="O150" s="10">
        <v>2301.47</v>
      </c>
      <c r="P150" s="19">
        <v>158036</v>
      </c>
      <c r="Q150" s="19">
        <v>294678</v>
      </c>
      <c r="R150" s="38">
        <v>177970.1</v>
      </c>
      <c r="S150" s="20">
        <v>42702.6</v>
      </c>
      <c r="T150" s="39">
        <v>45730.7</v>
      </c>
      <c r="U150" s="22">
        <v>26791</v>
      </c>
      <c r="V150" s="22">
        <v>57744</v>
      </c>
      <c r="W150" s="32">
        <v>138255</v>
      </c>
      <c r="X150" s="10">
        <v>137039</v>
      </c>
      <c r="Y150" s="10">
        <f t="shared" si="68"/>
        <v>0.534000669285486</v>
      </c>
      <c r="Z150" s="10">
        <f t="shared" si="73"/>
        <v>73706.7844433033</v>
      </c>
      <c r="AA150" s="10">
        <f t="shared" si="63"/>
        <v>0.739447383891828</v>
      </c>
      <c r="AB150" s="10">
        <f t="shared" si="65"/>
        <v>0.0248184009406232</v>
      </c>
      <c r="AC150" s="10">
        <f t="shared" si="59"/>
        <v>0.123037351651385</v>
      </c>
      <c r="AD150" s="10">
        <f t="shared" si="56"/>
        <v>0.0292911393752918</v>
      </c>
      <c r="AE150" s="10">
        <f t="shared" si="69"/>
        <v>8.48938202117589</v>
      </c>
      <c r="AF150" s="10">
        <f t="shared" si="70"/>
        <v>0.443209373008815</v>
      </c>
      <c r="AG150" s="10">
        <f t="shared" si="50"/>
        <v>0.0222005002027389</v>
      </c>
      <c r="AH150" s="10">
        <f t="shared" si="66"/>
        <v>0.019604931835451</v>
      </c>
      <c r="AI150" s="10">
        <f t="shared" si="67"/>
        <v>793.376865671642</v>
      </c>
      <c r="AJ150" s="10">
        <f t="shared" si="61"/>
        <v>1.51602744300312</v>
      </c>
      <c r="AK150" s="10">
        <f t="shared" si="72"/>
        <v>24.5642166479074</v>
      </c>
      <c r="AL150" s="10">
        <f t="shared" si="71"/>
        <v>0.36375949380028</v>
      </c>
      <c r="AM150" s="10">
        <f t="shared" si="64"/>
        <v>0.389554178975811</v>
      </c>
      <c r="AN150" s="10">
        <f>V150/U150</f>
        <v>2.15535067746631</v>
      </c>
    </row>
    <row r="151" ht="16" spans="1:40">
      <c r="A151" s="14">
        <v>2022</v>
      </c>
      <c r="B151" s="15">
        <v>320000</v>
      </c>
      <c r="C151" s="16" t="s">
        <v>55</v>
      </c>
      <c r="D151" s="24">
        <v>122089.3</v>
      </c>
      <c r="E151" s="25">
        <v>8515</v>
      </c>
      <c r="F151" s="26">
        <v>10.72</v>
      </c>
      <c r="G151" s="27">
        <v>6337</v>
      </c>
      <c r="H151" s="10">
        <v>2219114</v>
      </c>
      <c r="I151" s="30">
        <v>65069.7497354526</v>
      </c>
      <c r="J151" s="31">
        <v>14757.05</v>
      </c>
      <c r="K151" s="42">
        <v>38354282.3</v>
      </c>
      <c r="L151" s="10">
        <v>4805</v>
      </c>
      <c r="M151" s="10">
        <v>54771.305</v>
      </c>
      <c r="N151" s="10">
        <v>2986.78</v>
      </c>
      <c r="O151" s="10">
        <v>2394.3488</v>
      </c>
      <c r="P151" s="35">
        <v>158000</v>
      </c>
      <c r="Q151" s="35">
        <v>279143</v>
      </c>
      <c r="R151" s="38">
        <v>203925.53</v>
      </c>
      <c r="S151" s="20">
        <v>42752.1</v>
      </c>
      <c r="T151" s="39">
        <v>47688.4</v>
      </c>
      <c r="U151" s="22">
        <v>28486</v>
      </c>
      <c r="V151" s="22">
        <v>60178</v>
      </c>
      <c r="W151" s="32">
        <v>143466</v>
      </c>
      <c r="X151" s="10">
        <v>144390</v>
      </c>
      <c r="Y151" s="10">
        <f t="shared" si="68"/>
        <v>0.532968488929436</v>
      </c>
      <c r="Z151" s="10">
        <f t="shared" si="73"/>
        <v>76417.7918208486</v>
      </c>
      <c r="AA151" s="10">
        <f t="shared" si="63"/>
        <v>0.744216089254257</v>
      </c>
      <c r="AB151" s="10">
        <f t="shared" si="65"/>
        <v>0.026061233118027</v>
      </c>
      <c r="AC151" s="10">
        <f t="shared" si="59"/>
        <v>0.120870952655147</v>
      </c>
      <c r="AD151" s="10">
        <f t="shared" si="56"/>
        <v>0.0314149416042192</v>
      </c>
      <c r="AE151" s="10">
        <f t="shared" si="69"/>
        <v>8.47741232140439</v>
      </c>
      <c r="AF151" s="10">
        <f t="shared" si="70"/>
        <v>0.44861675019842</v>
      </c>
      <c r="AG151" s="10">
        <f t="shared" si="50"/>
        <v>0.0244638965085392</v>
      </c>
      <c r="AH151" s="10">
        <f t="shared" si="66"/>
        <v>0.0196114548940816</v>
      </c>
      <c r="AI151" s="10">
        <f t="shared" si="67"/>
        <v>794.309701492537</v>
      </c>
      <c r="AJ151" s="10">
        <f t="shared" si="61"/>
        <v>1.67029813423453</v>
      </c>
      <c r="AK151" s="10">
        <f t="shared" si="72"/>
        <v>24.5098297863093</v>
      </c>
      <c r="AL151" s="10">
        <f t="shared" si="71"/>
        <v>0.350170735682816</v>
      </c>
      <c r="AM151" s="10">
        <f t="shared" si="64"/>
        <v>0.390602616281689</v>
      </c>
      <c r="AN151" s="10">
        <f>V151/U151</f>
        <v>2.11254651407709</v>
      </c>
    </row>
    <row r="152" ht="16" spans="1:40">
      <c r="A152" s="14">
        <v>2013</v>
      </c>
      <c r="B152" s="15">
        <v>360000</v>
      </c>
      <c r="C152" s="16" t="s">
        <v>56</v>
      </c>
      <c r="D152" s="24">
        <v>14300.2</v>
      </c>
      <c r="E152" s="25">
        <v>4476</v>
      </c>
      <c r="F152" s="26">
        <v>16.69</v>
      </c>
      <c r="G152" s="27">
        <v>2195</v>
      </c>
      <c r="H152" s="10">
        <v>861849</v>
      </c>
      <c r="I152" s="30">
        <v>12850.3</v>
      </c>
      <c r="J152" s="31">
        <v>3468.28</v>
      </c>
      <c r="K152" s="24">
        <v>1354971.9</v>
      </c>
      <c r="L152" s="10">
        <v>2362</v>
      </c>
      <c r="M152" s="10">
        <v>2275.7925</v>
      </c>
      <c r="N152" s="10">
        <v>43.06</v>
      </c>
      <c r="O152" s="10">
        <v>379.2307</v>
      </c>
      <c r="P152" s="19">
        <v>152067</v>
      </c>
      <c r="Q152" s="19">
        <v>135172</v>
      </c>
      <c r="R152" s="38">
        <v>12953.47</v>
      </c>
      <c r="S152" s="20">
        <v>4696.1</v>
      </c>
      <c r="T152" s="39">
        <v>6523.3</v>
      </c>
      <c r="U152" s="22">
        <v>9089</v>
      </c>
      <c r="V152" s="22">
        <v>22120</v>
      </c>
      <c r="W152" s="32">
        <v>31952.12</v>
      </c>
      <c r="X152" s="10">
        <v>31930</v>
      </c>
      <c r="Y152" s="10">
        <f t="shared" si="68"/>
        <v>0.898609809653012</v>
      </c>
      <c r="Z152" s="10">
        <f t="shared" si="73"/>
        <v>28709.3386952636</v>
      </c>
      <c r="AA152" s="10">
        <f t="shared" si="63"/>
        <v>0.490393208221626</v>
      </c>
      <c r="AB152" s="10">
        <f t="shared" si="65"/>
        <v>0.0192548927613941</v>
      </c>
      <c r="AC152" s="10">
        <f t="shared" si="59"/>
        <v>0.24253367085775</v>
      </c>
      <c r="AD152" s="10">
        <f t="shared" ref="AD152:AD184" si="74">K152/(D152*10000)</f>
        <v>0.00947519545181186</v>
      </c>
      <c r="AE152" s="10">
        <f t="shared" si="69"/>
        <v>7.76726399675731</v>
      </c>
      <c r="AF152" s="10">
        <f t="shared" si="70"/>
        <v>0.15914410287968</v>
      </c>
      <c r="AG152" s="10">
        <f t="shared" si="50"/>
        <v>0.00301114669724899</v>
      </c>
      <c r="AH152" s="10">
        <f t="shared" si="66"/>
        <v>0.0265192584719095</v>
      </c>
      <c r="AI152" s="10">
        <f t="shared" si="67"/>
        <v>268.184541641702</v>
      </c>
      <c r="AJ152" s="10">
        <f t="shared" si="61"/>
        <v>0.905824394064419</v>
      </c>
      <c r="AK152" s="10">
        <f t="shared" si="72"/>
        <v>23.746379812734</v>
      </c>
      <c r="AL152" s="10">
        <f t="shared" si="71"/>
        <v>0.328394008475406</v>
      </c>
      <c r="AM152" s="10">
        <f t="shared" si="64"/>
        <v>0.456168445196571</v>
      </c>
      <c r="AN152" s="10">
        <f>V152/U152</f>
        <v>2.43371107932666</v>
      </c>
    </row>
    <row r="153" ht="16" spans="1:40">
      <c r="A153" s="14">
        <v>2014</v>
      </c>
      <c r="B153" s="15">
        <v>360000</v>
      </c>
      <c r="C153" s="16" t="s">
        <v>56</v>
      </c>
      <c r="D153" s="24">
        <v>15667.8</v>
      </c>
      <c r="E153" s="25">
        <v>4480</v>
      </c>
      <c r="F153" s="26">
        <v>16.69</v>
      </c>
      <c r="G153" s="27">
        <v>2265</v>
      </c>
      <c r="H153" s="10">
        <v>916415</v>
      </c>
      <c r="I153" s="30">
        <v>15079.26</v>
      </c>
      <c r="J153" s="31">
        <v>3881.7</v>
      </c>
      <c r="K153" s="24">
        <v>1531114.3</v>
      </c>
      <c r="L153" s="10">
        <v>2348</v>
      </c>
      <c r="M153" s="10">
        <v>2624.8689</v>
      </c>
      <c r="N153" s="10">
        <v>50.76</v>
      </c>
      <c r="O153" s="10">
        <v>445.8051</v>
      </c>
      <c r="P153" s="19">
        <v>155515</v>
      </c>
      <c r="Q153" s="19">
        <v>151878</v>
      </c>
      <c r="R153" s="38">
        <v>15466.11</v>
      </c>
      <c r="S153" s="20">
        <v>5292.6</v>
      </c>
      <c r="T153" s="39">
        <v>6930.7</v>
      </c>
      <c r="U153" s="22">
        <v>10117</v>
      </c>
      <c r="V153" s="22">
        <v>24309</v>
      </c>
      <c r="W153" s="32">
        <v>34988.34</v>
      </c>
      <c r="X153" s="10">
        <v>34674</v>
      </c>
      <c r="Y153" s="10">
        <f t="shared" ref="Y153:Y191" si="75">I153/D153</f>
        <v>0.962436334392831</v>
      </c>
      <c r="Z153" s="10">
        <f t="shared" si="73"/>
        <v>33659.0625</v>
      </c>
      <c r="AA153" s="10">
        <f t="shared" ref="AA153:AA172" si="76">G153/E153</f>
        <v>0.505580357142857</v>
      </c>
      <c r="AB153" s="10">
        <f t="shared" si="65"/>
        <v>0.0204556919642857</v>
      </c>
      <c r="AC153" s="10">
        <f t="shared" si="59"/>
        <v>0.247750162754184</v>
      </c>
      <c r="AD153" s="10">
        <f t="shared" si="74"/>
        <v>0.00977236306309756</v>
      </c>
      <c r="AE153" s="10">
        <f t="shared" si="69"/>
        <v>7.76131918094799</v>
      </c>
      <c r="AF153" s="10">
        <f t="shared" si="70"/>
        <v>0.167532704017156</v>
      </c>
      <c r="AG153" s="10">
        <f t="shared" si="50"/>
        <v>0.00323976563397541</v>
      </c>
      <c r="AH153" s="10">
        <f t="shared" si="66"/>
        <v>0.0284535863363076</v>
      </c>
      <c r="AI153" s="10">
        <f t="shared" si="67"/>
        <v>268.424206111444</v>
      </c>
      <c r="AJ153" s="10">
        <f t="shared" si="61"/>
        <v>0.987127101443725</v>
      </c>
      <c r="AK153" s="10">
        <f t="shared" si="72"/>
        <v>23.88533031494</v>
      </c>
      <c r="AL153" s="10">
        <f t="shared" si="71"/>
        <v>0.337801095239919</v>
      </c>
      <c r="AM153" s="10">
        <f t="shared" si="64"/>
        <v>0.442353106371028</v>
      </c>
      <c r="AN153" s="10">
        <f>V153/U153</f>
        <v>2.40278738756548</v>
      </c>
    </row>
    <row r="154" ht="16" spans="1:40">
      <c r="A154" s="14">
        <v>2015</v>
      </c>
      <c r="B154" s="15">
        <v>360000</v>
      </c>
      <c r="C154" s="16" t="s">
        <v>56</v>
      </c>
      <c r="D154" s="24">
        <v>16780.9</v>
      </c>
      <c r="E154" s="25">
        <v>4485</v>
      </c>
      <c r="F154" s="26">
        <v>16.69</v>
      </c>
      <c r="G154" s="27">
        <v>2346</v>
      </c>
      <c r="H154" s="10">
        <v>984489</v>
      </c>
      <c r="I154" s="30">
        <v>17388.13</v>
      </c>
      <c r="J154" s="31">
        <v>4410.72</v>
      </c>
      <c r="K154" s="24">
        <v>1731819.5</v>
      </c>
      <c r="L154" s="10">
        <v>2338</v>
      </c>
      <c r="M154" s="10">
        <v>2640.8169</v>
      </c>
      <c r="N154" s="10">
        <v>64.85</v>
      </c>
      <c r="O154" s="10">
        <v>620.0747</v>
      </c>
      <c r="P154" s="19">
        <v>156625</v>
      </c>
      <c r="Q154" s="19">
        <v>130349</v>
      </c>
      <c r="R154" s="38">
        <v>18348</v>
      </c>
      <c r="S154" s="20">
        <v>6419.8</v>
      </c>
      <c r="T154" s="39">
        <v>7026.2</v>
      </c>
      <c r="U154" s="22">
        <v>11139</v>
      </c>
      <c r="V154" s="22">
        <v>26500</v>
      </c>
      <c r="W154" s="32">
        <v>37436.45</v>
      </c>
      <c r="X154" s="10">
        <v>36724</v>
      </c>
      <c r="Y154" s="10">
        <f t="shared" si="75"/>
        <v>1.03618578264575</v>
      </c>
      <c r="Z154" s="10">
        <f t="shared" si="73"/>
        <v>38769.5206243032</v>
      </c>
      <c r="AA154" s="10">
        <f t="shared" si="76"/>
        <v>0.523076923076923</v>
      </c>
      <c r="AB154" s="10">
        <f t="shared" si="65"/>
        <v>0.0219507023411371</v>
      </c>
      <c r="AC154" s="10">
        <f t="shared" ref="AC154:AC187" si="77">J154/D154</f>
        <v>0.262841683104005</v>
      </c>
      <c r="AD154" s="10">
        <f t="shared" si="74"/>
        <v>0.010320182469355</v>
      </c>
      <c r="AE154" s="10">
        <f t="shared" si="69"/>
        <v>7.75705114203201</v>
      </c>
      <c r="AF154" s="10">
        <f t="shared" si="70"/>
        <v>0.157370397296927</v>
      </c>
      <c r="AG154" s="10">
        <f t="shared" si="50"/>
        <v>0.00386451263043103</v>
      </c>
      <c r="AH154" s="10">
        <f t="shared" si="66"/>
        <v>0.036951218349433</v>
      </c>
      <c r="AI154" s="10">
        <f t="shared" si="67"/>
        <v>268.723786698622</v>
      </c>
      <c r="AJ154" s="10">
        <f t="shared" si="61"/>
        <v>1.09338593281648</v>
      </c>
      <c r="AK154" s="10">
        <f t="shared" si="72"/>
        <v>23.7395804398774</v>
      </c>
      <c r="AL154" s="10">
        <f t="shared" si="71"/>
        <v>0.382565893366863</v>
      </c>
      <c r="AM154" s="10">
        <f t="shared" si="64"/>
        <v>0.418702215018265</v>
      </c>
      <c r="AN154" s="10">
        <f t="shared" ref="AN154:AN191" si="78">V154/U154</f>
        <v>2.37902863811832</v>
      </c>
    </row>
    <row r="155" ht="16" spans="1:40">
      <c r="A155" s="14">
        <v>2016</v>
      </c>
      <c r="B155" s="15">
        <v>360000</v>
      </c>
      <c r="C155" s="16" t="s">
        <v>56</v>
      </c>
      <c r="D155" s="24">
        <v>18388.6</v>
      </c>
      <c r="E155" s="25">
        <v>4496</v>
      </c>
      <c r="F155" s="26">
        <v>16.69</v>
      </c>
      <c r="G155" s="27">
        <v>2427</v>
      </c>
      <c r="H155" s="10">
        <v>1038951</v>
      </c>
      <c r="I155" s="30">
        <v>19694.21</v>
      </c>
      <c r="J155" s="31">
        <v>4613.5</v>
      </c>
      <c r="K155" s="24">
        <v>2073090.9</v>
      </c>
      <c r="L155" s="10">
        <v>2332</v>
      </c>
      <c r="M155" s="10">
        <v>2658.8069</v>
      </c>
      <c r="N155" s="10">
        <v>79.01</v>
      </c>
      <c r="O155" s="10">
        <v>486.8602</v>
      </c>
      <c r="P155" s="19">
        <v>161909</v>
      </c>
      <c r="Q155" s="19">
        <v>138118</v>
      </c>
      <c r="R155" s="38">
        <v>21721.77</v>
      </c>
      <c r="S155" s="20">
        <v>7198.5</v>
      </c>
      <c r="T155" s="39">
        <v>7349.3</v>
      </c>
      <c r="U155" s="22">
        <v>12138</v>
      </c>
      <c r="V155" s="22">
        <v>28673</v>
      </c>
      <c r="W155" s="32">
        <v>40949.98</v>
      </c>
      <c r="X155" s="10">
        <v>40400</v>
      </c>
      <c r="Y155" s="10">
        <f t="shared" si="75"/>
        <v>1.07100105500147</v>
      </c>
      <c r="Z155" s="10">
        <f t="shared" si="73"/>
        <v>43803.8478647687</v>
      </c>
      <c r="AA155" s="10">
        <f t="shared" si="76"/>
        <v>0.539813167259786</v>
      </c>
      <c r="AB155" s="10">
        <f t="shared" si="65"/>
        <v>0.023108340747331</v>
      </c>
      <c r="AC155" s="10">
        <f t="shared" si="77"/>
        <v>0.250889137835398</v>
      </c>
      <c r="AD155" s="10">
        <f t="shared" si="74"/>
        <v>0.0112737832135127</v>
      </c>
      <c r="AE155" s="10">
        <f t="shared" si="69"/>
        <v>7.75448154747038</v>
      </c>
      <c r="AF155" s="10">
        <f t="shared" si="70"/>
        <v>0.144589957908704</v>
      </c>
      <c r="AG155" s="10">
        <f t="shared" si="50"/>
        <v>0.00429668381497232</v>
      </c>
      <c r="AH155" s="10">
        <f t="shared" si="66"/>
        <v>0.0264761972091404</v>
      </c>
      <c r="AI155" s="10">
        <f t="shared" si="67"/>
        <v>269.382863990413</v>
      </c>
      <c r="AJ155" s="10">
        <f t="shared" si="61"/>
        <v>1.18126284763386</v>
      </c>
      <c r="AK155" s="10">
        <f t="shared" si="72"/>
        <v>23.8306533992279</v>
      </c>
      <c r="AL155" s="10">
        <f t="shared" si="71"/>
        <v>0.391465364410559</v>
      </c>
      <c r="AM155" s="10">
        <f t="shared" si="64"/>
        <v>0.399666097473435</v>
      </c>
      <c r="AN155" s="10">
        <f t="shared" si="78"/>
        <v>2.36225078266601</v>
      </c>
    </row>
    <row r="156" ht="16" spans="1:40">
      <c r="A156" s="14">
        <v>2017</v>
      </c>
      <c r="B156" s="15">
        <v>360000</v>
      </c>
      <c r="C156" s="16" t="s">
        <v>56</v>
      </c>
      <c r="D156" s="24">
        <v>20210.8</v>
      </c>
      <c r="E156" s="25">
        <v>4511</v>
      </c>
      <c r="F156" s="26">
        <v>16.69</v>
      </c>
      <c r="G156" s="27">
        <v>2513</v>
      </c>
      <c r="H156" s="10">
        <v>1048289</v>
      </c>
      <c r="I156" s="30">
        <v>22085.34</v>
      </c>
      <c r="J156" s="31">
        <v>5107.7</v>
      </c>
      <c r="K156" s="24">
        <v>2558030</v>
      </c>
      <c r="L156" s="10">
        <v>2317</v>
      </c>
      <c r="M156" s="10">
        <v>2993.6795</v>
      </c>
      <c r="N156" s="10">
        <v>96.21</v>
      </c>
      <c r="O156" s="10">
        <v>791.1298</v>
      </c>
      <c r="P156" s="19">
        <v>162285</v>
      </c>
      <c r="Q156" s="19">
        <v>154437</v>
      </c>
      <c r="R156" s="38">
        <v>25712.56</v>
      </c>
      <c r="S156" s="20">
        <v>8118</v>
      </c>
      <c r="T156" s="39">
        <v>7969.6</v>
      </c>
      <c r="U156" s="22">
        <v>13242</v>
      </c>
      <c r="V156" s="22">
        <v>31198</v>
      </c>
      <c r="W156" s="32">
        <v>44877.94</v>
      </c>
      <c r="X156" s="10">
        <v>43424.3703</v>
      </c>
      <c r="Y156" s="10">
        <f t="shared" si="75"/>
        <v>1.09274942110159</v>
      </c>
      <c r="Z156" s="10">
        <f t="shared" si="73"/>
        <v>48958.8561294613</v>
      </c>
      <c r="AA156" s="10">
        <f t="shared" si="76"/>
        <v>0.557082686765684</v>
      </c>
      <c r="AB156" s="10">
        <f t="shared" si="65"/>
        <v>0.0232385058745289</v>
      </c>
      <c r="AC156" s="10">
        <f t="shared" si="77"/>
        <v>0.252721317315495</v>
      </c>
      <c r="AD156" s="10">
        <f t="shared" si="74"/>
        <v>0.0126567478773725</v>
      </c>
      <c r="AE156" s="10">
        <f t="shared" si="69"/>
        <v>7.74802852443238</v>
      </c>
      <c r="AF156" s="10">
        <f t="shared" si="70"/>
        <v>0.148122761098027</v>
      </c>
      <c r="AG156" s="10">
        <f t="shared" si="50"/>
        <v>0.00476032616224989</v>
      </c>
      <c r="AH156" s="10">
        <f t="shared" si="66"/>
        <v>0.0391439131553427</v>
      </c>
      <c r="AI156" s="10">
        <f t="shared" si="67"/>
        <v>270.281605751947</v>
      </c>
      <c r="AJ156" s="10">
        <f t="shared" si="61"/>
        <v>1.27221881370356</v>
      </c>
      <c r="AK156" s="10">
        <f t="shared" si="72"/>
        <v>23.9446508529599</v>
      </c>
      <c r="AL156" s="10">
        <f t="shared" si="71"/>
        <v>0.401666435767016</v>
      </c>
      <c r="AM156" s="10">
        <f t="shared" si="64"/>
        <v>0.394323826864845</v>
      </c>
      <c r="AN156" s="10">
        <f t="shared" si="78"/>
        <v>2.35598852137139</v>
      </c>
    </row>
    <row r="157" ht="16" spans="1:40">
      <c r="A157" s="14">
        <v>2018</v>
      </c>
      <c r="B157" s="15">
        <v>360000</v>
      </c>
      <c r="C157" s="16" t="s">
        <v>56</v>
      </c>
      <c r="D157" s="24">
        <v>22716.5</v>
      </c>
      <c r="E157" s="25">
        <v>4513</v>
      </c>
      <c r="F157" s="26">
        <v>16.69</v>
      </c>
      <c r="G157" s="27">
        <v>2588</v>
      </c>
      <c r="H157" s="10">
        <v>1054400</v>
      </c>
      <c r="I157" s="30">
        <v>24536.81274</v>
      </c>
      <c r="J157" s="31">
        <v>5663.74</v>
      </c>
      <c r="K157" s="24">
        <v>3106905.8</v>
      </c>
      <c r="L157" s="10">
        <v>2295</v>
      </c>
      <c r="M157" s="10">
        <v>3188.7652</v>
      </c>
      <c r="N157" s="10">
        <v>115.82</v>
      </c>
      <c r="O157" s="10">
        <v>1785.8213</v>
      </c>
      <c r="P157" s="19">
        <v>161941</v>
      </c>
      <c r="Q157" s="19">
        <v>174285</v>
      </c>
      <c r="R157" s="38">
        <v>30358.38</v>
      </c>
      <c r="S157" s="20">
        <v>9045.7</v>
      </c>
      <c r="T157" s="39">
        <v>8264.2</v>
      </c>
      <c r="U157" s="22">
        <v>14460</v>
      </c>
      <c r="V157" s="22">
        <v>33819</v>
      </c>
      <c r="W157" s="32">
        <v>50346.88</v>
      </c>
      <c r="X157" s="10">
        <v>47433.9457</v>
      </c>
      <c r="Y157" s="10">
        <f t="shared" si="75"/>
        <v>1.08013174300618</v>
      </c>
      <c r="Z157" s="10">
        <f t="shared" si="73"/>
        <v>54369.1840017727</v>
      </c>
      <c r="AA157" s="10">
        <f t="shared" si="76"/>
        <v>0.573454464879238</v>
      </c>
      <c r="AB157" s="10">
        <f t="shared" si="65"/>
        <v>0.0233636162198094</v>
      </c>
      <c r="AC157" s="10">
        <f t="shared" si="77"/>
        <v>0.249322738978276</v>
      </c>
      <c r="AD157" s="10">
        <f t="shared" si="74"/>
        <v>0.0136768683556006</v>
      </c>
      <c r="AE157" s="10">
        <f t="shared" si="69"/>
        <v>7.73848812249465</v>
      </c>
      <c r="AF157" s="10">
        <f t="shared" si="70"/>
        <v>0.140372205225277</v>
      </c>
      <c r="AG157" s="10">
        <f t="shared" si="50"/>
        <v>0.00509849668742984</v>
      </c>
      <c r="AH157" s="10">
        <f t="shared" si="66"/>
        <v>0.0786133999515771</v>
      </c>
      <c r="AI157" s="10">
        <f t="shared" si="67"/>
        <v>270.401437986818</v>
      </c>
      <c r="AJ157" s="10">
        <f t="shared" ref="AJ157:AJ184" si="79">R157/D157</f>
        <v>1.33640217463078</v>
      </c>
      <c r="AK157" s="10">
        <f t="shared" si="72"/>
        <v>24.0634345196327</v>
      </c>
      <c r="AL157" s="10">
        <f t="shared" si="71"/>
        <v>0.398199546585081</v>
      </c>
      <c r="AM157" s="10">
        <f t="shared" si="64"/>
        <v>0.363797239891709</v>
      </c>
      <c r="AN157" s="10">
        <f t="shared" si="78"/>
        <v>2.33879668049793</v>
      </c>
    </row>
    <row r="158" ht="16" spans="1:40">
      <c r="A158" s="14">
        <v>2019</v>
      </c>
      <c r="B158" s="15">
        <v>360000</v>
      </c>
      <c r="C158" s="16" t="s">
        <v>56</v>
      </c>
      <c r="D158" s="24">
        <v>24667.3</v>
      </c>
      <c r="E158" s="25">
        <v>4516</v>
      </c>
      <c r="F158" s="26">
        <v>16.69</v>
      </c>
      <c r="G158" s="27">
        <v>2668</v>
      </c>
      <c r="H158" s="10">
        <v>1134950</v>
      </c>
      <c r="I158" s="30">
        <v>26794.19951208</v>
      </c>
      <c r="J158" s="31">
        <v>6351.47</v>
      </c>
      <c r="K158" s="24">
        <v>3843094.4</v>
      </c>
      <c r="L158" s="10">
        <v>2278</v>
      </c>
      <c r="M158" s="10">
        <v>3510.6317</v>
      </c>
      <c r="N158" s="10">
        <v>148.61</v>
      </c>
      <c r="O158" s="10">
        <v>3068.6807</v>
      </c>
      <c r="P158" s="19">
        <v>209131</v>
      </c>
      <c r="Q158" s="19">
        <v>150950</v>
      </c>
      <c r="R158" s="38">
        <v>35493.75</v>
      </c>
      <c r="S158" s="20">
        <v>10068.1</v>
      </c>
      <c r="T158" s="39">
        <v>8774.2</v>
      </c>
      <c r="U158" s="22">
        <v>15796</v>
      </c>
      <c r="V158" s="22">
        <v>36546</v>
      </c>
      <c r="W158" s="32">
        <v>54640.14</v>
      </c>
      <c r="X158" s="10">
        <v>53164</v>
      </c>
      <c r="Y158" s="10">
        <f t="shared" si="75"/>
        <v>1.08622344205</v>
      </c>
      <c r="Z158" s="10">
        <f t="shared" si="73"/>
        <v>59331.7083969885</v>
      </c>
      <c r="AA158" s="10">
        <f t="shared" si="76"/>
        <v>0.590788308237378</v>
      </c>
      <c r="AB158" s="10">
        <f t="shared" si="65"/>
        <v>0.0251317537643933</v>
      </c>
      <c r="AC158" s="10">
        <f t="shared" si="77"/>
        <v>0.257485415914997</v>
      </c>
      <c r="AD158" s="10">
        <f t="shared" si="74"/>
        <v>0.0155797124127894</v>
      </c>
      <c r="AE158" s="10">
        <f t="shared" si="69"/>
        <v>7.73105314400713</v>
      </c>
      <c r="AF158" s="10">
        <f t="shared" si="70"/>
        <v>0.142319252613784</v>
      </c>
      <c r="AG158" s="10">
        <f t="shared" ref="AG158:AG221" si="80">N158/D158</f>
        <v>0.0060245750446948</v>
      </c>
      <c r="AH158" s="10">
        <f t="shared" si="66"/>
        <v>0.124402780198887</v>
      </c>
      <c r="AI158" s="10">
        <f t="shared" si="67"/>
        <v>270.581186339125</v>
      </c>
      <c r="AJ158" s="10">
        <f t="shared" si="79"/>
        <v>1.43889886611019</v>
      </c>
      <c r="AK158" s="10">
        <f t="shared" si="72"/>
        <v>24.1754200639868</v>
      </c>
      <c r="AL158" s="10">
        <f t="shared" si="71"/>
        <v>0.4081557365419</v>
      </c>
      <c r="AM158" s="10">
        <f t="shared" si="64"/>
        <v>0.355701677929891</v>
      </c>
      <c r="AN158" s="10">
        <f t="shared" si="78"/>
        <v>2.31362370220309</v>
      </c>
    </row>
    <row r="159" ht="16" spans="1:40">
      <c r="A159" s="14">
        <v>2020</v>
      </c>
      <c r="B159" s="15">
        <v>360000</v>
      </c>
      <c r="C159" s="16" t="s">
        <v>56</v>
      </c>
      <c r="D159" s="24">
        <v>25782</v>
      </c>
      <c r="E159" s="25">
        <v>4519</v>
      </c>
      <c r="F159" s="26">
        <v>16.69</v>
      </c>
      <c r="G159" s="27">
        <v>2731</v>
      </c>
      <c r="H159" s="10">
        <v>947187</v>
      </c>
      <c r="I159" s="30">
        <v>28991.3238720706</v>
      </c>
      <c r="J159" s="31">
        <v>6610.65</v>
      </c>
      <c r="K159" s="24">
        <v>4307188.2</v>
      </c>
      <c r="L159" s="10">
        <v>2264</v>
      </c>
      <c r="M159" s="10">
        <v>4002.3901</v>
      </c>
      <c r="N159" s="10">
        <v>233.41</v>
      </c>
      <c r="O159" s="10">
        <v>3849.2236</v>
      </c>
      <c r="P159" s="19">
        <v>210641</v>
      </c>
      <c r="Q159" s="19">
        <v>157149</v>
      </c>
      <c r="R159" s="38">
        <v>41409.2</v>
      </c>
      <c r="S159" s="20">
        <v>10371.8</v>
      </c>
      <c r="T159" s="39">
        <v>8991.6</v>
      </c>
      <c r="U159" s="22">
        <v>16981</v>
      </c>
      <c r="V159" s="22">
        <v>38556</v>
      </c>
      <c r="W159" s="32">
        <v>57068.79</v>
      </c>
      <c r="X159" s="10">
        <v>56871.06</v>
      </c>
      <c r="Y159" s="10">
        <f t="shared" si="75"/>
        <v>1.12447924412655</v>
      </c>
      <c r="Z159" s="10">
        <f t="shared" si="73"/>
        <v>64154.2904892025</v>
      </c>
      <c r="AA159" s="10">
        <f t="shared" si="76"/>
        <v>0.604337242752821</v>
      </c>
      <c r="AB159" s="10">
        <f t="shared" si="65"/>
        <v>0.020960101792432</v>
      </c>
      <c r="AC159" s="10">
        <f t="shared" si="77"/>
        <v>0.256405631836165</v>
      </c>
      <c r="AD159" s="10">
        <f t="shared" si="74"/>
        <v>0.0167061833837561</v>
      </c>
      <c r="AE159" s="10">
        <f t="shared" si="69"/>
        <v>7.72488843932307</v>
      </c>
      <c r="AF159" s="10">
        <f t="shared" si="70"/>
        <v>0.155239705996432</v>
      </c>
      <c r="AG159" s="10">
        <f t="shared" si="80"/>
        <v>0.00905321542161198</v>
      </c>
      <c r="AH159" s="10">
        <f t="shared" si="66"/>
        <v>0.149298875184237</v>
      </c>
      <c r="AI159" s="10">
        <f t="shared" si="67"/>
        <v>270.760934691432</v>
      </c>
      <c r="AJ159" s="10">
        <f t="shared" si="79"/>
        <v>1.60612830657048</v>
      </c>
      <c r="AK159" s="10">
        <f t="shared" si="72"/>
        <v>24.2228602204537</v>
      </c>
      <c r="AL159" s="10">
        <f t="shared" si="71"/>
        <v>0.402288418276317</v>
      </c>
      <c r="AM159" s="10">
        <f t="shared" si="64"/>
        <v>0.348754945310682</v>
      </c>
      <c r="AN159" s="10">
        <f t="shared" si="78"/>
        <v>2.27053765973735</v>
      </c>
    </row>
    <row r="160" ht="16" spans="1:40">
      <c r="A160" s="14">
        <v>2021</v>
      </c>
      <c r="B160" s="15">
        <v>360000</v>
      </c>
      <c r="C160" s="16" t="s">
        <v>56</v>
      </c>
      <c r="D160" s="24">
        <v>29827.8</v>
      </c>
      <c r="E160" s="25">
        <v>4517</v>
      </c>
      <c r="F160" s="26">
        <v>16.69</v>
      </c>
      <c r="G160" s="27">
        <v>2776</v>
      </c>
      <c r="H160" s="10">
        <v>1348666</v>
      </c>
      <c r="I160" s="30">
        <v>32122.3868502542</v>
      </c>
      <c r="J160" s="31">
        <v>6722.34</v>
      </c>
      <c r="K160" s="24">
        <v>5021718.1</v>
      </c>
      <c r="L160" s="10">
        <v>2242</v>
      </c>
      <c r="M160" s="10">
        <v>4968.9453</v>
      </c>
      <c r="N160" s="10">
        <v>409.385</v>
      </c>
      <c r="O160" s="10">
        <v>638.69</v>
      </c>
      <c r="P160" s="19">
        <v>211101</v>
      </c>
      <c r="Q160" s="19">
        <v>198685</v>
      </c>
      <c r="R160" s="38">
        <v>46920.7</v>
      </c>
      <c r="S160" s="20">
        <v>12206.7</v>
      </c>
      <c r="T160" s="39">
        <v>10862.9</v>
      </c>
      <c r="U160" s="22">
        <v>18684</v>
      </c>
      <c r="V160" s="22">
        <v>41684</v>
      </c>
      <c r="W160" s="32">
        <v>66020</v>
      </c>
      <c r="X160" s="10">
        <v>65560</v>
      </c>
      <c r="Y160" s="10">
        <f t="shared" si="75"/>
        <v>1.07692779387867</v>
      </c>
      <c r="Z160" s="10">
        <f t="shared" si="73"/>
        <v>71114.4273859956</v>
      </c>
      <c r="AA160" s="10">
        <f t="shared" si="76"/>
        <v>0.614567190613239</v>
      </c>
      <c r="AB160" s="10">
        <f t="shared" si="65"/>
        <v>0.0298575603276511</v>
      </c>
      <c r="AC160" s="10">
        <f t="shared" si="77"/>
        <v>0.225371633174421</v>
      </c>
      <c r="AD160" s="10">
        <f t="shared" si="74"/>
        <v>0.0168356972354649</v>
      </c>
      <c r="AE160" s="10">
        <f t="shared" si="69"/>
        <v>7.71512360363211</v>
      </c>
      <c r="AF160" s="10">
        <f t="shared" si="70"/>
        <v>0.16658772353308</v>
      </c>
      <c r="AG160" s="10">
        <f t="shared" si="80"/>
        <v>0.0137249478674257</v>
      </c>
      <c r="AH160" s="10">
        <f t="shared" si="66"/>
        <v>0.0214125748462843</v>
      </c>
      <c r="AI160" s="10">
        <f t="shared" si="67"/>
        <v>270.641102456561</v>
      </c>
      <c r="AJ160" s="10">
        <f t="shared" si="79"/>
        <v>1.57305265557634</v>
      </c>
      <c r="AK160" s="10">
        <f t="shared" si="72"/>
        <v>24.4595679059175</v>
      </c>
      <c r="AL160" s="10">
        <f t="shared" si="71"/>
        <v>0.409239032043932</v>
      </c>
      <c r="AM160" s="10">
        <f t="shared" si="64"/>
        <v>0.36418710062425</v>
      </c>
      <c r="AN160" s="10">
        <f t="shared" si="78"/>
        <v>2.23099978591308</v>
      </c>
    </row>
    <row r="161" ht="16" spans="1:40">
      <c r="A161" s="14">
        <v>2022</v>
      </c>
      <c r="B161" s="15">
        <v>360000</v>
      </c>
      <c r="C161" s="16" t="s">
        <v>56</v>
      </c>
      <c r="D161" s="24">
        <v>31213.8</v>
      </c>
      <c r="E161" s="25">
        <v>4528</v>
      </c>
      <c r="F161" s="26">
        <v>16.69</v>
      </c>
      <c r="G161" s="27">
        <v>2811</v>
      </c>
      <c r="H161" s="10">
        <v>1464437</v>
      </c>
      <c r="I161" s="30">
        <v>34884.9121193761</v>
      </c>
      <c r="J161" s="31">
        <v>7224.29</v>
      </c>
      <c r="K161" s="24">
        <v>5581519.9</v>
      </c>
      <c r="L161" s="10">
        <v>2193</v>
      </c>
      <c r="M161" s="10">
        <v>6684.3982</v>
      </c>
      <c r="N161" s="10">
        <v>733.88</v>
      </c>
      <c r="O161" s="10">
        <v>682.7467</v>
      </c>
      <c r="P161" s="35">
        <v>210711</v>
      </c>
      <c r="Q161" s="35">
        <v>196926</v>
      </c>
      <c r="R161" s="38">
        <v>52629.14</v>
      </c>
      <c r="S161" s="20">
        <v>12853.5</v>
      </c>
      <c r="T161" s="39">
        <v>10974.3</v>
      </c>
      <c r="U161" s="22">
        <v>19936</v>
      </c>
      <c r="V161" s="22">
        <v>43697</v>
      </c>
      <c r="W161" s="32">
        <v>69019</v>
      </c>
      <c r="X161" s="10">
        <v>70923</v>
      </c>
      <c r="Y161" s="10">
        <f t="shared" si="75"/>
        <v>1.11761182936317</v>
      </c>
      <c r="Z161" s="10">
        <f t="shared" si="73"/>
        <v>77042.6504403182</v>
      </c>
      <c r="AA161" s="10">
        <f t="shared" si="76"/>
        <v>0.620803886925795</v>
      </c>
      <c r="AB161" s="10">
        <f t="shared" si="65"/>
        <v>0.0323418065371025</v>
      </c>
      <c r="AC161" s="10">
        <f t="shared" si="77"/>
        <v>0.231445386335531</v>
      </c>
      <c r="AD161" s="10">
        <f t="shared" si="74"/>
        <v>0.0178815776996072</v>
      </c>
      <c r="AE161" s="10">
        <f t="shared" si="69"/>
        <v>7.69302574841789</v>
      </c>
      <c r="AF161" s="10">
        <f t="shared" si="70"/>
        <v>0.214148812384266</v>
      </c>
      <c r="AG161" s="10">
        <f t="shared" si="80"/>
        <v>0.0235113956006638</v>
      </c>
      <c r="AH161" s="10">
        <f t="shared" si="66"/>
        <v>0.021873232352357</v>
      </c>
      <c r="AI161" s="10">
        <f t="shared" si="67"/>
        <v>271.300179748352</v>
      </c>
      <c r="AJ161" s="10">
        <f t="shared" si="79"/>
        <v>1.68608564160724</v>
      </c>
      <c r="AK161" s="10">
        <f t="shared" si="72"/>
        <v>24.4488261079929</v>
      </c>
      <c r="AL161" s="10">
        <f t="shared" si="71"/>
        <v>0.411789016396594</v>
      </c>
      <c r="AM161" s="10">
        <f t="shared" ref="AM161:AM187" si="81">T161/D161</f>
        <v>0.351584875920266</v>
      </c>
      <c r="AN161" s="10">
        <f t="shared" si="78"/>
        <v>2.191863964687</v>
      </c>
    </row>
    <row r="162" ht="16" spans="1:40">
      <c r="A162" s="14">
        <v>2013</v>
      </c>
      <c r="B162" s="15">
        <v>210000</v>
      </c>
      <c r="C162" s="16" t="s">
        <v>57</v>
      </c>
      <c r="D162" s="24">
        <v>19208.8</v>
      </c>
      <c r="E162" s="25">
        <v>4365</v>
      </c>
      <c r="F162" s="26">
        <v>14.87</v>
      </c>
      <c r="G162" s="27">
        <v>2901</v>
      </c>
      <c r="H162" s="10">
        <v>968034</v>
      </c>
      <c r="I162" s="30">
        <v>25107.7</v>
      </c>
      <c r="J162" s="31">
        <v>5195.56</v>
      </c>
      <c r="K162" s="24">
        <v>4459321.9</v>
      </c>
      <c r="L162" s="10">
        <v>2518.88</v>
      </c>
      <c r="M162" s="10">
        <v>7089.8632</v>
      </c>
      <c r="N162" s="10">
        <v>173.38</v>
      </c>
      <c r="O162" s="10">
        <v>582.2146</v>
      </c>
      <c r="P162" s="19">
        <v>110973</v>
      </c>
      <c r="Q162" s="19">
        <v>206868</v>
      </c>
      <c r="R162" s="38">
        <v>29722.04</v>
      </c>
      <c r="S162" s="20">
        <v>10581.4</v>
      </c>
      <c r="T162" s="39">
        <v>8039.6</v>
      </c>
      <c r="U162" s="22">
        <v>10161</v>
      </c>
      <c r="V162" s="22">
        <v>26697</v>
      </c>
      <c r="W162" s="32">
        <v>43956</v>
      </c>
      <c r="X162" s="10">
        <v>61996.1727</v>
      </c>
      <c r="Y162" s="10">
        <f t="shared" si="75"/>
        <v>1.30709362375578</v>
      </c>
      <c r="Z162" s="10">
        <f t="shared" si="73"/>
        <v>57520.5040091638</v>
      </c>
      <c r="AA162" s="10">
        <f t="shared" si="76"/>
        <v>0.664604810996564</v>
      </c>
      <c r="AB162" s="10">
        <f t="shared" si="65"/>
        <v>0.0221771821305842</v>
      </c>
      <c r="AC162" s="10">
        <f t="shared" si="77"/>
        <v>0.270478114197659</v>
      </c>
      <c r="AD162" s="10">
        <f t="shared" si="74"/>
        <v>0.0232149946899338</v>
      </c>
      <c r="AE162" s="10">
        <f t="shared" si="69"/>
        <v>7.83156963726632</v>
      </c>
      <c r="AF162" s="10">
        <f t="shared" si="70"/>
        <v>0.369094540002499</v>
      </c>
      <c r="AG162" s="10">
        <f t="shared" si="80"/>
        <v>0.00902607138394902</v>
      </c>
      <c r="AH162" s="10">
        <f t="shared" si="66"/>
        <v>0.0303097850984965</v>
      </c>
      <c r="AI162" s="10">
        <f t="shared" si="67"/>
        <v>293.544048419637</v>
      </c>
      <c r="AJ162" s="10">
        <f t="shared" si="79"/>
        <v>1.54731373120653</v>
      </c>
      <c r="AK162" s="10">
        <f t="shared" si="72"/>
        <v>23.8568783951458</v>
      </c>
      <c r="AL162" s="10">
        <f t="shared" si="71"/>
        <v>0.550862104868602</v>
      </c>
      <c r="AM162" s="10">
        <f t="shared" si="81"/>
        <v>0.41853733705385</v>
      </c>
      <c r="AN162" s="10">
        <f t="shared" si="78"/>
        <v>2.62739887806318</v>
      </c>
    </row>
    <row r="163" ht="16" spans="1:40">
      <c r="A163" s="14">
        <v>2014</v>
      </c>
      <c r="B163" s="15">
        <v>210000</v>
      </c>
      <c r="C163" s="16" t="s">
        <v>57</v>
      </c>
      <c r="D163" s="24">
        <v>20025.7</v>
      </c>
      <c r="E163" s="25">
        <v>4358</v>
      </c>
      <c r="F163" s="26">
        <v>14.87</v>
      </c>
      <c r="G163" s="27">
        <v>2922</v>
      </c>
      <c r="H163" s="10">
        <v>998281</v>
      </c>
      <c r="I163" s="30">
        <v>24730.8</v>
      </c>
      <c r="J163" s="31">
        <v>5069.04</v>
      </c>
      <c r="K163" s="24">
        <v>4351851.1</v>
      </c>
      <c r="L163" s="10">
        <v>2562.23</v>
      </c>
      <c r="M163" s="10">
        <v>7002.6848</v>
      </c>
      <c r="N163" s="10">
        <v>217.46</v>
      </c>
      <c r="O163" s="10">
        <v>647.287</v>
      </c>
      <c r="P163" s="19">
        <v>115430</v>
      </c>
      <c r="Q163" s="19">
        <v>222138</v>
      </c>
      <c r="R163" s="38">
        <v>33023.54</v>
      </c>
      <c r="S163" s="20">
        <v>11857</v>
      </c>
      <c r="T163" s="39">
        <v>7811.3</v>
      </c>
      <c r="U163" s="22">
        <v>11191</v>
      </c>
      <c r="V163" s="22">
        <v>29082</v>
      </c>
      <c r="W163" s="32">
        <v>45915</v>
      </c>
      <c r="X163" s="10">
        <v>65201.1844</v>
      </c>
      <c r="Y163" s="10">
        <f t="shared" si="75"/>
        <v>1.23495308528541</v>
      </c>
      <c r="Z163" s="10">
        <f t="shared" si="73"/>
        <v>56748.0495640202</v>
      </c>
      <c r="AA163" s="10">
        <f t="shared" si="76"/>
        <v>0.670491050940799</v>
      </c>
      <c r="AB163" s="10">
        <f t="shared" si="65"/>
        <v>0.0229068609453878</v>
      </c>
      <c r="AC163" s="10">
        <f t="shared" si="77"/>
        <v>0.253126732149188</v>
      </c>
      <c r="AD163" s="10">
        <f t="shared" si="74"/>
        <v>0.0217313307399991</v>
      </c>
      <c r="AE163" s="10">
        <f t="shared" si="69"/>
        <v>7.84863325204163</v>
      </c>
      <c r="AF163" s="10">
        <f t="shared" si="70"/>
        <v>0.349684894910041</v>
      </c>
      <c r="AG163" s="10">
        <f t="shared" si="80"/>
        <v>0.0108590461257284</v>
      </c>
      <c r="AH163" s="10">
        <f t="shared" si="66"/>
        <v>0.0323228151824905</v>
      </c>
      <c r="AI163" s="10">
        <f t="shared" si="67"/>
        <v>293.073301950235</v>
      </c>
      <c r="AJ163" s="10">
        <f t="shared" si="79"/>
        <v>1.64905796052073</v>
      </c>
      <c r="AK163" s="10">
        <f t="shared" si="72"/>
        <v>23.9674736539583</v>
      </c>
      <c r="AL163" s="10">
        <f t="shared" si="71"/>
        <v>0.592089165422432</v>
      </c>
      <c r="AM163" s="10">
        <f t="shared" si="81"/>
        <v>0.390063768058045</v>
      </c>
      <c r="AN163" s="10">
        <f t="shared" si="78"/>
        <v>2.59869538021625</v>
      </c>
    </row>
    <row r="164" ht="16" spans="1:40">
      <c r="A164" s="14">
        <v>2015</v>
      </c>
      <c r="B164" s="15">
        <v>210000</v>
      </c>
      <c r="C164" s="16" t="s">
        <v>57</v>
      </c>
      <c r="D164" s="24">
        <v>20210.3</v>
      </c>
      <c r="E164" s="25">
        <v>4338</v>
      </c>
      <c r="F164" s="26">
        <v>14.87</v>
      </c>
      <c r="G164" s="27">
        <v>2952</v>
      </c>
      <c r="H164" s="10">
        <v>1005650</v>
      </c>
      <c r="I164" s="30">
        <v>17917.89</v>
      </c>
      <c r="J164" s="31">
        <v>4469.77</v>
      </c>
      <c r="K164" s="24">
        <v>3633971.4</v>
      </c>
      <c r="L164" s="10">
        <v>2409.89</v>
      </c>
      <c r="M164" s="10">
        <v>5975.9707</v>
      </c>
      <c r="N164" s="10">
        <v>267.49</v>
      </c>
      <c r="O164" s="10">
        <v>804.4685</v>
      </c>
      <c r="P164" s="19">
        <v>120365</v>
      </c>
      <c r="Q164" s="19">
        <v>202021</v>
      </c>
      <c r="R164" s="38">
        <v>36282.77</v>
      </c>
      <c r="S164" s="20">
        <v>8364.8</v>
      </c>
      <c r="T164" s="39">
        <v>7115.7</v>
      </c>
      <c r="U164" s="22">
        <v>12057</v>
      </c>
      <c r="V164" s="22">
        <v>31126</v>
      </c>
      <c r="W164" s="32">
        <v>46482</v>
      </c>
      <c r="X164" s="10">
        <v>65354.4122</v>
      </c>
      <c r="Y164" s="10">
        <f t="shared" si="75"/>
        <v>0.88657219338654</v>
      </c>
      <c r="Z164" s="10">
        <f t="shared" si="73"/>
        <v>41304.4951590595</v>
      </c>
      <c r="AA164" s="10">
        <f t="shared" si="76"/>
        <v>0.680497925311203</v>
      </c>
      <c r="AB164" s="10">
        <f t="shared" si="65"/>
        <v>0.0231823420931305</v>
      </c>
      <c r="AC164" s="10">
        <f t="shared" si="77"/>
        <v>0.22116297135619</v>
      </c>
      <c r="AD164" s="10">
        <f t="shared" si="74"/>
        <v>0.0179807890036269</v>
      </c>
      <c r="AE164" s="10">
        <f t="shared" si="69"/>
        <v>7.78733638228949</v>
      </c>
      <c r="AF164" s="10">
        <f t="shared" si="70"/>
        <v>0.295689361365244</v>
      </c>
      <c r="AG164" s="10">
        <f t="shared" si="80"/>
        <v>0.0132353304997947</v>
      </c>
      <c r="AH164" s="10">
        <f t="shared" si="66"/>
        <v>0.0398048767212758</v>
      </c>
      <c r="AI164" s="10">
        <f t="shared" si="67"/>
        <v>291.72831203766</v>
      </c>
      <c r="AJ164" s="10">
        <f t="shared" si="79"/>
        <v>1.79526132714507</v>
      </c>
      <c r="AK164" s="10">
        <f t="shared" si="72"/>
        <v>23.9144110032976</v>
      </c>
      <c r="AL164" s="10">
        <f t="shared" si="71"/>
        <v>0.413887968016309</v>
      </c>
      <c r="AM164" s="10">
        <f t="shared" si="81"/>
        <v>0.352082848844401</v>
      </c>
      <c r="AN164" s="10">
        <f t="shared" si="78"/>
        <v>2.58157087169279</v>
      </c>
    </row>
    <row r="165" ht="16" spans="1:40">
      <c r="A165" s="14">
        <v>2016</v>
      </c>
      <c r="B165" s="15">
        <v>210000</v>
      </c>
      <c r="C165" s="16" t="s">
        <v>57</v>
      </c>
      <c r="D165" s="24">
        <v>20392.5</v>
      </c>
      <c r="E165" s="25">
        <v>4327</v>
      </c>
      <c r="F165" s="26">
        <v>14.87</v>
      </c>
      <c r="G165" s="27">
        <v>2980</v>
      </c>
      <c r="H165" s="10">
        <v>998719</v>
      </c>
      <c r="I165" s="30">
        <v>6692.25</v>
      </c>
      <c r="J165" s="31">
        <v>4564.71</v>
      </c>
      <c r="K165" s="24">
        <v>3727164.5</v>
      </c>
      <c r="L165" s="10">
        <v>2301.16</v>
      </c>
      <c r="M165" s="10">
        <v>5749.3686</v>
      </c>
      <c r="N165" s="10">
        <v>323.22</v>
      </c>
      <c r="O165" s="10">
        <v>614.155</v>
      </c>
      <c r="P165" s="19">
        <v>120613</v>
      </c>
      <c r="Q165" s="19">
        <v>207064</v>
      </c>
      <c r="R165" s="38">
        <v>38685.6</v>
      </c>
      <c r="S165" s="20">
        <v>8597.1</v>
      </c>
      <c r="T165" s="39">
        <v>6617.5</v>
      </c>
      <c r="U165" s="22">
        <v>12881</v>
      </c>
      <c r="V165" s="22">
        <v>32876</v>
      </c>
      <c r="W165" s="32">
        <v>47069</v>
      </c>
      <c r="X165" s="10">
        <v>50791</v>
      </c>
      <c r="Y165" s="10">
        <f t="shared" si="75"/>
        <v>0.328172122103715</v>
      </c>
      <c r="Z165" s="10">
        <f t="shared" si="73"/>
        <v>15466.2583776288</v>
      </c>
      <c r="AA165" s="10">
        <f t="shared" si="76"/>
        <v>0.688698867575688</v>
      </c>
      <c r="AB165" s="10">
        <f t="shared" si="65"/>
        <v>0.0230810954471921</v>
      </c>
      <c r="AC165" s="10">
        <f t="shared" si="77"/>
        <v>0.223842589187201</v>
      </c>
      <c r="AD165" s="10">
        <f t="shared" si="74"/>
        <v>0.0182771337501532</v>
      </c>
      <c r="AE165" s="10">
        <f t="shared" si="69"/>
        <v>7.74116862260271</v>
      </c>
      <c r="AF165" s="10">
        <f t="shared" si="70"/>
        <v>0.281935446855462</v>
      </c>
      <c r="AG165" s="10">
        <f t="shared" si="80"/>
        <v>0.0158499448326591</v>
      </c>
      <c r="AH165" s="10">
        <f t="shared" si="66"/>
        <v>0.0301167095745985</v>
      </c>
      <c r="AI165" s="10">
        <f t="shared" si="67"/>
        <v>290.988567585743</v>
      </c>
      <c r="AJ165" s="10">
        <f t="shared" si="79"/>
        <v>1.89705038617139</v>
      </c>
      <c r="AK165" s="10">
        <f t="shared" si="72"/>
        <v>23.9411255550329</v>
      </c>
      <c r="AL165" s="10">
        <f t="shared" si="71"/>
        <v>0.421581463773446</v>
      </c>
      <c r="AM165" s="10">
        <f t="shared" si="81"/>
        <v>0.324506558783867</v>
      </c>
      <c r="AN165" s="10">
        <f t="shared" si="78"/>
        <v>2.55228631317444</v>
      </c>
    </row>
    <row r="166" ht="16" spans="1:40">
      <c r="A166" s="14">
        <v>2017</v>
      </c>
      <c r="B166" s="15">
        <v>210000</v>
      </c>
      <c r="C166" s="16" t="s">
        <v>57</v>
      </c>
      <c r="D166" s="24">
        <v>21693</v>
      </c>
      <c r="E166" s="25">
        <v>4312</v>
      </c>
      <c r="F166" s="26">
        <v>14.87</v>
      </c>
      <c r="G166" s="27">
        <v>2996</v>
      </c>
      <c r="H166" s="10">
        <v>980995</v>
      </c>
      <c r="I166" s="30">
        <v>6676.74</v>
      </c>
      <c r="J166" s="31">
        <v>4866.65</v>
      </c>
      <c r="K166" s="24">
        <v>4298825.2</v>
      </c>
      <c r="L166" s="10">
        <v>2284.66</v>
      </c>
      <c r="M166" s="10">
        <v>6724.4609</v>
      </c>
      <c r="N166" s="10">
        <v>385.83</v>
      </c>
      <c r="O166" s="10">
        <v>1000.4925</v>
      </c>
      <c r="P166" s="19">
        <v>122705</v>
      </c>
      <c r="Q166" s="19">
        <v>216135</v>
      </c>
      <c r="R166" s="38">
        <v>41278.75</v>
      </c>
      <c r="S166" s="20">
        <v>8696.4</v>
      </c>
      <c r="T166" s="39">
        <v>7039</v>
      </c>
      <c r="U166" s="22">
        <v>13747</v>
      </c>
      <c r="V166" s="22">
        <v>34993</v>
      </c>
      <c r="W166" s="32">
        <v>50221</v>
      </c>
      <c r="X166" s="10">
        <v>53526.6544</v>
      </c>
      <c r="Y166" s="10">
        <f t="shared" si="75"/>
        <v>0.307783155856728</v>
      </c>
      <c r="Z166" s="10">
        <f t="shared" si="73"/>
        <v>15484.0909090909</v>
      </c>
      <c r="AA166" s="10">
        <f t="shared" si="76"/>
        <v>0.694805194805195</v>
      </c>
      <c r="AB166" s="10">
        <f t="shared" si="65"/>
        <v>0.0227503478664193</v>
      </c>
      <c r="AC166" s="10">
        <f t="shared" si="77"/>
        <v>0.224341953625594</v>
      </c>
      <c r="AD166" s="10">
        <f t="shared" si="74"/>
        <v>0.0198166468446043</v>
      </c>
      <c r="AE166" s="10">
        <f t="shared" si="69"/>
        <v>7.7339724957581</v>
      </c>
      <c r="AF166" s="10">
        <f t="shared" si="70"/>
        <v>0.309982985294796</v>
      </c>
      <c r="AG166" s="10">
        <f t="shared" si="80"/>
        <v>0.0177859217259024</v>
      </c>
      <c r="AH166" s="10">
        <f t="shared" si="66"/>
        <v>0.046120522749274</v>
      </c>
      <c r="AI166" s="10">
        <f t="shared" si="67"/>
        <v>289.979825151311</v>
      </c>
      <c r="AJ166" s="10">
        <f t="shared" si="79"/>
        <v>1.90286036970451</v>
      </c>
      <c r="AK166" s="10">
        <f t="shared" si="72"/>
        <v>24.0011968711001</v>
      </c>
      <c r="AL166" s="10">
        <f t="shared" si="71"/>
        <v>0.400885078135804</v>
      </c>
      <c r="AM166" s="10">
        <f t="shared" si="81"/>
        <v>0.324482551975292</v>
      </c>
      <c r="AN166" s="10">
        <f t="shared" si="78"/>
        <v>2.54550083654616</v>
      </c>
    </row>
    <row r="167" ht="16" spans="1:40">
      <c r="A167" s="14">
        <v>2018</v>
      </c>
      <c r="B167" s="15">
        <v>210000</v>
      </c>
      <c r="C167" s="16" t="s">
        <v>57</v>
      </c>
      <c r="D167" s="24">
        <v>23510.5</v>
      </c>
      <c r="E167" s="25">
        <v>4291</v>
      </c>
      <c r="F167" s="26">
        <v>14.87</v>
      </c>
      <c r="G167" s="27">
        <v>3015</v>
      </c>
      <c r="H167" s="10">
        <v>963208</v>
      </c>
      <c r="I167" s="30">
        <v>6923.77938</v>
      </c>
      <c r="J167" s="31">
        <v>5323.62</v>
      </c>
      <c r="K167" s="24">
        <v>4600799.9</v>
      </c>
      <c r="L167" s="10">
        <v>2260.6</v>
      </c>
      <c r="M167" s="10">
        <v>7583.6156</v>
      </c>
      <c r="N167" s="10">
        <v>474.49</v>
      </c>
      <c r="O167" s="10">
        <v>1935.5971</v>
      </c>
      <c r="P167" s="19">
        <v>122974</v>
      </c>
      <c r="Q167" s="19">
        <v>223346</v>
      </c>
      <c r="R167" s="38">
        <v>44984.96</v>
      </c>
      <c r="S167" s="20">
        <v>9112.8</v>
      </c>
      <c r="T167" s="39">
        <v>7728.7</v>
      </c>
      <c r="U167" s="22">
        <v>14656</v>
      </c>
      <c r="V167" s="22">
        <v>37342</v>
      </c>
      <c r="W167" s="32">
        <v>54657</v>
      </c>
      <c r="X167" s="10">
        <v>58007.5158</v>
      </c>
      <c r="Y167" s="10">
        <f t="shared" si="75"/>
        <v>0.294497325875673</v>
      </c>
      <c r="Z167" s="10">
        <f t="shared" si="73"/>
        <v>16135.5846655791</v>
      </c>
      <c r="AA167" s="10">
        <f t="shared" si="76"/>
        <v>0.7026334187835</v>
      </c>
      <c r="AB167" s="10">
        <f t="shared" si="65"/>
        <v>0.022447168492193</v>
      </c>
      <c r="AC167" s="10">
        <f t="shared" si="77"/>
        <v>0.226435847812679</v>
      </c>
      <c r="AD167" s="10">
        <f t="shared" si="74"/>
        <v>0.0195691282618405</v>
      </c>
      <c r="AE167" s="10">
        <f t="shared" si="69"/>
        <v>7.72338554375663</v>
      </c>
      <c r="AF167" s="10">
        <f t="shared" ref="AF167:AF189" si="82">M167/D167</f>
        <v>0.322562922949321</v>
      </c>
      <c r="AG167" s="10">
        <f t="shared" si="80"/>
        <v>0.0201820463197295</v>
      </c>
      <c r="AH167" s="10">
        <f t="shared" si="66"/>
        <v>0.082329048722911</v>
      </c>
      <c r="AI167" s="10">
        <f t="shared" si="67"/>
        <v>288.567585743107</v>
      </c>
      <c r="AJ167" s="10">
        <f t="shared" si="79"/>
        <v>1.91339869420046</v>
      </c>
      <c r="AK167" s="10">
        <f t="shared" si="72"/>
        <v>24.036205647405</v>
      </c>
      <c r="AL167" s="10">
        <f t="shared" si="71"/>
        <v>0.387605537951128</v>
      </c>
      <c r="AM167" s="10">
        <f t="shared" si="81"/>
        <v>0.32873396992833</v>
      </c>
      <c r="AN167" s="10">
        <f t="shared" si="78"/>
        <v>2.54789847161572</v>
      </c>
    </row>
    <row r="168" ht="16" spans="1:40">
      <c r="A168" s="14">
        <v>2019</v>
      </c>
      <c r="B168" s="15">
        <v>210000</v>
      </c>
      <c r="C168" s="16" t="s">
        <v>57</v>
      </c>
      <c r="D168" s="24">
        <v>24855.3</v>
      </c>
      <c r="E168" s="25">
        <v>4277</v>
      </c>
      <c r="F168" s="26">
        <v>14.87</v>
      </c>
      <c r="G168" s="27">
        <v>3046</v>
      </c>
      <c r="H168" s="10">
        <v>1041144</v>
      </c>
      <c r="I168" s="30">
        <v>6944.55071814</v>
      </c>
      <c r="J168" s="31">
        <v>5704.94</v>
      </c>
      <c r="K168" s="24">
        <v>5084603.5</v>
      </c>
      <c r="L168" s="10">
        <v>2238.43</v>
      </c>
      <c r="M168" s="10">
        <v>7265.5028</v>
      </c>
      <c r="N168" s="10">
        <v>557.59</v>
      </c>
      <c r="O168" s="10">
        <v>2925.9066</v>
      </c>
      <c r="P168" s="19">
        <v>124767</v>
      </c>
      <c r="Q168" s="19">
        <v>178253</v>
      </c>
      <c r="R168" s="38">
        <v>49582.63</v>
      </c>
      <c r="S168" s="20">
        <v>9670.6</v>
      </c>
      <c r="T168" s="39">
        <v>8052.2</v>
      </c>
      <c r="U168" s="22">
        <v>16108</v>
      </c>
      <c r="V168" s="22">
        <v>39777</v>
      </c>
      <c r="W168" s="32">
        <v>58019</v>
      </c>
      <c r="X168" s="10">
        <v>57191</v>
      </c>
      <c r="Y168" s="10">
        <f t="shared" si="75"/>
        <v>0.279399191244523</v>
      </c>
      <c r="Z168" s="10">
        <f t="shared" si="73"/>
        <v>16236.9668415712</v>
      </c>
      <c r="AA168" s="10">
        <f t="shared" si="76"/>
        <v>0.712181435585691</v>
      </c>
      <c r="AB168" s="10">
        <f t="shared" ref="AB168:AB198" si="83">H168/(E168*10000)</f>
        <v>0.0243428571428571</v>
      </c>
      <c r="AC168" s="10">
        <f t="shared" si="77"/>
        <v>0.229526097049724</v>
      </c>
      <c r="AD168" s="10">
        <f t="shared" si="74"/>
        <v>0.0204568180629483</v>
      </c>
      <c r="AE168" s="10">
        <f t="shared" si="69"/>
        <v>7.71353000625171</v>
      </c>
      <c r="AF168" s="10">
        <f t="shared" si="82"/>
        <v>0.292312013936665</v>
      </c>
      <c r="AG168" s="10">
        <f t="shared" si="80"/>
        <v>0.0224334447783772</v>
      </c>
      <c r="AH168" s="10">
        <f t="shared" si="66"/>
        <v>0.117717613547211</v>
      </c>
      <c r="AI168" s="10">
        <f t="shared" si="67"/>
        <v>287.626092804304</v>
      </c>
      <c r="AJ168" s="10">
        <f t="shared" si="79"/>
        <v>1.99485139990264</v>
      </c>
      <c r="AK168" s="10">
        <f t="shared" si="72"/>
        <v>23.825162445304</v>
      </c>
      <c r="AL168" s="10">
        <f t="shared" si="71"/>
        <v>0.38907597172434</v>
      </c>
      <c r="AM168" s="10">
        <f t="shared" si="81"/>
        <v>0.323963098413618</v>
      </c>
      <c r="AN168" s="10">
        <f t="shared" si="78"/>
        <v>2.46939408989322</v>
      </c>
    </row>
    <row r="169" ht="16" spans="1:40">
      <c r="A169" s="14">
        <v>2020</v>
      </c>
      <c r="B169" s="15">
        <v>210000</v>
      </c>
      <c r="C169" s="16" t="s">
        <v>57</v>
      </c>
      <c r="D169" s="24">
        <v>25011.4</v>
      </c>
      <c r="E169" s="25">
        <v>4255</v>
      </c>
      <c r="F169" s="26">
        <v>14.87</v>
      </c>
      <c r="G169" s="27">
        <v>3070</v>
      </c>
      <c r="H169" s="10">
        <v>486647</v>
      </c>
      <c r="I169" s="30">
        <v>7125.10903681164</v>
      </c>
      <c r="J169" s="31">
        <v>5972.46</v>
      </c>
      <c r="K169" s="24">
        <v>5490051.9</v>
      </c>
      <c r="L169" s="10">
        <v>2231</v>
      </c>
      <c r="M169" s="10">
        <v>6540.8782</v>
      </c>
      <c r="N169" s="10">
        <v>632.81</v>
      </c>
      <c r="O169" s="10">
        <v>3667.2753</v>
      </c>
      <c r="P169" s="19">
        <v>130899</v>
      </c>
      <c r="Q169" s="19">
        <v>167341</v>
      </c>
      <c r="R169" s="38">
        <v>52209.39</v>
      </c>
      <c r="S169" s="20">
        <v>8960.9</v>
      </c>
      <c r="T169" s="39">
        <v>7906</v>
      </c>
      <c r="U169" s="22">
        <v>17450</v>
      </c>
      <c r="V169" s="22">
        <v>40376</v>
      </c>
      <c r="W169" s="32">
        <v>58629</v>
      </c>
      <c r="X169" s="10">
        <v>58872.39</v>
      </c>
      <c r="Y169" s="10">
        <f t="shared" si="75"/>
        <v>0.28487445871929</v>
      </c>
      <c r="Z169" s="10">
        <f t="shared" si="73"/>
        <v>16745.2621311672</v>
      </c>
      <c r="AA169" s="10">
        <f t="shared" si="76"/>
        <v>0.721504112808461</v>
      </c>
      <c r="AB169" s="10">
        <f t="shared" si="83"/>
        <v>0.011437062279671</v>
      </c>
      <c r="AC169" s="10">
        <f t="shared" si="77"/>
        <v>0.238789511982536</v>
      </c>
      <c r="AD169" s="10">
        <f t="shared" si="74"/>
        <v>0.0219501983095708</v>
      </c>
      <c r="AE169" s="10">
        <f t="shared" si="69"/>
        <v>7.71020519443253</v>
      </c>
      <c r="AF169" s="10">
        <f t="shared" si="82"/>
        <v>0.261515876760197</v>
      </c>
      <c r="AG169" s="10">
        <f t="shared" si="80"/>
        <v>0.0253008628065602</v>
      </c>
      <c r="AH169" s="10">
        <f t="shared" si="66"/>
        <v>0.146624151386968</v>
      </c>
      <c r="AI169" s="10">
        <f t="shared" si="67"/>
        <v>286.146603900471</v>
      </c>
      <c r="AJ169" s="10">
        <f t="shared" si="79"/>
        <v>2.08742373477694</v>
      </c>
      <c r="AK169" s="10">
        <f t="shared" si="72"/>
        <v>23.8099702381387</v>
      </c>
      <c r="AL169" s="10">
        <f t="shared" si="71"/>
        <v>0.358272627681777</v>
      </c>
      <c r="AM169" s="10">
        <f t="shared" si="81"/>
        <v>0.316095860287709</v>
      </c>
      <c r="AN169" s="10">
        <f t="shared" si="78"/>
        <v>2.31381088825215</v>
      </c>
    </row>
    <row r="170" ht="16" spans="1:40">
      <c r="A170" s="14">
        <v>2021</v>
      </c>
      <c r="B170" s="15">
        <v>210000</v>
      </c>
      <c r="C170" s="16" t="s">
        <v>57</v>
      </c>
      <c r="D170" s="24">
        <v>27569.5</v>
      </c>
      <c r="E170" s="25">
        <v>4229</v>
      </c>
      <c r="F170" s="26">
        <v>14.87</v>
      </c>
      <c r="G170" s="27">
        <v>3079</v>
      </c>
      <c r="H170" s="10">
        <v>1178402</v>
      </c>
      <c r="I170" s="30">
        <v>7310.36187176874</v>
      </c>
      <c r="J170" s="31">
        <v>5831.55</v>
      </c>
      <c r="K170" s="24">
        <v>6004236.4</v>
      </c>
      <c r="L170" s="10">
        <v>2190</v>
      </c>
      <c r="M170" s="10">
        <v>7706.9619</v>
      </c>
      <c r="N170" s="10">
        <v>755.124</v>
      </c>
      <c r="O170" s="10">
        <v>634.02</v>
      </c>
      <c r="P170" s="19">
        <v>131588</v>
      </c>
      <c r="Q170" s="19">
        <v>179238</v>
      </c>
      <c r="R170" s="38">
        <v>53134.84</v>
      </c>
      <c r="S170" s="20">
        <v>9783.9</v>
      </c>
      <c r="T170" s="39">
        <v>9386.5</v>
      </c>
      <c r="U170" s="22">
        <v>19217</v>
      </c>
      <c r="V170" s="22">
        <v>43051</v>
      </c>
      <c r="W170" s="32">
        <v>64992</v>
      </c>
      <c r="X170" s="10">
        <v>65026</v>
      </c>
      <c r="Y170" s="10">
        <f t="shared" si="75"/>
        <v>0.265161206107065</v>
      </c>
      <c r="Z170" s="10">
        <f t="shared" si="73"/>
        <v>17286.2659535794</v>
      </c>
      <c r="AA170" s="10">
        <f t="shared" si="76"/>
        <v>0.728068101205959</v>
      </c>
      <c r="AB170" s="10">
        <f t="shared" si="83"/>
        <v>0.0278647907306692</v>
      </c>
      <c r="AC170" s="10">
        <f t="shared" si="77"/>
        <v>0.211521790384301</v>
      </c>
      <c r="AD170" s="10">
        <f t="shared" si="74"/>
        <v>0.0217785465822739</v>
      </c>
      <c r="AE170" s="10">
        <f t="shared" si="69"/>
        <v>7.69165682281055</v>
      </c>
      <c r="AF170" s="10">
        <f t="shared" si="82"/>
        <v>0.279546669326611</v>
      </c>
      <c r="AG170" s="10">
        <f t="shared" si="80"/>
        <v>0.027389832967591</v>
      </c>
      <c r="AH170" s="10">
        <f t="shared" si="66"/>
        <v>0.022997152650574</v>
      </c>
      <c r="AI170" s="10">
        <f t="shared" si="67"/>
        <v>284.398117014122</v>
      </c>
      <c r="AJ170" s="10">
        <f t="shared" si="79"/>
        <v>1.92730517419612</v>
      </c>
      <c r="AK170" s="10">
        <f t="shared" si="72"/>
        <v>23.8839009189196</v>
      </c>
      <c r="AL170" s="10">
        <f t="shared" si="71"/>
        <v>0.354881299987305</v>
      </c>
      <c r="AM170" s="10">
        <f t="shared" si="81"/>
        <v>0.340466820217995</v>
      </c>
      <c r="AN170" s="10">
        <f t="shared" si="78"/>
        <v>2.24025602331269</v>
      </c>
    </row>
    <row r="171" ht="16" spans="1:40">
      <c r="A171" s="14">
        <v>2022</v>
      </c>
      <c r="B171" s="15">
        <v>210000</v>
      </c>
      <c r="C171" s="16" t="s">
        <v>57</v>
      </c>
      <c r="D171" s="24">
        <v>28826.1</v>
      </c>
      <c r="E171" s="25">
        <v>4197</v>
      </c>
      <c r="F171" s="26">
        <v>14.87</v>
      </c>
      <c r="G171" s="27">
        <v>3064</v>
      </c>
      <c r="H171" s="10">
        <v>1180201</v>
      </c>
      <c r="I171" s="30">
        <v>7573.53489915242</v>
      </c>
      <c r="J171" s="31">
        <v>6212.44</v>
      </c>
      <c r="K171" s="24">
        <v>6209177.1</v>
      </c>
      <c r="L171" s="10">
        <v>2122</v>
      </c>
      <c r="M171" s="10">
        <v>7981.1903</v>
      </c>
      <c r="N171" s="10">
        <v>971.35</v>
      </c>
      <c r="O171" s="10">
        <v>631.1895</v>
      </c>
      <c r="P171" s="35">
        <v>131065</v>
      </c>
      <c r="Q171" s="35">
        <v>166281</v>
      </c>
      <c r="R171" s="38">
        <v>54321</v>
      </c>
      <c r="S171" s="20">
        <v>9526.2</v>
      </c>
      <c r="T171" s="39">
        <v>9929.6</v>
      </c>
      <c r="U171" s="22">
        <v>19908</v>
      </c>
      <c r="V171" s="22">
        <v>44003</v>
      </c>
      <c r="W171" s="32">
        <v>68422</v>
      </c>
      <c r="X171" s="10">
        <v>68775</v>
      </c>
      <c r="Y171" s="10">
        <f t="shared" si="75"/>
        <v>0.26273186102707</v>
      </c>
      <c r="Z171" s="10">
        <f t="shared" si="73"/>
        <v>18045.1153184475</v>
      </c>
      <c r="AA171" s="10">
        <f t="shared" si="76"/>
        <v>0.73004527043126</v>
      </c>
      <c r="AB171" s="10">
        <f t="shared" si="83"/>
        <v>0.0281201096020967</v>
      </c>
      <c r="AC171" s="10">
        <f t="shared" si="77"/>
        <v>0.215514412286088</v>
      </c>
      <c r="AD171" s="10">
        <f t="shared" si="74"/>
        <v>0.0215401219727955</v>
      </c>
      <c r="AE171" s="10">
        <f t="shared" si="69"/>
        <v>7.66011431917393</v>
      </c>
      <c r="AF171" s="10">
        <f t="shared" si="82"/>
        <v>0.276873746361804</v>
      </c>
      <c r="AG171" s="10">
        <f t="shared" si="80"/>
        <v>0.033696892746504</v>
      </c>
      <c r="AH171" s="10">
        <f t="shared" si="66"/>
        <v>0.0218964584178921</v>
      </c>
      <c r="AI171" s="10">
        <f t="shared" si="67"/>
        <v>282.246133154001</v>
      </c>
      <c r="AJ171" s="10">
        <f t="shared" si="79"/>
        <v>1.88443806134024</v>
      </c>
      <c r="AK171" s="10">
        <f t="shared" si="72"/>
        <v>23.8048830696321</v>
      </c>
      <c r="AL171" s="10">
        <f t="shared" si="71"/>
        <v>0.330471343678125</v>
      </c>
      <c r="AM171" s="10">
        <f t="shared" si="81"/>
        <v>0.344465605822501</v>
      </c>
      <c r="AN171" s="10">
        <f t="shared" si="78"/>
        <v>2.21031746031746</v>
      </c>
    </row>
    <row r="172" ht="31" spans="1:40">
      <c r="A172" s="14">
        <v>2013</v>
      </c>
      <c r="B172" s="15">
        <v>150000</v>
      </c>
      <c r="C172" s="16" t="s">
        <v>58</v>
      </c>
      <c r="D172" s="24">
        <v>11392.4</v>
      </c>
      <c r="E172" s="25">
        <v>2455</v>
      </c>
      <c r="F172" s="26">
        <v>118.3</v>
      </c>
      <c r="G172" s="27">
        <v>1469</v>
      </c>
      <c r="H172" s="10">
        <v>399201</v>
      </c>
      <c r="I172" s="30">
        <v>14217.4</v>
      </c>
      <c r="J172" s="31">
        <v>3684.9</v>
      </c>
      <c r="K172" s="24">
        <v>1171877</v>
      </c>
      <c r="L172" s="10">
        <v>1370</v>
      </c>
      <c r="M172" s="10">
        <v>742.84783</v>
      </c>
      <c r="N172" s="10">
        <v>38.74</v>
      </c>
      <c r="O172" s="10">
        <v>311.2277</v>
      </c>
      <c r="P172" s="19">
        <v>167515</v>
      </c>
      <c r="Q172" s="19">
        <v>164346</v>
      </c>
      <c r="R172" s="38">
        <v>12944.17</v>
      </c>
      <c r="S172" s="20">
        <v>5114.2</v>
      </c>
      <c r="T172" s="39">
        <v>3823.6</v>
      </c>
      <c r="U172" s="22">
        <v>8985</v>
      </c>
      <c r="V172" s="22">
        <v>26004</v>
      </c>
      <c r="W172" s="32">
        <v>46320</v>
      </c>
      <c r="X172" s="10">
        <v>67835.6008</v>
      </c>
      <c r="Y172" s="10">
        <f t="shared" si="75"/>
        <v>1.24797233243215</v>
      </c>
      <c r="Z172" s="10">
        <f t="shared" si="73"/>
        <v>57912.016293279</v>
      </c>
      <c r="AA172" s="10">
        <f t="shared" si="76"/>
        <v>0.59837067209776</v>
      </c>
      <c r="AB172" s="10">
        <f t="shared" si="83"/>
        <v>0.016260733197556</v>
      </c>
      <c r="AC172" s="10">
        <f t="shared" si="77"/>
        <v>0.32345247708999</v>
      </c>
      <c r="AD172" s="10">
        <f t="shared" si="74"/>
        <v>0.010286480460658</v>
      </c>
      <c r="AE172" s="10">
        <f t="shared" si="69"/>
        <v>7.22256601882217</v>
      </c>
      <c r="AF172" s="10">
        <f t="shared" si="82"/>
        <v>0.0652055607246937</v>
      </c>
      <c r="AG172" s="10">
        <f t="shared" si="80"/>
        <v>0.00340051262245005</v>
      </c>
      <c r="AH172" s="10">
        <f t="shared" si="66"/>
        <v>0.0273188880306169</v>
      </c>
      <c r="AI172" s="10">
        <f t="shared" si="67"/>
        <v>20.7523245984784</v>
      </c>
      <c r="AJ172" s="10">
        <f t="shared" si="79"/>
        <v>1.13621098276044</v>
      </c>
      <c r="AK172" s="10">
        <f t="shared" si="72"/>
        <v>24.0385574189703</v>
      </c>
      <c r="AL172" s="10">
        <f t="shared" si="71"/>
        <v>0.448913310628138</v>
      </c>
      <c r="AM172" s="10">
        <f t="shared" si="81"/>
        <v>0.335627260278782</v>
      </c>
      <c r="AN172" s="10">
        <f t="shared" si="78"/>
        <v>2.89415692821369</v>
      </c>
    </row>
    <row r="173" ht="31" spans="1:40">
      <c r="A173" s="14">
        <v>2014</v>
      </c>
      <c r="B173" s="15">
        <v>150000</v>
      </c>
      <c r="C173" s="16" t="s">
        <v>58</v>
      </c>
      <c r="D173" s="24">
        <v>12158.2</v>
      </c>
      <c r="E173" s="25">
        <v>2449</v>
      </c>
      <c r="F173" s="26">
        <v>118.3</v>
      </c>
      <c r="G173" s="27">
        <v>1493</v>
      </c>
      <c r="H173" s="10">
        <v>406414</v>
      </c>
      <c r="I173" s="30">
        <v>17591.83</v>
      </c>
      <c r="J173" s="31">
        <v>3879.18</v>
      </c>
      <c r="K173" s="24">
        <v>1221346</v>
      </c>
      <c r="L173" s="10">
        <v>1360</v>
      </c>
      <c r="M173" s="10">
        <v>894.16569</v>
      </c>
      <c r="N173" s="10">
        <v>13.94</v>
      </c>
      <c r="O173" s="10">
        <v>336.0364</v>
      </c>
      <c r="P173" s="19">
        <v>172167</v>
      </c>
      <c r="Q173" s="19">
        <v>191869</v>
      </c>
      <c r="R173" s="38">
        <v>14947.07</v>
      </c>
      <c r="S173" s="20">
        <v>5657.6</v>
      </c>
      <c r="T173" s="39">
        <v>4008.3</v>
      </c>
      <c r="U173" s="22">
        <v>9976</v>
      </c>
      <c r="V173" s="22">
        <v>28350</v>
      </c>
      <c r="W173" s="32">
        <v>49585</v>
      </c>
      <c r="X173" s="10">
        <v>71046.3688</v>
      </c>
      <c r="Y173" s="10">
        <f t="shared" si="75"/>
        <v>1.44691072691681</v>
      </c>
      <c r="Z173" s="10">
        <f t="shared" si="73"/>
        <v>71832.7072274398</v>
      </c>
      <c r="AA173" s="10">
        <f t="shared" ref="AA173:AA194" si="84">G173/E173</f>
        <v>0.60963658636178</v>
      </c>
      <c r="AB173" s="10">
        <f t="shared" si="83"/>
        <v>0.016595100040833</v>
      </c>
      <c r="AC173" s="10">
        <f t="shared" si="77"/>
        <v>0.31905874224803</v>
      </c>
      <c r="AD173" s="10">
        <f t="shared" si="74"/>
        <v>0.0100454508068629</v>
      </c>
      <c r="AE173" s="10">
        <f t="shared" si="69"/>
        <v>7.2152399787301</v>
      </c>
      <c r="AF173" s="10">
        <f t="shared" si="82"/>
        <v>0.0735442491487227</v>
      </c>
      <c r="AG173" s="10">
        <f t="shared" si="80"/>
        <v>0.00114655129871198</v>
      </c>
      <c r="AH173" s="10">
        <f t="shared" si="66"/>
        <v>0.0276386636179698</v>
      </c>
      <c r="AI173" s="10">
        <f t="shared" si="67"/>
        <v>20.7016060862215</v>
      </c>
      <c r="AJ173" s="10">
        <f t="shared" si="79"/>
        <v>1.22938181638729</v>
      </c>
      <c r="AK173" s="10">
        <f t="shared" si="72"/>
        <v>24.2207883414566</v>
      </c>
      <c r="AL173" s="10">
        <f t="shared" si="71"/>
        <v>0.465332039282131</v>
      </c>
      <c r="AM173" s="10">
        <f t="shared" si="81"/>
        <v>0.329678735339113</v>
      </c>
      <c r="AN173" s="10">
        <f t="shared" si="78"/>
        <v>2.84182036888532</v>
      </c>
    </row>
    <row r="174" ht="31" spans="1:40">
      <c r="A174" s="14">
        <v>2015</v>
      </c>
      <c r="B174" s="15">
        <v>150000</v>
      </c>
      <c r="C174" s="16" t="s">
        <v>58</v>
      </c>
      <c r="D174" s="24">
        <v>12949</v>
      </c>
      <c r="E174" s="25">
        <v>2440</v>
      </c>
      <c r="F174" s="26">
        <v>118.3</v>
      </c>
      <c r="G174" s="27">
        <v>1515</v>
      </c>
      <c r="H174" s="10">
        <v>420807</v>
      </c>
      <c r="I174" s="30">
        <v>13702.22</v>
      </c>
      <c r="J174" s="31">
        <v>4251.71</v>
      </c>
      <c r="K174" s="24">
        <v>1360616.5</v>
      </c>
      <c r="L174" s="10">
        <v>1351</v>
      </c>
      <c r="M174" s="10">
        <v>792.94701</v>
      </c>
      <c r="N174" s="10">
        <v>15.39</v>
      </c>
      <c r="O174" s="10">
        <v>400.3007</v>
      </c>
      <c r="P174" s="19">
        <v>175374</v>
      </c>
      <c r="Q174" s="19">
        <v>175112</v>
      </c>
      <c r="R174" s="38">
        <v>17140.67</v>
      </c>
      <c r="S174" s="20">
        <v>4103.5</v>
      </c>
      <c r="T174" s="39">
        <v>4121.2</v>
      </c>
      <c r="U174" s="22">
        <v>10776</v>
      </c>
      <c r="V174" s="22">
        <v>30594</v>
      </c>
      <c r="W174" s="32">
        <v>52972</v>
      </c>
      <c r="X174" s="10">
        <v>71100.5442</v>
      </c>
      <c r="Y174" s="10">
        <f t="shared" si="75"/>
        <v>1.05816819831647</v>
      </c>
      <c r="Z174" s="10">
        <f t="shared" si="73"/>
        <v>56156.6393442623</v>
      </c>
      <c r="AA174" s="10">
        <f t="shared" si="84"/>
        <v>0.620901639344262</v>
      </c>
      <c r="AB174" s="10">
        <f t="shared" si="83"/>
        <v>0.0172461885245902</v>
      </c>
      <c r="AC174" s="10">
        <f t="shared" si="77"/>
        <v>0.328342729168276</v>
      </c>
      <c r="AD174" s="10">
        <f t="shared" si="74"/>
        <v>0.0105075025098463</v>
      </c>
      <c r="AE174" s="10">
        <f t="shared" si="69"/>
        <v>7.2086003379602</v>
      </c>
      <c r="AF174" s="10">
        <f t="shared" si="82"/>
        <v>0.0612361580044791</v>
      </c>
      <c r="AG174" s="10">
        <f t="shared" si="80"/>
        <v>0.00118850876515561</v>
      </c>
      <c r="AH174" s="10">
        <f t="shared" si="66"/>
        <v>0.0309136381187737</v>
      </c>
      <c r="AI174" s="10">
        <f t="shared" si="67"/>
        <v>20.625528317836</v>
      </c>
      <c r="AJ174" s="10">
        <f t="shared" si="79"/>
        <v>1.3237060776894</v>
      </c>
      <c r="AK174" s="10">
        <f t="shared" si="72"/>
        <v>24.1478571635145</v>
      </c>
      <c r="AL174" s="10">
        <f t="shared" si="71"/>
        <v>0.316897057687852</v>
      </c>
      <c r="AM174" s="10">
        <f t="shared" si="81"/>
        <v>0.318263958606842</v>
      </c>
      <c r="AN174" s="10">
        <f t="shared" si="78"/>
        <v>2.8390868596882</v>
      </c>
    </row>
    <row r="175" ht="31" spans="1:40">
      <c r="A175" s="14">
        <v>2016</v>
      </c>
      <c r="B175" s="15">
        <v>150000</v>
      </c>
      <c r="C175" s="16" t="s">
        <v>58</v>
      </c>
      <c r="D175" s="24">
        <v>13789.3</v>
      </c>
      <c r="E175" s="25">
        <v>2436</v>
      </c>
      <c r="F175" s="26">
        <v>118.3</v>
      </c>
      <c r="G175" s="27">
        <v>1544</v>
      </c>
      <c r="H175" s="10">
        <v>436699</v>
      </c>
      <c r="I175" s="30">
        <v>15080.01</v>
      </c>
      <c r="J175" s="31">
        <v>4510.34</v>
      </c>
      <c r="K175" s="24">
        <v>1475124.2</v>
      </c>
      <c r="L175" s="10">
        <v>1326</v>
      </c>
      <c r="M175" s="10">
        <v>773.18371</v>
      </c>
      <c r="N175" s="10">
        <v>12.05</v>
      </c>
      <c r="O175" s="10">
        <v>276.8879</v>
      </c>
      <c r="P175" s="19">
        <v>196061</v>
      </c>
      <c r="Q175" s="19">
        <v>186726</v>
      </c>
      <c r="R175" s="38">
        <v>19361.01</v>
      </c>
      <c r="S175" s="20">
        <v>4415.9</v>
      </c>
      <c r="T175" s="39">
        <v>4357.1</v>
      </c>
      <c r="U175" s="22">
        <v>11609</v>
      </c>
      <c r="V175" s="22">
        <v>32975</v>
      </c>
      <c r="W175" s="32">
        <v>56560</v>
      </c>
      <c r="X175" s="10">
        <v>72064</v>
      </c>
      <c r="Y175" s="10">
        <f t="shared" si="75"/>
        <v>1.09360228583032</v>
      </c>
      <c r="Z175" s="10">
        <f t="shared" si="73"/>
        <v>61904.802955665</v>
      </c>
      <c r="AA175" s="10">
        <f t="shared" si="84"/>
        <v>0.633825944170772</v>
      </c>
      <c r="AB175" s="10">
        <f t="shared" si="83"/>
        <v>0.0179268883415435</v>
      </c>
      <c r="AC175" s="10">
        <f t="shared" si="77"/>
        <v>0.327089845024766</v>
      </c>
      <c r="AD175" s="10">
        <f t="shared" si="74"/>
        <v>0.0106976003132864</v>
      </c>
      <c r="AE175" s="10">
        <f t="shared" si="69"/>
        <v>7.18992217074581</v>
      </c>
      <c r="AF175" s="10">
        <f t="shared" si="82"/>
        <v>0.0560712806306339</v>
      </c>
      <c r="AG175" s="10">
        <f t="shared" si="80"/>
        <v>0.000873865968540825</v>
      </c>
      <c r="AH175" s="10">
        <f t="shared" si="66"/>
        <v>0.0200799097851232</v>
      </c>
      <c r="AI175" s="10">
        <f t="shared" si="67"/>
        <v>20.5917159763314</v>
      </c>
      <c r="AJ175" s="10">
        <f t="shared" si="79"/>
        <v>1.40406039465383</v>
      </c>
      <c r="AK175" s="10">
        <f t="shared" ref="AK175:AK194" si="85">LN(P175)+LN(Q175)</f>
        <v>24.3235786949624</v>
      </c>
      <c r="AL175" s="10">
        <f t="shared" si="71"/>
        <v>0.320241056471322</v>
      </c>
      <c r="AM175" s="10">
        <f t="shared" si="81"/>
        <v>0.315976880624832</v>
      </c>
      <c r="AN175" s="10">
        <f t="shared" si="78"/>
        <v>2.84046860194677</v>
      </c>
    </row>
    <row r="176" ht="31" spans="1:40">
      <c r="A176" s="14">
        <v>2017</v>
      </c>
      <c r="B176" s="15">
        <v>150000</v>
      </c>
      <c r="C176" s="16" t="s">
        <v>58</v>
      </c>
      <c r="D176" s="24">
        <v>14898.1</v>
      </c>
      <c r="E176" s="25">
        <v>2433</v>
      </c>
      <c r="F176" s="26">
        <v>118.3</v>
      </c>
      <c r="G176" s="27">
        <v>1572</v>
      </c>
      <c r="H176" s="10">
        <v>448092</v>
      </c>
      <c r="I176" s="30">
        <v>14013.16</v>
      </c>
      <c r="J176" s="31">
        <v>4528.95</v>
      </c>
      <c r="K176" s="24">
        <v>1323278</v>
      </c>
      <c r="L176" s="10">
        <v>1317</v>
      </c>
      <c r="M176" s="10">
        <v>936.71253</v>
      </c>
      <c r="N176" s="10">
        <v>19.61</v>
      </c>
      <c r="O176" s="10">
        <v>525.4918</v>
      </c>
      <c r="P176" s="19">
        <v>199423</v>
      </c>
      <c r="Q176" s="19">
        <v>213318</v>
      </c>
      <c r="R176" s="38">
        <v>21456.03</v>
      </c>
      <c r="S176" s="20">
        <v>4642.6</v>
      </c>
      <c r="T176" s="39">
        <v>4672</v>
      </c>
      <c r="U176" s="22">
        <v>12584</v>
      </c>
      <c r="V176" s="22">
        <v>35670</v>
      </c>
      <c r="W176" s="32">
        <v>61196</v>
      </c>
      <c r="X176" s="10">
        <v>63764</v>
      </c>
      <c r="Y176" s="10">
        <f t="shared" si="75"/>
        <v>0.940600479255744</v>
      </c>
      <c r="Z176" s="10">
        <f t="shared" si="73"/>
        <v>57596.2186600904</v>
      </c>
      <c r="AA176" s="10">
        <f t="shared" si="84"/>
        <v>0.646115906288533</v>
      </c>
      <c r="AB176" s="10">
        <f t="shared" si="83"/>
        <v>0.0184172626387176</v>
      </c>
      <c r="AC176" s="10">
        <f t="shared" si="77"/>
        <v>0.303995140319907</v>
      </c>
      <c r="AD176" s="10">
        <f t="shared" si="74"/>
        <v>0.00888219303132614</v>
      </c>
      <c r="AE176" s="10">
        <f t="shared" si="69"/>
        <v>7.18311170174328</v>
      </c>
      <c r="AF176" s="10">
        <f t="shared" si="82"/>
        <v>0.0628746303219874</v>
      </c>
      <c r="AG176" s="10">
        <f t="shared" si="80"/>
        <v>0.00131627522972728</v>
      </c>
      <c r="AH176" s="10">
        <f t="shared" si="66"/>
        <v>0.0352724038635799</v>
      </c>
      <c r="AI176" s="10">
        <f t="shared" si="67"/>
        <v>20.5663567202029</v>
      </c>
      <c r="AJ176" s="10">
        <f t="shared" si="79"/>
        <v>1.44018566125882</v>
      </c>
      <c r="AK176" s="10">
        <f t="shared" si="85"/>
        <v>24.4737227649808</v>
      </c>
      <c r="AL176" s="10">
        <f t="shared" si="71"/>
        <v>0.311623629858841</v>
      </c>
      <c r="AM176" s="10">
        <f t="shared" si="81"/>
        <v>0.313597035863634</v>
      </c>
      <c r="AN176" s="10">
        <f t="shared" si="78"/>
        <v>2.83455181182454</v>
      </c>
    </row>
    <row r="177" ht="31" spans="1:40">
      <c r="A177" s="14">
        <v>2018</v>
      </c>
      <c r="B177" s="15">
        <v>150000</v>
      </c>
      <c r="C177" s="16" t="s">
        <v>58</v>
      </c>
      <c r="D177" s="24">
        <v>16140.8</v>
      </c>
      <c r="E177" s="25">
        <v>2422</v>
      </c>
      <c r="F177" s="26">
        <v>118.3</v>
      </c>
      <c r="G177" s="27">
        <v>1587</v>
      </c>
      <c r="H177" s="10">
        <v>455284</v>
      </c>
      <c r="I177" s="30">
        <v>10047.43572</v>
      </c>
      <c r="J177" s="31">
        <v>4830.14</v>
      </c>
      <c r="K177" s="24">
        <v>1292187</v>
      </c>
      <c r="L177" s="10">
        <v>1304</v>
      </c>
      <c r="M177" s="10">
        <v>1038.2877</v>
      </c>
      <c r="N177" s="10">
        <v>19.84</v>
      </c>
      <c r="O177" s="10">
        <v>1315.1222</v>
      </c>
      <c r="P177" s="19">
        <v>202641</v>
      </c>
      <c r="Q177" s="19">
        <v>232525</v>
      </c>
      <c r="R177" s="38">
        <v>22085.22</v>
      </c>
      <c r="S177" s="20">
        <v>4852.3</v>
      </c>
      <c r="T177" s="39">
        <v>5104.2</v>
      </c>
      <c r="U177" s="22">
        <v>13803</v>
      </c>
      <c r="V177" s="22">
        <v>38305</v>
      </c>
      <c r="W177" s="32">
        <v>66491</v>
      </c>
      <c r="X177" s="10">
        <v>68302</v>
      </c>
      <c r="Y177" s="10">
        <f t="shared" si="75"/>
        <v>0.622486848235527</v>
      </c>
      <c r="Z177" s="10">
        <f t="shared" si="73"/>
        <v>41484.0450867052</v>
      </c>
      <c r="AA177" s="10">
        <f t="shared" si="84"/>
        <v>0.655243600330305</v>
      </c>
      <c r="AB177" s="10">
        <f t="shared" si="83"/>
        <v>0.018797853014038</v>
      </c>
      <c r="AC177" s="10">
        <f t="shared" si="77"/>
        <v>0.299250346946868</v>
      </c>
      <c r="AD177" s="10">
        <f t="shared" si="74"/>
        <v>0.00800571842783505</v>
      </c>
      <c r="AE177" s="10">
        <f t="shared" si="69"/>
        <v>7.1731917424866</v>
      </c>
      <c r="AF177" s="10">
        <f t="shared" si="82"/>
        <v>0.0643269044904838</v>
      </c>
      <c r="AG177" s="10">
        <f t="shared" si="80"/>
        <v>0.00122918318794607</v>
      </c>
      <c r="AH177" s="10">
        <f t="shared" si="66"/>
        <v>0.0814781299563838</v>
      </c>
      <c r="AI177" s="10">
        <f t="shared" si="67"/>
        <v>20.4733727810651</v>
      </c>
      <c r="AJ177" s="10">
        <f t="shared" si="79"/>
        <v>1.36828533901665</v>
      </c>
      <c r="AK177" s="10">
        <f t="shared" si="85"/>
        <v>24.5759442446339</v>
      </c>
      <c r="AL177" s="10">
        <f t="shared" si="71"/>
        <v>0.300623265265662</v>
      </c>
      <c r="AM177" s="10">
        <f t="shared" si="81"/>
        <v>0.316229678826328</v>
      </c>
      <c r="AN177" s="10">
        <f t="shared" si="78"/>
        <v>2.77512135043107</v>
      </c>
    </row>
    <row r="178" ht="31" spans="1:40">
      <c r="A178" s="14">
        <v>2019</v>
      </c>
      <c r="B178" s="15">
        <v>150000</v>
      </c>
      <c r="C178" s="16" t="s">
        <v>58</v>
      </c>
      <c r="D178" s="24">
        <v>17212.5</v>
      </c>
      <c r="E178" s="25">
        <v>2415</v>
      </c>
      <c r="F178" s="26">
        <v>118.3</v>
      </c>
      <c r="G178" s="27">
        <v>1605</v>
      </c>
      <c r="H178" s="10">
        <v>472033</v>
      </c>
      <c r="I178" s="30">
        <v>10720.61391324</v>
      </c>
      <c r="J178" s="31">
        <v>5077.41</v>
      </c>
      <c r="K178" s="24">
        <v>1478091.7</v>
      </c>
      <c r="L178" s="10">
        <v>1272</v>
      </c>
      <c r="M178" s="10">
        <v>1099.5841</v>
      </c>
      <c r="N178" s="10">
        <v>22.48</v>
      </c>
      <c r="O178" s="10">
        <v>2126.1721</v>
      </c>
      <c r="P178" s="19">
        <v>206089</v>
      </c>
      <c r="Q178" s="19">
        <v>188450</v>
      </c>
      <c r="R178" s="38">
        <v>23085.12</v>
      </c>
      <c r="S178" s="20">
        <v>5051.1</v>
      </c>
      <c r="T178" s="39">
        <v>5458.6</v>
      </c>
      <c r="U178" s="22">
        <v>15283</v>
      </c>
      <c r="V178" s="22">
        <v>40782</v>
      </c>
      <c r="W178" s="32">
        <v>71170</v>
      </c>
      <c r="X178" s="10">
        <v>67852.13</v>
      </c>
      <c r="Y178" s="10">
        <f t="shared" si="75"/>
        <v>0.622838862061874</v>
      </c>
      <c r="Z178" s="10">
        <f t="shared" ref="Z178:Z214" si="86">(I178/E178)*10000</f>
        <v>44391.7760382609</v>
      </c>
      <c r="AA178" s="10">
        <f t="shared" si="84"/>
        <v>0.664596273291925</v>
      </c>
      <c r="AB178" s="10">
        <f t="shared" si="83"/>
        <v>0.0195458799171843</v>
      </c>
      <c r="AC178" s="10">
        <f t="shared" si="77"/>
        <v>0.294983877995643</v>
      </c>
      <c r="AD178" s="10">
        <f t="shared" si="74"/>
        <v>0.00858731561365287</v>
      </c>
      <c r="AE178" s="10">
        <f t="shared" si="69"/>
        <v>7.14834574390007</v>
      </c>
      <c r="AF178" s="10">
        <f t="shared" si="82"/>
        <v>0.0638828816267248</v>
      </c>
      <c r="AG178" s="10">
        <f t="shared" si="80"/>
        <v>0.00130602759622367</v>
      </c>
      <c r="AH178" s="10">
        <f t="shared" si="66"/>
        <v>0.123524885984023</v>
      </c>
      <c r="AI178" s="10">
        <f t="shared" si="67"/>
        <v>20.414201183432</v>
      </c>
      <c r="AJ178" s="10">
        <f t="shared" si="79"/>
        <v>1.3411834422658</v>
      </c>
      <c r="AK178" s="10">
        <f t="shared" si="85"/>
        <v>24.382651392</v>
      </c>
      <c r="AL178" s="10">
        <f t="shared" si="71"/>
        <v>0.293455337690632</v>
      </c>
      <c r="AM178" s="10">
        <f t="shared" si="81"/>
        <v>0.317129992737836</v>
      </c>
      <c r="AN178" s="10">
        <f t="shared" si="78"/>
        <v>2.66845514624092</v>
      </c>
    </row>
    <row r="179" ht="31" spans="1:40">
      <c r="A179" s="14">
        <v>2020</v>
      </c>
      <c r="B179" s="15">
        <v>150000</v>
      </c>
      <c r="C179" s="16" t="s">
        <v>58</v>
      </c>
      <c r="D179" s="24">
        <v>17258</v>
      </c>
      <c r="E179" s="25">
        <v>2403</v>
      </c>
      <c r="F179" s="26">
        <v>118.3</v>
      </c>
      <c r="G179" s="27">
        <v>1622</v>
      </c>
      <c r="H179" s="10">
        <v>841986</v>
      </c>
      <c r="I179" s="30">
        <v>10559.8047045414</v>
      </c>
      <c r="J179" s="31">
        <v>5239.27</v>
      </c>
      <c r="K179" s="24">
        <v>1610703</v>
      </c>
      <c r="L179" s="10">
        <v>1242</v>
      </c>
      <c r="M179" s="10">
        <v>1050.001</v>
      </c>
      <c r="N179" s="10">
        <v>35.95</v>
      </c>
      <c r="O179" s="10">
        <v>2648.4118</v>
      </c>
      <c r="P179" s="19">
        <v>210217</v>
      </c>
      <c r="Q179" s="19">
        <v>178071</v>
      </c>
      <c r="R179" s="38">
        <v>23249.19</v>
      </c>
      <c r="S179" s="20">
        <v>4760.5</v>
      </c>
      <c r="T179" s="39">
        <v>5597.6</v>
      </c>
      <c r="U179" s="22">
        <v>16567</v>
      </c>
      <c r="V179" s="22">
        <v>41353</v>
      </c>
      <c r="W179" s="32">
        <v>71640</v>
      </c>
      <c r="X179" s="10">
        <v>72062.35</v>
      </c>
      <c r="Y179" s="10">
        <f t="shared" si="75"/>
        <v>0.611878821679302</v>
      </c>
      <c r="Z179" s="10">
        <f t="shared" si="86"/>
        <v>43944.2559489863</v>
      </c>
      <c r="AA179" s="10">
        <f t="shared" si="84"/>
        <v>0.674989596337911</v>
      </c>
      <c r="AB179" s="10">
        <f t="shared" si="83"/>
        <v>0.0350389513108614</v>
      </c>
      <c r="AC179" s="10">
        <f t="shared" si="77"/>
        <v>0.30358500405609</v>
      </c>
      <c r="AD179" s="10">
        <f t="shared" si="74"/>
        <v>0.0093330803105806</v>
      </c>
      <c r="AE179" s="10">
        <f t="shared" ref="AE179:AE218" si="87">LN(L179)</f>
        <v>7.12447826249342</v>
      </c>
      <c r="AF179" s="10">
        <f t="shared" si="82"/>
        <v>0.060841406883764</v>
      </c>
      <c r="AG179" s="10">
        <f t="shared" si="80"/>
        <v>0.00208309189940897</v>
      </c>
      <c r="AH179" s="10">
        <f t="shared" si="66"/>
        <v>0.153459949009155</v>
      </c>
      <c r="AI179" s="10">
        <f t="shared" si="67"/>
        <v>20.312764158918</v>
      </c>
      <c r="AJ179" s="10">
        <f t="shared" si="79"/>
        <v>1.34715436319388</v>
      </c>
      <c r="AK179" s="10">
        <f t="shared" si="85"/>
        <v>24.3458332356602</v>
      </c>
      <c r="AL179" s="10">
        <f t="shared" si="71"/>
        <v>0.275843087263878</v>
      </c>
      <c r="AM179" s="10">
        <f t="shared" si="81"/>
        <v>0.324348128404218</v>
      </c>
      <c r="AN179" s="10">
        <f t="shared" si="78"/>
        <v>2.49610671817468</v>
      </c>
    </row>
    <row r="180" ht="31" spans="1:40">
      <c r="A180" s="14">
        <v>2021</v>
      </c>
      <c r="B180" s="15">
        <v>150000</v>
      </c>
      <c r="C180" s="16" t="s">
        <v>58</v>
      </c>
      <c r="D180" s="24">
        <v>21166</v>
      </c>
      <c r="E180" s="25">
        <v>2400</v>
      </c>
      <c r="F180" s="26">
        <v>118.3</v>
      </c>
      <c r="G180" s="27">
        <v>1637</v>
      </c>
      <c r="H180" s="10">
        <v>506809</v>
      </c>
      <c r="I180" s="30">
        <v>11594.6655655865</v>
      </c>
      <c r="J180" s="31">
        <v>5207.21</v>
      </c>
      <c r="K180" s="24">
        <v>1900594.8</v>
      </c>
      <c r="L180" s="10">
        <v>1218</v>
      </c>
      <c r="M180" s="10">
        <v>1234.8171</v>
      </c>
      <c r="N180" s="10">
        <v>41.1478</v>
      </c>
      <c r="O180" s="10">
        <v>359.78</v>
      </c>
      <c r="P180" s="19">
        <v>212603</v>
      </c>
      <c r="Q180" s="19">
        <v>215975</v>
      </c>
      <c r="R180" s="38">
        <v>24965.01</v>
      </c>
      <c r="S180" s="20">
        <v>5060.3</v>
      </c>
      <c r="T180" s="39">
        <v>8443.8</v>
      </c>
      <c r="U180" s="22">
        <v>18337</v>
      </c>
      <c r="V180" s="22">
        <v>44377</v>
      </c>
      <c r="W180" s="32">
        <v>88137</v>
      </c>
      <c r="X180" s="10">
        <v>85422</v>
      </c>
      <c r="Y180" s="10">
        <f t="shared" si="75"/>
        <v>0.547796728979802</v>
      </c>
      <c r="Z180" s="10">
        <f t="shared" si="86"/>
        <v>48311.1065232771</v>
      </c>
      <c r="AA180" s="10">
        <f t="shared" si="84"/>
        <v>0.682083333333333</v>
      </c>
      <c r="AB180" s="10">
        <f t="shared" si="83"/>
        <v>0.0211170416666667</v>
      </c>
      <c r="AC180" s="10">
        <f t="shared" si="77"/>
        <v>0.246017669847869</v>
      </c>
      <c r="AD180" s="10">
        <f t="shared" si="74"/>
        <v>0.00897947084947557</v>
      </c>
      <c r="AE180" s="10">
        <f t="shared" si="87"/>
        <v>7.10496544826984</v>
      </c>
      <c r="AF180" s="10">
        <f t="shared" si="82"/>
        <v>0.0583396532174242</v>
      </c>
      <c r="AG180" s="10">
        <f t="shared" si="80"/>
        <v>0.00194405178115846</v>
      </c>
      <c r="AH180" s="10">
        <f t="shared" si="66"/>
        <v>0.0169980156855334</v>
      </c>
      <c r="AI180" s="10">
        <f t="shared" si="67"/>
        <v>20.2874049027895</v>
      </c>
      <c r="AJ180" s="10">
        <f t="shared" si="79"/>
        <v>1.17948644051781</v>
      </c>
      <c r="AK180" s="10">
        <f t="shared" si="85"/>
        <v>24.5500997950241</v>
      </c>
      <c r="AL180" s="10">
        <f t="shared" ref="AL180:AL213" si="88">S180/D180</f>
        <v>0.239076821317207</v>
      </c>
      <c r="AM180" s="10">
        <f t="shared" si="81"/>
        <v>0.39893224983464</v>
      </c>
      <c r="AN180" s="10">
        <f t="shared" si="78"/>
        <v>2.42007962043955</v>
      </c>
    </row>
    <row r="181" ht="31" spans="1:40">
      <c r="A181" s="14">
        <v>2022</v>
      </c>
      <c r="B181" s="15">
        <v>150000</v>
      </c>
      <c r="C181" s="16" t="s">
        <v>58</v>
      </c>
      <c r="D181" s="24">
        <v>23388.9</v>
      </c>
      <c r="E181" s="25">
        <v>2401</v>
      </c>
      <c r="F181" s="26">
        <v>118.3</v>
      </c>
      <c r="G181" s="27">
        <v>1647</v>
      </c>
      <c r="H181" s="10">
        <v>534509</v>
      </c>
      <c r="I181" s="30">
        <v>13635.3267051297</v>
      </c>
      <c r="J181" s="31">
        <v>5848.96</v>
      </c>
      <c r="K181" s="24">
        <v>2095129.9</v>
      </c>
      <c r="L181" s="10">
        <v>1190</v>
      </c>
      <c r="M181" s="10">
        <v>1515.3903</v>
      </c>
      <c r="N181" s="10">
        <v>51.3</v>
      </c>
      <c r="O181" s="10">
        <v>354.1931</v>
      </c>
      <c r="P181" s="35">
        <v>216176</v>
      </c>
      <c r="Q181" s="35">
        <v>211615</v>
      </c>
      <c r="R181" s="38">
        <v>26918.95</v>
      </c>
      <c r="S181" s="20">
        <v>4971.4</v>
      </c>
      <c r="T181" s="39">
        <v>9761.2</v>
      </c>
      <c r="U181" s="22">
        <v>19641</v>
      </c>
      <c r="V181" s="22">
        <v>46295</v>
      </c>
      <c r="W181" s="32">
        <v>97433</v>
      </c>
      <c r="X181" s="10">
        <v>96474</v>
      </c>
      <c r="Y181" s="10">
        <f t="shared" si="75"/>
        <v>0.582982812579031</v>
      </c>
      <c r="Z181" s="10">
        <f t="shared" si="86"/>
        <v>56790.1986885868</v>
      </c>
      <c r="AA181" s="10">
        <f t="shared" si="84"/>
        <v>0.685964181591004</v>
      </c>
      <c r="AB181" s="10">
        <f t="shared" si="83"/>
        <v>0.0222619325281133</v>
      </c>
      <c r="AC181" s="10">
        <f t="shared" si="77"/>
        <v>0.250074180487325</v>
      </c>
      <c r="AD181" s="10">
        <f t="shared" si="74"/>
        <v>0.008957795792021</v>
      </c>
      <c r="AE181" s="10">
        <f t="shared" si="87"/>
        <v>7.08170858610557</v>
      </c>
      <c r="AF181" s="10">
        <f t="shared" si="82"/>
        <v>0.0647910034247015</v>
      </c>
      <c r="AG181" s="10">
        <f t="shared" si="80"/>
        <v>0.00219334812667547</v>
      </c>
      <c r="AH181" s="10">
        <f t="shared" si="66"/>
        <v>0.015143640786869</v>
      </c>
      <c r="AI181" s="10">
        <f t="shared" si="67"/>
        <v>20.2958579881657</v>
      </c>
      <c r="AJ181" s="10">
        <f t="shared" si="79"/>
        <v>1.15092843186298</v>
      </c>
      <c r="AK181" s="10">
        <f t="shared" si="85"/>
        <v>24.5463720346224</v>
      </c>
      <c r="AL181" s="10">
        <f t="shared" si="88"/>
        <v>0.212553818264219</v>
      </c>
      <c r="AM181" s="10">
        <f t="shared" si="81"/>
        <v>0.417343269670656</v>
      </c>
      <c r="AN181" s="10">
        <f t="shared" si="78"/>
        <v>2.35705921287103</v>
      </c>
    </row>
    <row r="182" ht="31" spans="1:40">
      <c r="A182" s="14">
        <v>2013</v>
      </c>
      <c r="B182" s="15">
        <v>640000</v>
      </c>
      <c r="C182" s="16" t="s">
        <v>59</v>
      </c>
      <c r="D182" s="24">
        <v>2327.7</v>
      </c>
      <c r="E182" s="25">
        <v>666</v>
      </c>
      <c r="F182" s="26">
        <v>6.64</v>
      </c>
      <c r="G182" s="27">
        <v>352</v>
      </c>
      <c r="H182" s="10">
        <v>104451</v>
      </c>
      <c r="I182" s="30">
        <v>2651.1</v>
      </c>
      <c r="J182" s="31">
        <v>922.48</v>
      </c>
      <c r="K182" s="24">
        <v>209042</v>
      </c>
      <c r="L182" s="10">
        <v>345</v>
      </c>
      <c r="M182" s="10">
        <v>199.27773</v>
      </c>
      <c r="N182" s="10">
        <v>1.43</v>
      </c>
      <c r="O182" s="10">
        <v>80.4293</v>
      </c>
      <c r="P182" s="19">
        <v>28554</v>
      </c>
      <c r="Q182" s="19">
        <v>40914.1</v>
      </c>
      <c r="R182" s="38">
        <v>3910.15</v>
      </c>
      <c r="S182" s="20">
        <v>668.5</v>
      </c>
      <c r="T182" s="39">
        <v>846.3</v>
      </c>
      <c r="U182" s="22">
        <v>7599</v>
      </c>
      <c r="V182" s="22">
        <v>21476</v>
      </c>
      <c r="W182" s="32">
        <v>35135</v>
      </c>
      <c r="X182" s="10">
        <v>39613</v>
      </c>
      <c r="Y182" s="10">
        <f t="shared" si="75"/>
        <v>1.13893542982343</v>
      </c>
      <c r="Z182" s="10">
        <f t="shared" si="86"/>
        <v>39806.3063063063</v>
      </c>
      <c r="AA182" s="10">
        <f t="shared" si="84"/>
        <v>0.528528528528528</v>
      </c>
      <c r="AB182" s="10">
        <f t="shared" si="83"/>
        <v>0.0156833333333333</v>
      </c>
      <c r="AC182" s="10">
        <f t="shared" si="77"/>
        <v>0.396305365811746</v>
      </c>
      <c r="AD182" s="10">
        <f t="shared" si="74"/>
        <v>0.00898062465094299</v>
      </c>
      <c r="AE182" s="10">
        <f t="shared" si="87"/>
        <v>5.84354441703136</v>
      </c>
      <c r="AF182" s="10">
        <f t="shared" si="82"/>
        <v>0.0856114318855523</v>
      </c>
      <c r="AG182" s="10">
        <f t="shared" si="80"/>
        <v>0.000614340335953946</v>
      </c>
      <c r="AH182" s="10">
        <f t="shared" si="66"/>
        <v>0.0345531211066718</v>
      </c>
      <c r="AI182" s="10">
        <f t="shared" si="67"/>
        <v>100.301204819277</v>
      </c>
      <c r="AJ182" s="10">
        <f t="shared" si="79"/>
        <v>1.67983417107016</v>
      </c>
      <c r="AK182" s="10">
        <f t="shared" si="85"/>
        <v>20.878782336246</v>
      </c>
      <c r="AL182" s="10">
        <f t="shared" si="88"/>
        <v>0.287193366842806</v>
      </c>
      <c r="AM182" s="10">
        <f t="shared" si="81"/>
        <v>0.363577780641835</v>
      </c>
      <c r="AN182" s="10">
        <f t="shared" si="78"/>
        <v>2.82616133701803</v>
      </c>
    </row>
    <row r="183" ht="31" spans="1:40">
      <c r="A183" s="14">
        <v>2014</v>
      </c>
      <c r="B183" s="15">
        <v>640000</v>
      </c>
      <c r="C183" s="16" t="s">
        <v>59</v>
      </c>
      <c r="D183" s="24">
        <v>2473.9</v>
      </c>
      <c r="E183" s="25">
        <v>678</v>
      </c>
      <c r="F183" s="26">
        <v>6.64</v>
      </c>
      <c r="G183" s="27">
        <v>372</v>
      </c>
      <c r="H183" s="10">
        <v>111432</v>
      </c>
      <c r="I183" s="30">
        <v>3173.79</v>
      </c>
      <c r="J183" s="31">
        <v>1000.46</v>
      </c>
      <c r="K183" s="24">
        <v>238580</v>
      </c>
      <c r="L183" s="10">
        <v>344</v>
      </c>
      <c r="M183" s="10">
        <v>333.8742</v>
      </c>
      <c r="N183" s="10">
        <v>3.18</v>
      </c>
      <c r="O183" s="10">
        <v>102.6331</v>
      </c>
      <c r="P183" s="19">
        <v>31276</v>
      </c>
      <c r="Q183" s="19">
        <v>41307.7</v>
      </c>
      <c r="R183" s="38">
        <v>4578.49</v>
      </c>
      <c r="S183" s="20">
        <v>737.2</v>
      </c>
      <c r="T183" s="39">
        <v>881</v>
      </c>
      <c r="U183" s="22">
        <v>8410</v>
      </c>
      <c r="V183" s="22">
        <v>23285</v>
      </c>
      <c r="W183" s="32">
        <v>36815</v>
      </c>
      <c r="X183" s="10">
        <v>41834</v>
      </c>
      <c r="Y183" s="10">
        <f t="shared" si="75"/>
        <v>1.28290957597316</v>
      </c>
      <c r="Z183" s="10">
        <f t="shared" si="86"/>
        <v>46811.0619469027</v>
      </c>
      <c r="AA183" s="10">
        <f t="shared" si="84"/>
        <v>0.548672566371681</v>
      </c>
      <c r="AB183" s="10">
        <f t="shared" si="83"/>
        <v>0.0164353982300885</v>
      </c>
      <c r="AC183" s="10">
        <f t="shared" si="77"/>
        <v>0.404405998625652</v>
      </c>
      <c r="AD183" s="10">
        <f t="shared" si="74"/>
        <v>0.00964388212943126</v>
      </c>
      <c r="AE183" s="10">
        <f t="shared" si="87"/>
        <v>5.8406416573734</v>
      </c>
      <c r="AF183" s="10">
        <f t="shared" si="82"/>
        <v>0.134958648288128</v>
      </c>
      <c r="AG183" s="10">
        <f t="shared" si="80"/>
        <v>0.00128541978252961</v>
      </c>
      <c r="AH183" s="10">
        <f t="shared" si="66"/>
        <v>0.0414863575730628</v>
      </c>
      <c r="AI183" s="10">
        <f t="shared" si="67"/>
        <v>102.10843373494</v>
      </c>
      <c r="AJ183" s="10">
        <f t="shared" si="79"/>
        <v>1.85071749060188</v>
      </c>
      <c r="AK183" s="10">
        <f t="shared" si="85"/>
        <v>20.9794105114936</v>
      </c>
      <c r="AL183" s="10">
        <f t="shared" si="88"/>
        <v>0.297991026314726</v>
      </c>
      <c r="AM183" s="10">
        <f t="shared" si="81"/>
        <v>0.356117870568738</v>
      </c>
      <c r="AN183" s="10">
        <f t="shared" si="78"/>
        <v>2.76872770511296</v>
      </c>
    </row>
    <row r="184" ht="31" spans="1:40">
      <c r="A184" s="14">
        <v>2015</v>
      </c>
      <c r="B184" s="15">
        <v>640000</v>
      </c>
      <c r="C184" s="16" t="s">
        <v>59</v>
      </c>
      <c r="D184" s="24">
        <v>2579.4</v>
      </c>
      <c r="E184" s="25">
        <v>684</v>
      </c>
      <c r="F184" s="26">
        <v>6.64</v>
      </c>
      <c r="G184" s="27">
        <v>390</v>
      </c>
      <c r="H184" s="10">
        <v>115007</v>
      </c>
      <c r="I184" s="30">
        <v>3505.45</v>
      </c>
      <c r="J184" s="31">
        <v>1138.27</v>
      </c>
      <c r="K184" s="24">
        <v>254842</v>
      </c>
      <c r="L184" s="10">
        <v>343</v>
      </c>
      <c r="M184" s="10">
        <v>232.89576</v>
      </c>
      <c r="N184" s="10">
        <v>3.52</v>
      </c>
      <c r="O184" s="10">
        <v>135.4159</v>
      </c>
      <c r="P184" s="19">
        <v>33240</v>
      </c>
      <c r="Q184" s="19">
        <v>42626</v>
      </c>
      <c r="R184" s="38">
        <v>5117.82</v>
      </c>
      <c r="S184" s="20">
        <v>1039.8</v>
      </c>
      <c r="T184" s="39">
        <v>874.7</v>
      </c>
      <c r="U184" s="22">
        <v>9119</v>
      </c>
      <c r="V184" s="22">
        <v>25186</v>
      </c>
      <c r="W184" s="32">
        <v>37876</v>
      </c>
      <c r="X184" s="10">
        <v>43805</v>
      </c>
      <c r="Y184" s="10">
        <f t="shared" si="75"/>
        <v>1.35901760099248</v>
      </c>
      <c r="Z184" s="10">
        <f t="shared" si="86"/>
        <v>51249.269005848</v>
      </c>
      <c r="AA184" s="10">
        <f t="shared" si="84"/>
        <v>0.570175438596491</v>
      </c>
      <c r="AB184" s="10">
        <f t="shared" si="83"/>
        <v>0.0168138888888889</v>
      </c>
      <c r="AC184" s="10">
        <f t="shared" si="77"/>
        <v>0.441292548654726</v>
      </c>
      <c r="AD184" s="10">
        <f t="shared" si="74"/>
        <v>0.00987989454911995</v>
      </c>
      <c r="AE184" s="10">
        <f t="shared" si="87"/>
        <v>5.83773044716594</v>
      </c>
      <c r="AF184" s="10">
        <f t="shared" si="82"/>
        <v>0.0902906722493603</v>
      </c>
      <c r="AG184" s="10">
        <f t="shared" si="80"/>
        <v>0.00136465844770102</v>
      </c>
      <c r="AH184" s="10">
        <f t="shared" si="66"/>
        <v>0.0524989920136466</v>
      </c>
      <c r="AI184" s="10">
        <f t="shared" si="67"/>
        <v>103.012048192771</v>
      </c>
      <c r="AJ184" s="10">
        <f t="shared" si="79"/>
        <v>1.98411258432194</v>
      </c>
      <c r="AK184" s="10">
        <f t="shared" si="85"/>
        <v>21.0717289236906</v>
      </c>
      <c r="AL184" s="10">
        <f t="shared" si="88"/>
        <v>0.403117003954408</v>
      </c>
      <c r="AM184" s="10">
        <f t="shared" si="81"/>
        <v>0.339109870512522</v>
      </c>
      <c r="AN184" s="10">
        <f t="shared" si="78"/>
        <v>2.7619256497423</v>
      </c>
    </row>
    <row r="185" ht="31" spans="1:40">
      <c r="A185" s="14">
        <v>2016</v>
      </c>
      <c r="B185" s="15">
        <v>640000</v>
      </c>
      <c r="C185" s="16" t="s">
        <v>59</v>
      </c>
      <c r="D185" s="24">
        <v>2781.4</v>
      </c>
      <c r="E185" s="25">
        <v>695</v>
      </c>
      <c r="F185" s="26">
        <v>6.64</v>
      </c>
      <c r="G185" s="27">
        <v>408</v>
      </c>
      <c r="H185" s="10">
        <v>117149</v>
      </c>
      <c r="I185" s="30">
        <v>3794.25</v>
      </c>
      <c r="J185" s="31">
        <v>1254.28</v>
      </c>
      <c r="K185" s="24">
        <v>299269</v>
      </c>
      <c r="L185" s="10">
        <v>343</v>
      </c>
      <c r="M185" s="10">
        <v>216.04008</v>
      </c>
      <c r="N185" s="10">
        <v>4.05</v>
      </c>
      <c r="O185" s="10">
        <v>109.9255</v>
      </c>
      <c r="P185" s="19">
        <v>33940</v>
      </c>
      <c r="Q185" s="19">
        <v>43259.7</v>
      </c>
      <c r="R185" s="38">
        <v>5667.89</v>
      </c>
      <c r="S185" s="20">
        <v>1130.6</v>
      </c>
      <c r="T185" s="39">
        <v>925.4</v>
      </c>
      <c r="U185" s="22">
        <v>9852</v>
      </c>
      <c r="V185" s="22">
        <v>27153</v>
      </c>
      <c r="W185" s="32">
        <v>40339</v>
      </c>
      <c r="X185" s="10">
        <v>47194</v>
      </c>
      <c r="Y185" s="10">
        <f t="shared" si="75"/>
        <v>1.36415114690444</v>
      </c>
      <c r="Z185" s="10">
        <f t="shared" si="86"/>
        <v>54593.5251798561</v>
      </c>
      <c r="AA185" s="10">
        <f t="shared" si="84"/>
        <v>0.58705035971223</v>
      </c>
      <c r="AB185" s="10">
        <f t="shared" si="83"/>
        <v>0.0168559712230216</v>
      </c>
      <c r="AC185" s="10">
        <f t="shared" si="77"/>
        <v>0.450952757604084</v>
      </c>
      <c r="AD185" s="10">
        <f t="shared" ref="AD185:AD230" si="89">K185/(D185*10000)</f>
        <v>0.0107596534119508</v>
      </c>
      <c r="AE185" s="10">
        <f t="shared" si="87"/>
        <v>5.83773044716594</v>
      </c>
      <c r="AF185" s="10">
        <f t="shared" si="82"/>
        <v>0.0776731430215</v>
      </c>
      <c r="AG185" s="10">
        <f t="shared" si="80"/>
        <v>0.00145610124397785</v>
      </c>
      <c r="AH185" s="10">
        <f t="shared" si="66"/>
        <v>0.0395216437765154</v>
      </c>
      <c r="AI185" s="10">
        <f t="shared" si="67"/>
        <v>104.668674698795</v>
      </c>
      <c r="AJ185" s="10">
        <f t="shared" ref="AJ185:AJ216" si="90">R185/D185</f>
        <v>2.03778313079744</v>
      </c>
      <c r="AK185" s="10">
        <f t="shared" si="85"/>
        <v>21.1073263034585</v>
      </c>
      <c r="AL185" s="10">
        <f t="shared" si="88"/>
        <v>0.4064859423312</v>
      </c>
      <c r="AM185" s="10">
        <f t="shared" si="81"/>
        <v>0.332710145969656</v>
      </c>
      <c r="AN185" s="10">
        <f t="shared" si="78"/>
        <v>2.75609013398295</v>
      </c>
    </row>
    <row r="186" ht="31" spans="1:40">
      <c r="A186" s="14">
        <v>2017</v>
      </c>
      <c r="B186" s="15">
        <v>640000</v>
      </c>
      <c r="C186" s="16" t="s">
        <v>59</v>
      </c>
      <c r="D186" s="24">
        <v>3200.3</v>
      </c>
      <c r="E186" s="25">
        <v>705</v>
      </c>
      <c r="F186" s="26">
        <v>6.64</v>
      </c>
      <c r="G186" s="27">
        <v>430</v>
      </c>
      <c r="H186" s="10">
        <v>121051</v>
      </c>
      <c r="I186" s="30">
        <v>3728.38</v>
      </c>
      <c r="J186" s="31">
        <v>1372.43</v>
      </c>
      <c r="K186" s="24">
        <v>389357</v>
      </c>
      <c r="L186" s="10">
        <v>344</v>
      </c>
      <c r="M186" s="10">
        <v>340.25811</v>
      </c>
      <c r="N186" s="10">
        <v>6.67</v>
      </c>
      <c r="O186" s="10">
        <v>220.1896</v>
      </c>
      <c r="P186" s="19">
        <v>34561.2</v>
      </c>
      <c r="Q186" s="19">
        <v>38187.3</v>
      </c>
      <c r="R186" s="38">
        <v>6332.61</v>
      </c>
      <c r="S186" s="20">
        <v>1253.7</v>
      </c>
      <c r="T186" s="39">
        <v>1129.2</v>
      </c>
      <c r="U186" s="22">
        <v>10738</v>
      </c>
      <c r="V186" s="22">
        <v>29472</v>
      </c>
      <c r="W186" s="32">
        <v>45718</v>
      </c>
      <c r="X186" s="10">
        <v>50765</v>
      </c>
      <c r="Y186" s="10">
        <f t="shared" si="75"/>
        <v>1.16500953035653</v>
      </c>
      <c r="Z186" s="10">
        <f t="shared" si="86"/>
        <v>52884.8226950355</v>
      </c>
      <c r="AA186" s="10">
        <f t="shared" si="84"/>
        <v>0.609929078014184</v>
      </c>
      <c r="AB186" s="10">
        <f t="shared" si="83"/>
        <v>0.0171703546099291</v>
      </c>
      <c r="AC186" s="10">
        <f t="shared" si="77"/>
        <v>0.428844170858982</v>
      </c>
      <c r="AD186" s="10">
        <f t="shared" si="89"/>
        <v>0.0121662656625941</v>
      </c>
      <c r="AE186" s="10">
        <f t="shared" si="87"/>
        <v>5.8406416573734</v>
      </c>
      <c r="AF186" s="10">
        <f t="shared" si="82"/>
        <v>0.106320691810143</v>
      </c>
      <c r="AG186" s="10">
        <f t="shared" si="80"/>
        <v>0.00208417960816173</v>
      </c>
      <c r="AH186" s="10">
        <f t="shared" si="66"/>
        <v>0.0688027997375246</v>
      </c>
      <c r="AI186" s="10">
        <f t="shared" si="67"/>
        <v>106.174698795181</v>
      </c>
      <c r="AJ186" s="10">
        <f t="shared" si="90"/>
        <v>1.97875511670781</v>
      </c>
      <c r="AK186" s="10">
        <f t="shared" si="85"/>
        <v>21.0007452231218</v>
      </c>
      <c r="AL186" s="10">
        <f t="shared" si="88"/>
        <v>0.39174452395088</v>
      </c>
      <c r="AM186" s="10">
        <f t="shared" si="81"/>
        <v>0.3528419210699</v>
      </c>
      <c r="AN186" s="10">
        <f t="shared" si="78"/>
        <v>2.74464518532315</v>
      </c>
    </row>
    <row r="187" ht="31" spans="1:40">
      <c r="A187" s="14">
        <v>2018</v>
      </c>
      <c r="B187" s="15">
        <v>640000</v>
      </c>
      <c r="C187" s="16" t="s">
        <v>59</v>
      </c>
      <c r="D187" s="24">
        <v>3510.2</v>
      </c>
      <c r="E187" s="25">
        <v>710</v>
      </c>
      <c r="F187" s="26">
        <v>6.64</v>
      </c>
      <c r="G187" s="27">
        <v>441</v>
      </c>
      <c r="H187" s="10">
        <v>125253</v>
      </c>
      <c r="I187" s="30">
        <v>3049.81484</v>
      </c>
      <c r="J187" s="31">
        <v>1418.73</v>
      </c>
      <c r="K187" s="24">
        <v>455793</v>
      </c>
      <c r="L187" s="10">
        <v>345</v>
      </c>
      <c r="M187" s="10">
        <v>249.91035</v>
      </c>
      <c r="N187" s="10">
        <v>12.11</v>
      </c>
      <c r="O187" s="10">
        <v>480.7146</v>
      </c>
      <c r="P187" s="19">
        <v>35405.2</v>
      </c>
      <c r="Q187" s="19">
        <v>38915.9</v>
      </c>
      <c r="R187" s="38">
        <v>6807.52</v>
      </c>
      <c r="S187" s="20">
        <v>1330.1</v>
      </c>
      <c r="T187" s="39">
        <v>1191</v>
      </c>
      <c r="U187" s="22">
        <v>11708</v>
      </c>
      <c r="V187" s="22">
        <v>31895</v>
      </c>
      <c r="W187" s="32">
        <v>49614</v>
      </c>
      <c r="X187" s="10">
        <v>54094.1675</v>
      </c>
      <c r="Y187" s="10">
        <f t="shared" si="75"/>
        <v>0.868843610050709</v>
      </c>
      <c r="Z187" s="10">
        <f t="shared" si="86"/>
        <v>42955.1385915493</v>
      </c>
      <c r="AA187" s="10">
        <f t="shared" si="84"/>
        <v>0.62112676056338</v>
      </c>
      <c r="AB187" s="10">
        <f t="shared" si="83"/>
        <v>0.0176412676056338</v>
      </c>
      <c r="AC187" s="10">
        <f t="shared" si="77"/>
        <v>0.404173551364595</v>
      </c>
      <c r="AD187" s="10">
        <f t="shared" si="89"/>
        <v>0.0129848156800182</v>
      </c>
      <c r="AE187" s="10">
        <f t="shared" si="87"/>
        <v>5.84354441703136</v>
      </c>
      <c r="AF187" s="10">
        <f t="shared" si="82"/>
        <v>0.0711954731924107</v>
      </c>
      <c r="AG187" s="10">
        <f t="shared" si="80"/>
        <v>0.00344994587203008</v>
      </c>
      <c r="AH187" s="10">
        <f t="shared" si="66"/>
        <v>0.13694792319526</v>
      </c>
      <c r="AI187" s="10">
        <f t="shared" si="67"/>
        <v>106.927710843374</v>
      </c>
      <c r="AJ187" s="10">
        <f t="shared" si="90"/>
        <v>1.93935388296963</v>
      </c>
      <c r="AK187" s="10">
        <f t="shared" si="85"/>
        <v>21.0437721674444</v>
      </c>
      <c r="AL187" s="10">
        <f t="shared" si="88"/>
        <v>0.378924277818928</v>
      </c>
      <c r="AM187" s="10">
        <f t="shared" si="81"/>
        <v>0.339296906159193</v>
      </c>
      <c r="AN187" s="10">
        <f t="shared" si="78"/>
        <v>2.72420567133584</v>
      </c>
    </row>
    <row r="188" ht="31" spans="1:40">
      <c r="A188" s="14">
        <v>2019</v>
      </c>
      <c r="B188" s="15">
        <v>640000</v>
      </c>
      <c r="C188" s="16" t="s">
        <v>59</v>
      </c>
      <c r="D188" s="24">
        <v>3748.5</v>
      </c>
      <c r="E188" s="25">
        <v>717</v>
      </c>
      <c r="F188" s="26">
        <v>6.64</v>
      </c>
      <c r="G188" s="27">
        <v>456</v>
      </c>
      <c r="H188" s="10">
        <v>135178</v>
      </c>
      <c r="I188" s="30">
        <v>2735.68391148</v>
      </c>
      <c r="J188" s="31">
        <v>1431.05</v>
      </c>
      <c r="K188" s="24">
        <v>545051</v>
      </c>
      <c r="L188" s="10">
        <v>343</v>
      </c>
      <c r="M188" s="10">
        <v>240.73081</v>
      </c>
      <c r="N188" s="10">
        <v>14.9</v>
      </c>
      <c r="O188" s="10">
        <v>763.9074</v>
      </c>
      <c r="P188" s="19">
        <v>36575.7</v>
      </c>
      <c r="Q188" s="19">
        <v>42510.6</v>
      </c>
      <c r="R188" s="38">
        <v>7216.79</v>
      </c>
      <c r="S188" s="20">
        <v>1399.4</v>
      </c>
      <c r="T188" s="39">
        <v>1272.5</v>
      </c>
      <c r="U188" s="22">
        <v>12858</v>
      </c>
      <c r="V188" s="22">
        <v>34328</v>
      </c>
      <c r="W188" s="32">
        <v>52537</v>
      </c>
      <c r="X188" s="10">
        <v>54217</v>
      </c>
      <c r="Y188" s="10">
        <f t="shared" si="75"/>
        <v>0.729807632781112</v>
      </c>
      <c r="Z188" s="10">
        <f t="shared" si="86"/>
        <v>38154.5873288703</v>
      </c>
      <c r="AA188" s="10">
        <f t="shared" si="84"/>
        <v>0.635983263598326</v>
      </c>
      <c r="AB188" s="10">
        <f t="shared" si="83"/>
        <v>0.0188532775453278</v>
      </c>
      <c r="AC188" s="10">
        <f t="shared" ref="AC188:AC223" si="91">J188/D188</f>
        <v>0.381766039749233</v>
      </c>
      <c r="AD188" s="10">
        <f t="shared" si="89"/>
        <v>0.0145405095371482</v>
      </c>
      <c r="AE188" s="10">
        <f t="shared" si="87"/>
        <v>5.83773044716594</v>
      </c>
      <c r="AF188" s="10">
        <f t="shared" si="82"/>
        <v>0.0642205708950247</v>
      </c>
      <c r="AG188" s="10">
        <f t="shared" si="80"/>
        <v>0.0039749233026544</v>
      </c>
      <c r="AH188" s="10">
        <f t="shared" si="66"/>
        <v>0.203790156062425</v>
      </c>
      <c r="AI188" s="10">
        <f t="shared" si="67"/>
        <v>107.981927710843</v>
      </c>
      <c r="AJ188" s="10">
        <f t="shared" si="90"/>
        <v>1.92524743230626</v>
      </c>
      <c r="AK188" s="10">
        <f t="shared" si="85"/>
        <v>21.1646481000404</v>
      </c>
      <c r="AL188" s="10">
        <f t="shared" si="88"/>
        <v>0.373322662398293</v>
      </c>
      <c r="AM188" s="10">
        <f t="shared" ref="AM188:AM219" si="92">T188/D188</f>
        <v>0.339469120981726</v>
      </c>
      <c r="AN188" s="10">
        <f t="shared" si="78"/>
        <v>2.6697775703842</v>
      </c>
    </row>
    <row r="189" ht="31" spans="1:40">
      <c r="A189" s="14">
        <v>2020</v>
      </c>
      <c r="B189" s="15">
        <v>640000</v>
      </c>
      <c r="C189" s="16" t="s">
        <v>59</v>
      </c>
      <c r="D189" s="24">
        <v>3956.3</v>
      </c>
      <c r="E189" s="25">
        <v>721</v>
      </c>
      <c r="F189" s="26">
        <v>6.64</v>
      </c>
      <c r="G189" s="27">
        <v>468</v>
      </c>
      <c r="H189" s="10">
        <v>146679</v>
      </c>
      <c r="I189" s="30">
        <v>2845.1112679392</v>
      </c>
      <c r="J189" s="31">
        <v>1470.72</v>
      </c>
      <c r="K189" s="24">
        <v>596400</v>
      </c>
      <c r="L189" s="10">
        <v>344</v>
      </c>
      <c r="M189" s="10">
        <v>122.946</v>
      </c>
      <c r="N189" s="10">
        <v>16.81</v>
      </c>
      <c r="O189" s="10">
        <v>949.3217</v>
      </c>
      <c r="P189" s="19">
        <v>36900.9</v>
      </c>
      <c r="Q189" s="19">
        <v>42849.6</v>
      </c>
      <c r="R189" s="38">
        <v>7782.59</v>
      </c>
      <c r="S189" s="20">
        <v>1301.4</v>
      </c>
      <c r="T189" s="39">
        <v>1306.5</v>
      </c>
      <c r="U189" s="22">
        <v>13889</v>
      </c>
      <c r="V189" s="22">
        <v>35720</v>
      </c>
      <c r="W189" s="32">
        <v>55021</v>
      </c>
      <c r="X189" s="10">
        <v>54527.82</v>
      </c>
      <c r="Y189" s="10">
        <f t="shared" si="75"/>
        <v>0.71913435986634</v>
      </c>
      <c r="Z189" s="10">
        <f t="shared" si="86"/>
        <v>39460.6278493648</v>
      </c>
      <c r="AA189" s="10">
        <f t="shared" si="84"/>
        <v>0.649098474341193</v>
      </c>
      <c r="AB189" s="10">
        <f t="shared" si="83"/>
        <v>0.0203438280166435</v>
      </c>
      <c r="AC189" s="10">
        <f t="shared" si="91"/>
        <v>0.371741273412026</v>
      </c>
      <c r="AD189" s="10">
        <f t="shared" si="89"/>
        <v>0.0150746909991659</v>
      </c>
      <c r="AE189" s="10">
        <f t="shared" si="87"/>
        <v>5.8406416573734</v>
      </c>
      <c r="AF189" s="10">
        <f t="shared" si="82"/>
        <v>0.0310760053585421</v>
      </c>
      <c r="AG189" s="10">
        <f t="shared" si="80"/>
        <v>0.00424891944493592</v>
      </c>
      <c r="AH189" s="10">
        <f t="shared" si="66"/>
        <v>0.23995189950206</v>
      </c>
      <c r="AI189" s="10">
        <f t="shared" si="67"/>
        <v>108.584337349398</v>
      </c>
      <c r="AJ189" s="10">
        <f t="shared" si="90"/>
        <v>1.96713848798119</v>
      </c>
      <c r="AK189" s="10">
        <f t="shared" si="85"/>
        <v>21.1814428090683</v>
      </c>
      <c r="AL189" s="10">
        <f t="shared" si="88"/>
        <v>0.328943710032101</v>
      </c>
      <c r="AM189" s="10">
        <f t="shared" si="92"/>
        <v>0.330232793266436</v>
      </c>
      <c r="AN189" s="10">
        <f t="shared" si="78"/>
        <v>2.5718194254446</v>
      </c>
    </row>
    <row r="190" ht="31" spans="1:40">
      <c r="A190" s="14">
        <v>2021</v>
      </c>
      <c r="B190" s="15">
        <v>640000</v>
      </c>
      <c r="C190" s="16" t="s">
        <v>59</v>
      </c>
      <c r="D190" s="24">
        <v>4588.2</v>
      </c>
      <c r="E190" s="25">
        <v>725</v>
      </c>
      <c r="F190" s="26">
        <v>6.64</v>
      </c>
      <c r="G190" s="27">
        <v>479</v>
      </c>
      <c r="H190" s="10">
        <v>161054</v>
      </c>
      <c r="I190" s="30">
        <v>2907.70371583386</v>
      </c>
      <c r="J190" s="31">
        <v>1418.11</v>
      </c>
      <c r="K190" s="24">
        <v>704410</v>
      </c>
      <c r="L190" s="10">
        <v>345</v>
      </c>
      <c r="M190" s="10">
        <v>214.1898</v>
      </c>
      <c r="N190" s="10">
        <v>25.0947</v>
      </c>
      <c r="O190" s="10">
        <v>127.1</v>
      </c>
      <c r="P190" s="19">
        <v>37577</v>
      </c>
      <c r="Q190" s="19">
        <v>46929</v>
      </c>
      <c r="R190" s="38">
        <v>8284.28</v>
      </c>
      <c r="S190" s="20">
        <v>1335.1</v>
      </c>
      <c r="T190" s="39">
        <v>1762.2</v>
      </c>
      <c r="U190" s="22">
        <v>15337</v>
      </c>
      <c r="V190" s="22">
        <v>38291</v>
      </c>
      <c r="W190" s="32">
        <v>63461</v>
      </c>
      <c r="X190" s="10">
        <v>62549</v>
      </c>
      <c r="Y190" s="10">
        <f t="shared" si="75"/>
        <v>0.633735171926651</v>
      </c>
      <c r="Z190" s="10">
        <f t="shared" si="86"/>
        <v>40106.2581494325</v>
      </c>
      <c r="AA190" s="10">
        <f t="shared" si="84"/>
        <v>0.660689655172414</v>
      </c>
      <c r="AB190" s="10">
        <f t="shared" si="83"/>
        <v>0.0222143448275862</v>
      </c>
      <c r="AC190" s="10">
        <f t="shared" si="91"/>
        <v>0.309077633930517</v>
      </c>
      <c r="AD190" s="10">
        <f t="shared" si="89"/>
        <v>0.0153526437382852</v>
      </c>
      <c r="AE190" s="10">
        <f t="shared" si="87"/>
        <v>5.84354441703136</v>
      </c>
      <c r="AF190" s="10">
        <f t="shared" ref="AF190:AF213" si="93">M190/D190</f>
        <v>0.04668275140578</v>
      </c>
      <c r="AG190" s="10">
        <f t="shared" si="80"/>
        <v>0.00546939976461357</v>
      </c>
      <c r="AH190" s="10">
        <f t="shared" si="66"/>
        <v>0.0277014951397062</v>
      </c>
      <c r="AI190" s="10">
        <f t="shared" si="67"/>
        <v>109.186746987952</v>
      </c>
      <c r="AJ190" s="10">
        <f t="shared" si="90"/>
        <v>1.80556209406739</v>
      </c>
      <c r="AK190" s="10">
        <f t="shared" si="85"/>
        <v>21.2905385403141</v>
      </c>
      <c r="AL190" s="10">
        <f t="shared" si="88"/>
        <v>0.290985571683885</v>
      </c>
      <c r="AM190" s="10">
        <f t="shared" si="92"/>
        <v>0.384072185170655</v>
      </c>
      <c r="AN190" s="10">
        <f t="shared" si="78"/>
        <v>2.49664210732216</v>
      </c>
    </row>
    <row r="191" ht="31" spans="1:40">
      <c r="A191" s="14">
        <v>2022</v>
      </c>
      <c r="B191" s="15">
        <v>640000</v>
      </c>
      <c r="C191" s="16" t="s">
        <v>59</v>
      </c>
      <c r="D191" s="24">
        <v>5104.6</v>
      </c>
      <c r="E191" s="25">
        <v>728</v>
      </c>
      <c r="F191" s="26">
        <v>6.64</v>
      </c>
      <c r="G191" s="27">
        <v>483</v>
      </c>
      <c r="H191" s="10">
        <v>172457</v>
      </c>
      <c r="I191" s="30">
        <v>3204.28949484892</v>
      </c>
      <c r="J191" s="31">
        <v>1574.1</v>
      </c>
      <c r="K191" s="24">
        <v>793795</v>
      </c>
      <c r="L191" s="10">
        <v>336</v>
      </c>
      <c r="M191" s="10">
        <v>216.58042</v>
      </c>
      <c r="N191" s="10">
        <v>34.05</v>
      </c>
      <c r="O191" s="10">
        <v>128.5643</v>
      </c>
      <c r="P191" s="35">
        <v>38347</v>
      </c>
      <c r="Q191" s="35">
        <v>48623</v>
      </c>
      <c r="R191" s="38">
        <v>8885.35</v>
      </c>
      <c r="S191" s="20">
        <v>1338.4</v>
      </c>
      <c r="T191" s="39">
        <v>2084</v>
      </c>
      <c r="U191" s="22">
        <v>16430</v>
      </c>
      <c r="V191" s="22">
        <v>40194</v>
      </c>
      <c r="W191" s="32">
        <v>70263</v>
      </c>
      <c r="X191" s="10">
        <v>69781</v>
      </c>
      <c r="Y191" s="10">
        <f t="shared" si="75"/>
        <v>0.627725873692144</v>
      </c>
      <c r="Z191" s="10">
        <f t="shared" si="86"/>
        <v>44014.9655885841</v>
      </c>
      <c r="AA191" s="10">
        <f t="shared" si="84"/>
        <v>0.663461538461538</v>
      </c>
      <c r="AB191" s="10">
        <f t="shared" si="83"/>
        <v>0.0236891483516484</v>
      </c>
      <c r="AC191" s="10">
        <f t="shared" si="91"/>
        <v>0.30836892214865</v>
      </c>
      <c r="AD191" s="10">
        <f t="shared" si="89"/>
        <v>0.015550581828155</v>
      </c>
      <c r="AE191" s="10">
        <f t="shared" si="87"/>
        <v>5.8171111599632</v>
      </c>
      <c r="AF191" s="10">
        <f t="shared" si="93"/>
        <v>0.0424284801943345</v>
      </c>
      <c r="AG191" s="10">
        <f t="shared" si="80"/>
        <v>0.00667045410022333</v>
      </c>
      <c r="AH191" s="10">
        <f t="shared" si="66"/>
        <v>0.0251859695176899</v>
      </c>
      <c r="AI191" s="10">
        <f t="shared" si="67"/>
        <v>109.638554216867</v>
      </c>
      <c r="AJ191" s="10">
        <f t="shared" si="90"/>
        <v>1.74065548720762</v>
      </c>
      <c r="AK191" s="10">
        <f t="shared" si="85"/>
        <v>21.3462835258471</v>
      </c>
      <c r="AL191" s="10">
        <f t="shared" si="88"/>
        <v>0.262194883046664</v>
      </c>
      <c r="AM191" s="10">
        <f t="shared" si="92"/>
        <v>0.408259217176664</v>
      </c>
      <c r="AN191" s="10">
        <f t="shared" si="78"/>
        <v>2.44637857577602</v>
      </c>
    </row>
    <row r="192" ht="16" spans="1:40">
      <c r="A192" s="14">
        <v>2013</v>
      </c>
      <c r="B192" s="15">
        <v>630000</v>
      </c>
      <c r="C192" s="16" t="s">
        <v>60</v>
      </c>
      <c r="D192" s="24">
        <v>1713.3</v>
      </c>
      <c r="E192" s="25">
        <v>571</v>
      </c>
      <c r="F192" s="26">
        <v>72.23</v>
      </c>
      <c r="G192" s="27">
        <v>281</v>
      </c>
      <c r="H192" s="10">
        <v>50675</v>
      </c>
      <c r="I192" s="30">
        <v>2361.1</v>
      </c>
      <c r="J192" s="31">
        <v>1228.02</v>
      </c>
      <c r="K192" s="24">
        <v>137700</v>
      </c>
      <c r="L192" s="10">
        <v>296</v>
      </c>
      <c r="M192" s="10">
        <v>86.874618</v>
      </c>
      <c r="N192" s="10">
        <v>26.89</v>
      </c>
      <c r="O192" s="10">
        <v>67.4648</v>
      </c>
      <c r="P192" s="19">
        <v>70117</v>
      </c>
      <c r="Q192" s="19">
        <v>13371.9</v>
      </c>
      <c r="R192" s="38">
        <v>3398.17</v>
      </c>
      <c r="S192" s="20">
        <v>549.6</v>
      </c>
      <c r="T192" s="39">
        <v>502</v>
      </c>
      <c r="U192" s="22">
        <v>6462</v>
      </c>
      <c r="V192" s="22">
        <v>20352</v>
      </c>
      <c r="W192" s="32">
        <v>30005</v>
      </c>
      <c r="X192" s="10">
        <v>36875</v>
      </c>
      <c r="Y192" s="10">
        <f t="shared" ref="Y192:Y232" si="94">I192/D192</f>
        <v>1.37810074125956</v>
      </c>
      <c r="Z192" s="10">
        <f t="shared" si="86"/>
        <v>41350.2626970228</v>
      </c>
      <c r="AA192" s="10">
        <f t="shared" si="84"/>
        <v>0.492119089316988</v>
      </c>
      <c r="AB192" s="10">
        <f t="shared" si="83"/>
        <v>0.00887478108581436</v>
      </c>
      <c r="AC192" s="10">
        <f t="shared" si="91"/>
        <v>0.716757135352828</v>
      </c>
      <c r="AD192" s="10">
        <f t="shared" si="89"/>
        <v>0.00803712134477324</v>
      </c>
      <c r="AE192" s="10">
        <f t="shared" si="87"/>
        <v>5.69035945432406</v>
      </c>
      <c r="AF192" s="10">
        <f t="shared" si="93"/>
        <v>0.0507060164594642</v>
      </c>
      <c r="AG192" s="10">
        <f t="shared" si="80"/>
        <v>0.0156948578766124</v>
      </c>
      <c r="AH192" s="10">
        <f t="shared" si="66"/>
        <v>0.0393771085040565</v>
      </c>
      <c r="AI192" s="10">
        <f t="shared" si="67"/>
        <v>7.90530250588398</v>
      </c>
      <c r="AJ192" s="10">
        <f t="shared" si="90"/>
        <v>1.98340629195121</v>
      </c>
      <c r="AK192" s="10">
        <f t="shared" si="85"/>
        <v>20.6588313235198</v>
      </c>
      <c r="AL192" s="10">
        <f t="shared" si="88"/>
        <v>0.320784451059359</v>
      </c>
      <c r="AM192" s="10">
        <f t="shared" si="92"/>
        <v>0.293001809373723</v>
      </c>
      <c r="AN192" s="10">
        <f t="shared" ref="AN192:AN223" si="95">V192/U192</f>
        <v>3.14948932219127</v>
      </c>
    </row>
    <row r="193" ht="16" spans="1:40">
      <c r="A193" s="14">
        <v>2014</v>
      </c>
      <c r="B193" s="15">
        <v>630000</v>
      </c>
      <c r="C193" s="16" t="s">
        <v>60</v>
      </c>
      <c r="D193" s="24">
        <v>1847.7</v>
      </c>
      <c r="E193" s="25">
        <v>576</v>
      </c>
      <c r="F193" s="26">
        <v>72.23</v>
      </c>
      <c r="G193" s="27">
        <v>293</v>
      </c>
      <c r="H193" s="10">
        <v>52907</v>
      </c>
      <c r="I193" s="30">
        <v>2861.23</v>
      </c>
      <c r="J193" s="31">
        <v>1347.37</v>
      </c>
      <c r="K193" s="24">
        <v>143200</v>
      </c>
      <c r="L193" s="10">
        <v>293</v>
      </c>
      <c r="M193" s="10">
        <v>105.52642</v>
      </c>
      <c r="N193" s="10">
        <v>29.1</v>
      </c>
      <c r="O193" s="10">
        <v>80.7455</v>
      </c>
      <c r="P193" s="19">
        <v>72703</v>
      </c>
      <c r="Q193" s="19">
        <v>14637.5</v>
      </c>
      <c r="R193" s="38">
        <v>4171.73</v>
      </c>
      <c r="S193" s="20">
        <v>620.8</v>
      </c>
      <c r="T193" s="39">
        <v>504.5</v>
      </c>
      <c r="U193" s="22">
        <v>7283</v>
      </c>
      <c r="V193" s="22">
        <v>22307</v>
      </c>
      <c r="W193" s="32">
        <v>32218</v>
      </c>
      <c r="X193" s="10">
        <v>39671</v>
      </c>
      <c r="Y193" s="10">
        <f t="shared" si="94"/>
        <v>1.5485360177518</v>
      </c>
      <c r="Z193" s="10">
        <f t="shared" si="86"/>
        <v>49674.1319444444</v>
      </c>
      <c r="AA193" s="10">
        <f t="shared" si="84"/>
        <v>0.508680555555556</v>
      </c>
      <c r="AB193" s="10">
        <f t="shared" si="83"/>
        <v>0.00918524305555556</v>
      </c>
      <c r="AC193" s="10">
        <f t="shared" si="91"/>
        <v>0.729214699355956</v>
      </c>
      <c r="AD193" s="10">
        <f t="shared" si="89"/>
        <v>0.00775017589435514</v>
      </c>
      <c r="AE193" s="10">
        <f t="shared" si="87"/>
        <v>5.68017260901707</v>
      </c>
      <c r="AF193" s="10">
        <f t="shared" si="93"/>
        <v>0.0571123126048601</v>
      </c>
      <c r="AG193" s="10">
        <f t="shared" si="80"/>
        <v>0.0157493099529144</v>
      </c>
      <c r="AH193" s="10">
        <f t="shared" si="66"/>
        <v>0.0437005466255345</v>
      </c>
      <c r="AI193" s="10">
        <f t="shared" si="67"/>
        <v>7.97452582029628</v>
      </c>
      <c r="AJ193" s="10">
        <f t="shared" si="90"/>
        <v>2.25779617903339</v>
      </c>
      <c r="AK193" s="10">
        <f t="shared" si="85"/>
        <v>20.7854799360507</v>
      </c>
      <c r="AL193" s="10">
        <f t="shared" si="88"/>
        <v>0.335985278995508</v>
      </c>
      <c r="AM193" s="10">
        <f t="shared" si="92"/>
        <v>0.273042160523895</v>
      </c>
      <c r="AN193" s="10">
        <f t="shared" si="95"/>
        <v>3.06288617328024</v>
      </c>
    </row>
    <row r="194" ht="16" spans="1:40">
      <c r="A194" s="14">
        <v>2015</v>
      </c>
      <c r="B194" s="15">
        <v>630000</v>
      </c>
      <c r="C194" s="16" t="s">
        <v>60</v>
      </c>
      <c r="D194" s="24">
        <v>2011</v>
      </c>
      <c r="E194" s="25">
        <v>577</v>
      </c>
      <c r="F194" s="26">
        <v>72.23</v>
      </c>
      <c r="G194" s="27">
        <v>298</v>
      </c>
      <c r="H194" s="10">
        <v>57460</v>
      </c>
      <c r="I194" s="30">
        <v>3210.63</v>
      </c>
      <c r="J194" s="31">
        <v>1514.72</v>
      </c>
      <c r="K194" s="24">
        <v>115800</v>
      </c>
      <c r="L194" s="10">
        <v>292</v>
      </c>
      <c r="M194" s="10">
        <v>120.48665</v>
      </c>
      <c r="N194" s="10">
        <v>46.88</v>
      </c>
      <c r="O194" s="10">
        <v>105.3764</v>
      </c>
      <c r="P194" s="19">
        <v>75593</v>
      </c>
      <c r="Q194" s="19">
        <v>15962</v>
      </c>
      <c r="R194" s="38">
        <v>4988.01</v>
      </c>
      <c r="S194" s="20">
        <v>694.6</v>
      </c>
      <c r="T194" s="39">
        <v>516.4</v>
      </c>
      <c r="U194" s="22">
        <v>7933</v>
      </c>
      <c r="V194" s="22">
        <v>24542</v>
      </c>
      <c r="W194" s="32">
        <v>34883</v>
      </c>
      <c r="X194" s="10">
        <v>41252</v>
      </c>
      <c r="Y194" s="10">
        <f t="shared" si="94"/>
        <v>1.5965340626554</v>
      </c>
      <c r="Z194" s="10">
        <f t="shared" si="86"/>
        <v>55643.5008665511</v>
      </c>
      <c r="AA194" s="10">
        <f t="shared" si="84"/>
        <v>0.516464471403813</v>
      </c>
      <c r="AB194" s="10">
        <f t="shared" si="83"/>
        <v>0.00995840554592721</v>
      </c>
      <c r="AC194" s="10">
        <f t="shared" si="91"/>
        <v>0.753217304823471</v>
      </c>
      <c r="AD194" s="10">
        <f t="shared" si="89"/>
        <v>0.00575832918945798</v>
      </c>
      <c r="AE194" s="10">
        <f t="shared" si="87"/>
        <v>5.67675380226828</v>
      </c>
      <c r="AF194" s="10">
        <f t="shared" si="93"/>
        <v>0.0599137991049229</v>
      </c>
      <c r="AG194" s="10">
        <f t="shared" si="80"/>
        <v>0.0233117851815017</v>
      </c>
      <c r="AH194" s="10">
        <f t="shared" si="66"/>
        <v>0.0524</v>
      </c>
      <c r="AI194" s="10">
        <f t="shared" si="67"/>
        <v>7.98837048317873</v>
      </c>
      <c r="AJ194" s="10">
        <f t="shared" si="90"/>
        <v>2.48036300348086</v>
      </c>
      <c r="AK194" s="10">
        <f t="shared" si="85"/>
        <v>20.911085141724</v>
      </c>
      <c r="AL194" s="10">
        <f t="shared" si="88"/>
        <v>0.345400298359025</v>
      </c>
      <c r="AM194" s="10">
        <f t="shared" si="92"/>
        <v>0.256787667826952</v>
      </c>
      <c r="AN194" s="10">
        <f t="shared" si="95"/>
        <v>3.09365939745367</v>
      </c>
    </row>
    <row r="195" ht="16" spans="1:40">
      <c r="A195" s="14">
        <v>2016</v>
      </c>
      <c r="B195" s="15">
        <v>630000</v>
      </c>
      <c r="C195" s="16" t="s">
        <v>60</v>
      </c>
      <c r="D195" s="24">
        <v>2258.2</v>
      </c>
      <c r="E195" s="25">
        <v>582</v>
      </c>
      <c r="F195" s="26">
        <v>72.23</v>
      </c>
      <c r="G195" s="27">
        <v>312</v>
      </c>
      <c r="H195" s="10">
        <v>61860</v>
      </c>
      <c r="I195" s="30">
        <v>3528.05</v>
      </c>
      <c r="J195" s="31">
        <v>1523.93</v>
      </c>
      <c r="K195" s="24">
        <v>140000</v>
      </c>
      <c r="L195" s="10">
        <v>289</v>
      </c>
      <c r="M195" s="10">
        <v>101.57432</v>
      </c>
      <c r="N195" s="10">
        <v>56.92</v>
      </c>
      <c r="O195" s="10">
        <v>72.0421</v>
      </c>
      <c r="P195" s="19">
        <v>78585</v>
      </c>
      <c r="Q195" s="19">
        <v>16880.9</v>
      </c>
      <c r="R195" s="38">
        <v>5579.76</v>
      </c>
      <c r="S195" s="20">
        <v>769.9</v>
      </c>
      <c r="T195" s="39">
        <v>597.4</v>
      </c>
      <c r="U195" s="22">
        <v>8664</v>
      </c>
      <c r="V195" s="22">
        <v>26757</v>
      </c>
      <c r="W195" s="32">
        <v>38968</v>
      </c>
      <c r="X195" s="10">
        <v>43531</v>
      </c>
      <c r="Y195" s="10">
        <f t="shared" si="94"/>
        <v>1.56232840315295</v>
      </c>
      <c r="Z195" s="10">
        <f t="shared" si="86"/>
        <v>60619.4158075601</v>
      </c>
      <c r="AA195" s="10">
        <f t="shared" ref="AA195:AA239" si="96">G195/E195</f>
        <v>0.536082474226804</v>
      </c>
      <c r="AB195" s="10">
        <f t="shared" si="83"/>
        <v>0.0106288659793814</v>
      </c>
      <c r="AC195" s="10">
        <f t="shared" si="91"/>
        <v>0.674842795146577</v>
      </c>
      <c r="AD195" s="10">
        <f t="shared" si="89"/>
        <v>0.00619962802231866</v>
      </c>
      <c r="AE195" s="10">
        <f t="shared" si="87"/>
        <v>5.66642668811243</v>
      </c>
      <c r="AF195" s="10">
        <f t="shared" si="93"/>
        <v>0.0449802143299973</v>
      </c>
      <c r="AG195" s="10">
        <f t="shared" si="80"/>
        <v>0.0252059162164556</v>
      </c>
      <c r="AH195" s="10">
        <f t="shared" ref="AH195:AH258" si="97">O195/D195</f>
        <v>0.0319024444247631</v>
      </c>
      <c r="AI195" s="10">
        <f t="shared" ref="AI195:AI258" si="98">E195/F195</f>
        <v>8.05759379759103</v>
      </c>
      <c r="AJ195" s="10">
        <f t="shared" si="90"/>
        <v>2.47088831812948</v>
      </c>
      <c r="AK195" s="10">
        <f t="shared" ref="AK195:AK226" si="99">LN(P195)+LN(Q195)</f>
        <v>21.0058742047746</v>
      </c>
      <c r="AL195" s="10">
        <f t="shared" si="88"/>
        <v>0.340935258170224</v>
      </c>
      <c r="AM195" s="10">
        <f t="shared" si="92"/>
        <v>0.264546984323798</v>
      </c>
      <c r="AN195" s="10">
        <f t="shared" si="95"/>
        <v>3.08829639889197</v>
      </c>
    </row>
    <row r="196" ht="16" spans="1:40">
      <c r="A196" s="14">
        <v>2017</v>
      </c>
      <c r="B196" s="15">
        <v>630000</v>
      </c>
      <c r="C196" s="16" t="s">
        <v>60</v>
      </c>
      <c r="D196" s="24">
        <v>2465.1</v>
      </c>
      <c r="E196" s="25">
        <v>586</v>
      </c>
      <c r="F196" s="26">
        <v>72.23</v>
      </c>
      <c r="G196" s="27">
        <v>325</v>
      </c>
      <c r="H196" s="10">
        <v>66974</v>
      </c>
      <c r="I196" s="30">
        <v>3883.55</v>
      </c>
      <c r="J196" s="31">
        <v>1529.69</v>
      </c>
      <c r="K196" s="24">
        <v>179100</v>
      </c>
      <c r="L196" s="10">
        <v>287</v>
      </c>
      <c r="M196" s="10">
        <v>44.274996</v>
      </c>
      <c r="N196" s="10">
        <v>67.72</v>
      </c>
      <c r="O196" s="10">
        <v>167.6939</v>
      </c>
      <c r="P196" s="19">
        <v>80895.1</v>
      </c>
      <c r="Q196" s="19">
        <v>17923</v>
      </c>
      <c r="R196" s="38">
        <v>6222.49</v>
      </c>
      <c r="S196" s="20">
        <v>842.9</v>
      </c>
      <c r="T196" s="39">
        <v>683.2</v>
      </c>
      <c r="U196" s="22">
        <v>9462</v>
      </c>
      <c r="V196" s="22">
        <v>29169</v>
      </c>
      <c r="W196" s="32">
        <v>42211</v>
      </c>
      <c r="X196" s="10">
        <v>44047</v>
      </c>
      <c r="Y196" s="10">
        <f t="shared" si="94"/>
        <v>1.57541276215975</v>
      </c>
      <c r="Z196" s="10">
        <f t="shared" si="86"/>
        <v>66272.1843003413</v>
      </c>
      <c r="AA196" s="10">
        <f t="shared" si="96"/>
        <v>0.554607508532423</v>
      </c>
      <c r="AB196" s="10">
        <f t="shared" si="83"/>
        <v>0.0114290102389078</v>
      </c>
      <c r="AC196" s="10">
        <f t="shared" si="91"/>
        <v>0.620538720538721</v>
      </c>
      <c r="AD196" s="10">
        <f t="shared" si="89"/>
        <v>0.00726542533771449</v>
      </c>
      <c r="AE196" s="10">
        <f t="shared" si="87"/>
        <v>5.65948221575962</v>
      </c>
      <c r="AF196" s="10">
        <f t="shared" si="93"/>
        <v>0.0179607301935013</v>
      </c>
      <c r="AG196" s="10">
        <f t="shared" si="80"/>
        <v>0.0274715021702974</v>
      </c>
      <c r="AH196" s="10">
        <f t="shared" si="97"/>
        <v>0.0680272199910754</v>
      </c>
      <c r="AI196" s="10">
        <f t="shared" si="98"/>
        <v>8.11297244912086</v>
      </c>
      <c r="AJ196" s="10">
        <f t="shared" si="90"/>
        <v>2.5242343109813</v>
      </c>
      <c r="AK196" s="10">
        <f t="shared" si="99"/>
        <v>21.0947486158406</v>
      </c>
      <c r="AL196" s="10">
        <f t="shared" si="88"/>
        <v>0.341933390126161</v>
      </c>
      <c r="AM196" s="10">
        <f t="shared" si="92"/>
        <v>0.277149000040566</v>
      </c>
      <c r="AN196" s="10">
        <f t="shared" si="95"/>
        <v>3.08275206087508</v>
      </c>
    </row>
    <row r="197" ht="16" spans="1:40">
      <c r="A197" s="14">
        <v>2018</v>
      </c>
      <c r="B197" s="15">
        <v>630000</v>
      </c>
      <c r="C197" s="16" t="s">
        <v>60</v>
      </c>
      <c r="D197" s="24">
        <v>2748</v>
      </c>
      <c r="E197" s="25">
        <v>587</v>
      </c>
      <c r="F197" s="26">
        <v>72.23</v>
      </c>
      <c r="G197" s="27">
        <v>336</v>
      </c>
      <c r="H197" s="10">
        <v>70288</v>
      </c>
      <c r="I197" s="30">
        <v>4167.04915</v>
      </c>
      <c r="J197" s="31">
        <v>1646.61</v>
      </c>
      <c r="K197" s="24">
        <v>173000</v>
      </c>
      <c r="L197" s="10">
        <v>285</v>
      </c>
      <c r="M197" s="10">
        <v>48.120078</v>
      </c>
      <c r="N197" s="10">
        <v>79.36</v>
      </c>
      <c r="O197" s="10">
        <v>429.96</v>
      </c>
      <c r="P197" s="19">
        <v>82137.1</v>
      </c>
      <c r="Q197" s="19">
        <v>18904.9</v>
      </c>
      <c r="R197" s="38">
        <v>6582.44</v>
      </c>
      <c r="S197" s="20">
        <v>899.9</v>
      </c>
      <c r="T197" s="39">
        <v>777.5</v>
      </c>
      <c r="U197" s="22">
        <v>10393</v>
      </c>
      <c r="V197" s="22">
        <v>31515</v>
      </c>
      <c r="W197" s="32">
        <v>46854</v>
      </c>
      <c r="X197" s="10">
        <v>47689.4526</v>
      </c>
      <c r="Y197" s="10">
        <f t="shared" si="94"/>
        <v>1.51639343158661</v>
      </c>
      <c r="Z197" s="10">
        <f t="shared" si="86"/>
        <v>70988.9122657581</v>
      </c>
      <c r="AA197" s="10">
        <f t="shared" si="96"/>
        <v>0.572402044293015</v>
      </c>
      <c r="AB197" s="10">
        <f t="shared" si="83"/>
        <v>0.0119741056218058</v>
      </c>
      <c r="AC197" s="10">
        <f t="shared" si="91"/>
        <v>0.599203056768559</v>
      </c>
      <c r="AD197" s="10">
        <f t="shared" si="89"/>
        <v>0.00629548762736536</v>
      </c>
      <c r="AE197" s="10">
        <f t="shared" si="87"/>
        <v>5.65248918026865</v>
      </c>
      <c r="AF197" s="10">
        <f t="shared" si="93"/>
        <v>0.0175109454148472</v>
      </c>
      <c r="AG197" s="10">
        <f t="shared" si="80"/>
        <v>0.0288791848617176</v>
      </c>
      <c r="AH197" s="10">
        <f t="shared" si="97"/>
        <v>0.15646288209607</v>
      </c>
      <c r="AI197" s="10">
        <f t="shared" si="98"/>
        <v>8.12681711200332</v>
      </c>
      <c r="AJ197" s="10">
        <f t="shared" si="90"/>
        <v>2.39535662299854</v>
      </c>
      <c r="AK197" s="10">
        <f t="shared" si="99"/>
        <v>21.1633215080166</v>
      </c>
      <c r="AL197" s="10">
        <f t="shared" si="88"/>
        <v>0.327474526928675</v>
      </c>
      <c r="AM197" s="10">
        <f t="shared" si="92"/>
        <v>0.282933042212518</v>
      </c>
      <c r="AN197" s="10">
        <f t="shared" si="95"/>
        <v>3.03232945251612</v>
      </c>
    </row>
    <row r="198" ht="16" spans="1:40">
      <c r="A198" s="14">
        <v>2019</v>
      </c>
      <c r="B198" s="15">
        <v>630000</v>
      </c>
      <c r="C198" s="16" t="s">
        <v>60</v>
      </c>
      <c r="D198" s="24">
        <v>2941.1</v>
      </c>
      <c r="E198" s="25">
        <v>590</v>
      </c>
      <c r="F198" s="26">
        <v>72.23</v>
      </c>
      <c r="G198" s="27">
        <v>347</v>
      </c>
      <c r="H198" s="10">
        <v>73182</v>
      </c>
      <c r="I198" s="30">
        <v>4375.4016075</v>
      </c>
      <c r="J198" s="31">
        <v>1852.61</v>
      </c>
      <c r="K198" s="24">
        <v>205700</v>
      </c>
      <c r="L198" s="10">
        <v>282</v>
      </c>
      <c r="M198" s="10">
        <v>37.584063</v>
      </c>
      <c r="N198" s="10">
        <v>9.1</v>
      </c>
      <c r="O198" s="10">
        <v>645.0785</v>
      </c>
      <c r="P198" s="19">
        <v>83760.6</v>
      </c>
      <c r="Q198" s="19">
        <v>15057</v>
      </c>
      <c r="R198" s="38">
        <v>6639.76</v>
      </c>
      <c r="S198" s="20">
        <v>948.5</v>
      </c>
      <c r="T198" s="39">
        <v>821.9</v>
      </c>
      <c r="U198" s="22">
        <v>11499</v>
      </c>
      <c r="V198" s="22">
        <v>33830</v>
      </c>
      <c r="W198" s="32">
        <v>49976</v>
      </c>
      <c r="X198" s="10">
        <v>48981.46</v>
      </c>
      <c r="Y198" s="10">
        <f t="shared" si="94"/>
        <v>1.48767522610588</v>
      </c>
      <c r="Z198" s="10">
        <f t="shared" si="86"/>
        <v>74159.349279661</v>
      </c>
      <c r="AA198" s="10">
        <f t="shared" si="96"/>
        <v>0.588135593220339</v>
      </c>
      <c r="AB198" s="10">
        <f t="shared" si="83"/>
        <v>0.0124037288135593</v>
      </c>
      <c r="AC198" s="10">
        <f t="shared" si="91"/>
        <v>0.629903777498215</v>
      </c>
      <c r="AD198" s="10">
        <f t="shared" si="89"/>
        <v>0.00699398184352793</v>
      </c>
      <c r="AE198" s="10">
        <f t="shared" si="87"/>
        <v>5.64190707093811</v>
      </c>
      <c r="AF198" s="10">
        <f t="shared" si="93"/>
        <v>0.0127789136717555</v>
      </c>
      <c r="AG198" s="10">
        <f t="shared" si="80"/>
        <v>0.0030940804460916</v>
      </c>
      <c r="AH198" s="10">
        <f t="shared" si="97"/>
        <v>0.219332392642209</v>
      </c>
      <c r="AI198" s="10">
        <f t="shared" si="98"/>
        <v>8.1683511006507</v>
      </c>
      <c r="AJ198" s="10">
        <f t="shared" si="90"/>
        <v>2.25757709700452</v>
      </c>
      <c r="AK198" s="10">
        <f t="shared" si="99"/>
        <v>20.9553162871656</v>
      </c>
      <c r="AL198" s="10">
        <f t="shared" si="88"/>
        <v>0.322498384958009</v>
      </c>
      <c r="AM198" s="10">
        <f t="shared" si="92"/>
        <v>0.27945326578491</v>
      </c>
      <c r="AN198" s="10">
        <f t="shared" si="95"/>
        <v>2.94199495608314</v>
      </c>
    </row>
    <row r="199" ht="16" spans="1:40">
      <c r="A199" s="14">
        <v>2020</v>
      </c>
      <c r="B199" s="15">
        <v>630000</v>
      </c>
      <c r="C199" s="16" t="s">
        <v>60</v>
      </c>
      <c r="D199" s="24">
        <v>3009.8</v>
      </c>
      <c r="E199" s="25">
        <v>593</v>
      </c>
      <c r="F199" s="26">
        <v>72.23</v>
      </c>
      <c r="G199" s="27">
        <v>356</v>
      </c>
      <c r="H199" s="10">
        <v>74111</v>
      </c>
      <c r="I199" s="30">
        <v>3841.602611385</v>
      </c>
      <c r="J199" s="31">
        <v>1917.62</v>
      </c>
      <c r="K199" s="24">
        <v>213200</v>
      </c>
      <c r="L199" s="10">
        <v>279</v>
      </c>
      <c r="M199" s="10">
        <v>22.955213</v>
      </c>
      <c r="N199" s="10">
        <v>10.56</v>
      </c>
      <c r="O199" s="10">
        <v>837.1281</v>
      </c>
      <c r="P199" s="19">
        <v>85131.1</v>
      </c>
      <c r="Q199" s="19">
        <v>14478.5</v>
      </c>
      <c r="R199" s="38">
        <v>6578.23</v>
      </c>
      <c r="S199" s="20">
        <v>877.3</v>
      </c>
      <c r="T199" s="39">
        <v>792.2</v>
      </c>
      <c r="U199" s="22">
        <v>12342</v>
      </c>
      <c r="V199" s="22">
        <v>35506</v>
      </c>
      <c r="W199" s="32">
        <v>50845</v>
      </c>
      <c r="X199" s="10">
        <v>50818.6</v>
      </c>
      <c r="Y199" s="10">
        <f t="shared" si="94"/>
        <v>1.27636474562596</v>
      </c>
      <c r="Z199" s="10">
        <f t="shared" si="86"/>
        <v>64782.5060941821</v>
      </c>
      <c r="AA199" s="10">
        <f t="shared" si="96"/>
        <v>0.600337268128162</v>
      </c>
      <c r="AB199" s="10">
        <f t="shared" ref="AB199:AB226" si="100">H199/(E199*10000)</f>
        <v>0.0124976391231029</v>
      </c>
      <c r="AC199" s="10">
        <f t="shared" si="91"/>
        <v>0.637125390391388</v>
      </c>
      <c r="AD199" s="10">
        <f t="shared" si="89"/>
        <v>0.00708352714466077</v>
      </c>
      <c r="AE199" s="10">
        <f t="shared" si="87"/>
        <v>5.63121178182137</v>
      </c>
      <c r="AF199" s="10">
        <f t="shared" si="93"/>
        <v>0.00762682337696857</v>
      </c>
      <c r="AG199" s="10">
        <f t="shared" si="80"/>
        <v>0.00350853877334042</v>
      </c>
      <c r="AH199" s="10">
        <f t="shared" si="97"/>
        <v>0.278134128513522</v>
      </c>
      <c r="AI199" s="10">
        <f t="shared" si="98"/>
        <v>8.20988508929807</v>
      </c>
      <c r="AJ199" s="10">
        <f t="shared" si="90"/>
        <v>2.18560369459765</v>
      </c>
      <c r="AK199" s="10">
        <f t="shared" si="99"/>
        <v>20.9323677696225</v>
      </c>
      <c r="AL199" s="10">
        <f t="shared" si="88"/>
        <v>0.291481161538973</v>
      </c>
      <c r="AM199" s="10">
        <f t="shared" si="92"/>
        <v>0.263206857598512</v>
      </c>
      <c r="AN199" s="10">
        <f t="shared" si="95"/>
        <v>2.87684329930319</v>
      </c>
    </row>
    <row r="200" ht="16" spans="1:40">
      <c r="A200" s="14">
        <v>2021</v>
      </c>
      <c r="B200" s="15">
        <v>630000</v>
      </c>
      <c r="C200" s="16" t="s">
        <v>60</v>
      </c>
      <c r="D200" s="24">
        <v>3385.1</v>
      </c>
      <c r="E200" s="25">
        <v>594</v>
      </c>
      <c r="F200" s="26">
        <v>72.23</v>
      </c>
      <c r="G200" s="27">
        <v>362</v>
      </c>
      <c r="H200" s="10">
        <v>77125</v>
      </c>
      <c r="I200" s="30">
        <v>3730.19613565483</v>
      </c>
      <c r="J200" s="31">
        <v>1837.55</v>
      </c>
      <c r="K200" s="24">
        <v>267745.2</v>
      </c>
      <c r="L200" s="10">
        <v>277</v>
      </c>
      <c r="M200" s="10">
        <v>31.61235</v>
      </c>
      <c r="N200" s="10">
        <v>14.1042</v>
      </c>
      <c r="O200" s="10">
        <v>97.04</v>
      </c>
      <c r="P200" s="19">
        <v>86152</v>
      </c>
      <c r="Q200" s="19">
        <v>17817</v>
      </c>
      <c r="R200" s="38">
        <v>6818.43</v>
      </c>
      <c r="S200" s="20">
        <v>947.8</v>
      </c>
      <c r="T200" s="39">
        <v>980.2</v>
      </c>
      <c r="U200" s="22">
        <v>13604</v>
      </c>
      <c r="V200" s="22">
        <v>37745</v>
      </c>
      <c r="W200" s="32">
        <v>57036</v>
      </c>
      <c r="X200" s="10">
        <v>56398</v>
      </c>
      <c r="Y200" s="10">
        <f t="shared" si="94"/>
        <v>1.10194562513806</v>
      </c>
      <c r="Z200" s="10">
        <f t="shared" si="86"/>
        <v>62797.9147416638</v>
      </c>
      <c r="AA200" s="10">
        <f t="shared" si="96"/>
        <v>0.609427609427609</v>
      </c>
      <c r="AB200" s="10">
        <f t="shared" si="100"/>
        <v>0.0129840067340067</v>
      </c>
      <c r="AC200" s="10">
        <f t="shared" si="91"/>
        <v>0.54283477592981</v>
      </c>
      <c r="AD200" s="10">
        <f t="shared" si="89"/>
        <v>0.00790952113674633</v>
      </c>
      <c r="AE200" s="10">
        <f t="shared" si="87"/>
        <v>5.62401750618734</v>
      </c>
      <c r="AF200" s="10">
        <f t="shared" si="93"/>
        <v>0.0093386753714809</v>
      </c>
      <c r="AG200" s="10">
        <f t="shared" si="80"/>
        <v>0.00416655342530501</v>
      </c>
      <c r="AH200" s="10">
        <f t="shared" si="97"/>
        <v>0.0286668045257156</v>
      </c>
      <c r="AI200" s="10">
        <f t="shared" si="98"/>
        <v>8.22372975218053</v>
      </c>
      <c r="AJ200" s="10">
        <f t="shared" si="90"/>
        <v>2.014247732711</v>
      </c>
      <c r="AK200" s="10">
        <f t="shared" si="99"/>
        <v>21.1517767936927</v>
      </c>
      <c r="AL200" s="10">
        <f t="shared" si="88"/>
        <v>0.279991728457062</v>
      </c>
      <c r="AM200" s="10">
        <f t="shared" si="92"/>
        <v>0.289563085285516</v>
      </c>
      <c r="AN200" s="10">
        <f t="shared" si="95"/>
        <v>2.77455160246986</v>
      </c>
    </row>
    <row r="201" ht="16" spans="1:40">
      <c r="A201" s="14">
        <v>2022</v>
      </c>
      <c r="B201" s="15">
        <v>630000</v>
      </c>
      <c r="C201" s="16" t="s">
        <v>60</v>
      </c>
      <c r="D201" s="24">
        <v>3623.3</v>
      </c>
      <c r="E201" s="25">
        <v>595</v>
      </c>
      <c r="F201" s="26">
        <v>72.23</v>
      </c>
      <c r="G201" s="27">
        <v>366</v>
      </c>
      <c r="H201" s="10">
        <v>80915</v>
      </c>
      <c r="I201" s="30">
        <v>3446.70122934507</v>
      </c>
      <c r="J201" s="31">
        <v>1954.1</v>
      </c>
      <c r="K201" s="24">
        <v>288425</v>
      </c>
      <c r="L201" s="10">
        <v>256</v>
      </c>
      <c r="M201" s="10">
        <v>41.02921</v>
      </c>
      <c r="N201" s="10">
        <v>16.03</v>
      </c>
      <c r="O201" s="10">
        <v>100.7541</v>
      </c>
      <c r="P201" s="35">
        <v>87726</v>
      </c>
      <c r="Q201" s="35">
        <v>18467</v>
      </c>
      <c r="R201" s="38">
        <v>7044.75</v>
      </c>
      <c r="S201" s="20">
        <v>842.1</v>
      </c>
      <c r="T201" s="39">
        <v>1250.3</v>
      </c>
      <c r="U201" s="22">
        <v>14456</v>
      </c>
      <c r="V201" s="22">
        <v>38736</v>
      </c>
      <c r="W201" s="32">
        <v>60946</v>
      </c>
      <c r="X201" s="10">
        <v>60724</v>
      </c>
      <c r="Y201" s="10">
        <f t="shared" si="94"/>
        <v>0.951260240483832</v>
      </c>
      <c r="Z201" s="10">
        <f t="shared" si="86"/>
        <v>57927.7517536986</v>
      </c>
      <c r="AA201" s="10">
        <f t="shared" si="96"/>
        <v>0.615126050420168</v>
      </c>
      <c r="AB201" s="10">
        <f t="shared" si="100"/>
        <v>0.0135991596638655</v>
      </c>
      <c r="AC201" s="10">
        <f t="shared" si="91"/>
        <v>0.539314989098336</v>
      </c>
      <c r="AD201" s="10">
        <f t="shared" si="89"/>
        <v>0.00796028482322744</v>
      </c>
      <c r="AE201" s="10">
        <f t="shared" si="87"/>
        <v>5.54517744447956</v>
      </c>
      <c r="AF201" s="10">
        <f t="shared" si="93"/>
        <v>0.0113237131896338</v>
      </c>
      <c r="AG201" s="10">
        <f t="shared" si="80"/>
        <v>0.00442414373637292</v>
      </c>
      <c r="AH201" s="10">
        <f t="shared" si="97"/>
        <v>0.0278072751359258</v>
      </c>
      <c r="AI201" s="10">
        <f t="shared" si="98"/>
        <v>8.23757441506299</v>
      </c>
      <c r="AJ201" s="10">
        <f t="shared" si="90"/>
        <v>1.94429111583363</v>
      </c>
      <c r="AK201" s="10">
        <f t="shared" si="99"/>
        <v>21.2057142340914</v>
      </c>
      <c r="AL201" s="10">
        <f t="shared" si="88"/>
        <v>0.232412441696796</v>
      </c>
      <c r="AM201" s="10">
        <f t="shared" si="92"/>
        <v>0.345072171777109</v>
      </c>
      <c r="AN201" s="10">
        <f t="shared" si="95"/>
        <v>2.67957941339236</v>
      </c>
    </row>
    <row r="202" ht="16" spans="1:40">
      <c r="A202" s="14">
        <v>2013</v>
      </c>
      <c r="B202" s="15">
        <v>370000</v>
      </c>
      <c r="C202" s="16" t="s">
        <v>61</v>
      </c>
      <c r="D202" s="24">
        <v>47344.3</v>
      </c>
      <c r="E202" s="25">
        <v>9746</v>
      </c>
      <c r="F202" s="26">
        <v>15.81</v>
      </c>
      <c r="G202" s="27">
        <v>5210</v>
      </c>
      <c r="H202" s="10">
        <v>1698545</v>
      </c>
      <c r="I202" s="30">
        <v>36789.1</v>
      </c>
      <c r="J202" s="31">
        <v>6680.58</v>
      </c>
      <c r="K202" s="24">
        <v>11758026.6</v>
      </c>
      <c r="L202" s="10">
        <v>5840</v>
      </c>
      <c r="M202" s="10">
        <v>16506.831</v>
      </c>
      <c r="N202" s="10">
        <v>179.4</v>
      </c>
      <c r="O202" s="10">
        <v>1063.8315</v>
      </c>
      <c r="P202" s="19">
        <v>252786</v>
      </c>
      <c r="Q202" s="19">
        <v>264100</v>
      </c>
      <c r="R202" s="38">
        <v>44761.26</v>
      </c>
      <c r="S202" s="20">
        <v>22294.8</v>
      </c>
      <c r="T202" s="39">
        <v>19475.3</v>
      </c>
      <c r="U202" s="22">
        <v>10687</v>
      </c>
      <c r="V202" s="22">
        <v>26882</v>
      </c>
      <c r="W202" s="32">
        <v>48673.11</v>
      </c>
      <c r="X202" s="10">
        <v>56884.9371</v>
      </c>
      <c r="Y202" s="10">
        <f t="shared" si="94"/>
        <v>0.777054471182381</v>
      </c>
      <c r="Z202" s="10">
        <f t="shared" si="86"/>
        <v>37747.896572953</v>
      </c>
      <c r="AA202" s="10">
        <f t="shared" si="96"/>
        <v>0.534578288528627</v>
      </c>
      <c r="AB202" s="10">
        <f t="shared" si="100"/>
        <v>0.0174281243587113</v>
      </c>
      <c r="AC202" s="10">
        <f t="shared" si="91"/>
        <v>0.141106321141088</v>
      </c>
      <c r="AD202" s="10">
        <f t="shared" si="89"/>
        <v>0.0248351472088509</v>
      </c>
      <c r="AE202" s="10">
        <f t="shared" si="87"/>
        <v>8.67248607582227</v>
      </c>
      <c r="AF202" s="10">
        <f t="shared" si="93"/>
        <v>0.348655086251143</v>
      </c>
      <c r="AG202" s="10">
        <f t="shared" si="80"/>
        <v>0.00378926291021306</v>
      </c>
      <c r="AH202" s="10">
        <f t="shared" si="97"/>
        <v>0.0224701072779617</v>
      </c>
      <c r="AI202" s="10">
        <f t="shared" si="98"/>
        <v>616.445287792536</v>
      </c>
      <c r="AJ202" s="10">
        <f t="shared" si="90"/>
        <v>0.945441373090319</v>
      </c>
      <c r="AK202" s="10">
        <f t="shared" si="99"/>
        <v>24.9243816582597</v>
      </c>
      <c r="AL202" s="10">
        <f t="shared" si="88"/>
        <v>0.470907796714705</v>
      </c>
      <c r="AM202" s="10">
        <f t="shared" si="92"/>
        <v>0.411354693173201</v>
      </c>
      <c r="AN202" s="10">
        <f t="shared" si="95"/>
        <v>2.515392532984</v>
      </c>
    </row>
    <row r="203" ht="16" spans="1:40">
      <c r="A203" s="14">
        <v>2014</v>
      </c>
      <c r="B203" s="15">
        <v>370000</v>
      </c>
      <c r="C203" s="16" t="s">
        <v>61</v>
      </c>
      <c r="D203" s="24">
        <v>50774.8</v>
      </c>
      <c r="E203" s="25">
        <v>9808</v>
      </c>
      <c r="F203" s="26">
        <v>15.81</v>
      </c>
      <c r="G203" s="27">
        <v>5372</v>
      </c>
      <c r="H203" s="10">
        <v>1796665</v>
      </c>
      <c r="I203" s="30">
        <v>42495.55</v>
      </c>
      <c r="J203" s="31">
        <v>7161.8</v>
      </c>
      <c r="K203" s="24">
        <v>13040695</v>
      </c>
      <c r="L203" s="10">
        <v>5798</v>
      </c>
      <c r="M203" s="10">
        <v>17011.219</v>
      </c>
      <c r="N203" s="10">
        <v>249.29</v>
      </c>
      <c r="O203" s="10">
        <v>1212.6517</v>
      </c>
      <c r="P203" s="19">
        <v>259515</v>
      </c>
      <c r="Q203" s="19">
        <v>264459</v>
      </c>
      <c r="R203" s="38">
        <v>50058.64</v>
      </c>
      <c r="S203" s="20">
        <v>25111.5</v>
      </c>
      <c r="T203" s="39">
        <v>20178.2</v>
      </c>
      <c r="U203" s="22">
        <v>11882</v>
      </c>
      <c r="V203" s="22">
        <v>29222</v>
      </c>
      <c r="W203" s="32">
        <v>51932.94</v>
      </c>
      <c r="X203" s="10">
        <v>60879.1048</v>
      </c>
      <c r="Y203" s="10">
        <f t="shared" si="94"/>
        <v>0.836941750632203</v>
      </c>
      <c r="Z203" s="10">
        <f t="shared" si="86"/>
        <v>43327.4367862969</v>
      </c>
      <c r="AA203" s="10">
        <f t="shared" si="96"/>
        <v>0.547716150081566</v>
      </c>
      <c r="AB203" s="10">
        <f t="shared" si="100"/>
        <v>0.0183183625611746</v>
      </c>
      <c r="AC203" s="10">
        <f t="shared" si="91"/>
        <v>0.141050284786942</v>
      </c>
      <c r="AD203" s="10">
        <f t="shared" si="89"/>
        <v>0.0256834000330873</v>
      </c>
      <c r="AE203" s="10">
        <f t="shared" si="87"/>
        <v>8.6652683094816</v>
      </c>
      <c r="AF203" s="10">
        <f t="shared" si="93"/>
        <v>0.335032713078141</v>
      </c>
      <c r="AG203" s="10">
        <f t="shared" si="80"/>
        <v>0.00490971899446182</v>
      </c>
      <c r="AH203" s="10">
        <f t="shared" si="97"/>
        <v>0.0238829439013054</v>
      </c>
      <c r="AI203" s="10">
        <f t="shared" si="98"/>
        <v>620.366856419987</v>
      </c>
      <c r="AJ203" s="10">
        <f t="shared" si="90"/>
        <v>0.98589536541749</v>
      </c>
      <c r="AK203" s="10">
        <f t="shared" si="99"/>
        <v>24.9520112921992</v>
      </c>
      <c r="AL203" s="10">
        <f t="shared" si="88"/>
        <v>0.494566202131766</v>
      </c>
      <c r="AM203" s="10">
        <f t="shared" si="92"/>
        <v>0.397405799727424</v>
      </c>
      <c r="AN203" s="10">
        <f t="shared" si="95"/>
        <v>2.45935027773102</v>
      </c>
    </row>
    <row r="204" ht="16" spans="1:40">
      <c r="A204" s="14">
        <v>2015</v>
      </c>
      <c r="B204" s="15">
        <v>370000</v>
      </c>
      <c r="C204" s="16" t="s">
        <v>61</v>
      </c>
      <c r="D204" s="24">
        <v>55288.8</v>
      </c>
      <c r="E204" s="25">
        <v>9866</v>
      </c>
      <c r="F204" s="26">
        <v>15.81</v>
      </c>
      <c r="G204" s="27">
        <v>5621</v>
      </c>
      <c r="H204" s="10">
        <v>1900612</v>
      </c>
      <c r="I204" s="30">
        <v>48312.44</v>
      </c>
      <c r="J204" s="31">
        <v>8230.76</v>
      </c>
      <c r="K204" s="24">
        <v>14271890.2</v>
      </c>
      <c r="L204" s="10">
        <v>5773</v>
      </c>
      <c r="M204" s="10">
        <v>14986.016</v>
      </c>
      <c r="N204" s="10">
        <v>307.55</v>
      </c>
      <c r="O204" s="10">
        <v>1474.5871</v>
      </c>
      <c r="P204" s="19">
        <v>263447</v>
      </c>
      <c r="Q204" s="19">
        <v>261849</v>
      </c>
      <c r="R204" s="38">
        <v>55437</v>
      </c>
      <c r="S204" s="20">
        <v>21550.9</v>
      </c>
      <c r="T204" s="39">
        <v>21156.5</v>
      </c>
      <c r="U204" s="22">
        <v>12930</v>
      </c>
      <c r="V204" s="22">
        <v>31545</v>
      </c>
      <c r="W204" s="32">
        <v>56204.93</v>
      </c>
      <c r="X204" s="10">
        <v>64168.3001</v>
      </c>
      <c r="Y204" s="10">
        <f t="shared" si="94"/>
        <v>0.873819652443171</v>
      </c>
      <c r="Z204" s="10">
        <f t="shared" si="86"/>
        <v>48968.6195013177</v>
      </c>
      <c r="AA204" s="10">
        <f t="shared" si="96"/>
        <v>0.569734441516319</v>
      </c>
      <c r="AB204" s="10">
        <f t="shared" si="100"/>
        <v>0.0192642610987229</v>
      </c>
      <c r="AC204" s="10">
        <f t="shared" si="91"/>
        <v>0.148868486926828</v>
      </c>
      <c r="AD204" s="10">
        <f t="shared" si="89"/>
        <v>0.0258133477304626</v>
      </c>
      <c r="AE204" s="10">
        <f t="shared" si="87"/>
        <v>8.66094715506093</v>
      </c>
      <c r="AF204" s="10">
        <f t="shared" si="93"/>
        <v>0.271049760530162</v>
      </c>
      <c r="AG204" s="10">
        <f t="shared" si="80"/>
        <v>0.00556260942541708</v>
      </c>
      <c r="AH204" s="10">
        <f t="shared" si="97"/>
        <v>0.0266706294945812</v>
      </c>
      <c r="AI204" s="10">
        <f t="shared" si="98"/>
        <v>624.035420619861</v>
      </c>
      <c r="AJ204" s="10">
        <f t="shared" si="90"/>
        <v>1.00268047054738</v>
      </c>
      <c r="AK204" s="10">
        <f t="shared" si="99"/>
        <v>24.9571307689326</v>
      </c>
      <c r="AL204" s="10">
        <f t="shared" si="88"/>
        <v>0.389787805125089</v>
      </c>
      <c r="AM204" s="10">
        <f t="shared" si="92"/>
        <v>0.382654353142047</v>
      </c>
      <c r="AN204" s="10">
        <f t="shared" si="95"/>
        <v>2.43967517401392</v>
      </c>
    </row>
    <row r="205" ht="16" spans="1:40">
      <c r="A205" s="14">
        <v>2016</v>
      </c>
      <c r="B205" s="15">
        <v>370000</v>
      </c>
      <c r="C205" s="16" t="s">
        <v>61</v>
      </c>
      <c r="D205" s="24">
        <v>58762.5</v>
      </c>
      <c r="E205" s="25">
        <v>9973</v>
      </c>
      <c r="F205" s="26">
        <v>15.81</v>
      </c>
      <c r="G205" s="27">
        <v>5897</v>
      </c>
      <c r="H205" s="10">
        <v>1995880</v>
      </c>
      <c r="I205" s="30">
        <v>53322.94</v>
      </c>
      <c r="J205" s="31">
        <v>8735.05</v>
      </c>
      <c r="K205" s="24">
        <v>15660904</v>
      </c>
      <c r="L205" s="10">
        <v>5728</v>
      </c>
      <c r="M205" s="10">
        <v>15566.619</v>
      </c>
      <c r="N205" s="10">
        <v>395.95</v>
      </c>
      <c r="O205" s="10">
        <v>1164.9896</v>
      </c>
      <c r="P205" s="19">
        <v>265720</v>
      </c>
      <c r="Q205" s="19">
        <v>285386</v>
      </c>
      <c r="R205" s="38">
        <v>61726.88</v>
      </c>
      <c r="S205" s="20">
        <v>23482.1</v>
      </c>
      <c r="T205" s="39">
        <v>21696</v>
      </c>
      <c r="U205" s="22">
        <v>13954</v>
      </c>
      <c r="V205" s="22">
        <v>34012</v>
      </c>
      <c r="W205" s="32">
        <v>59239.34</v>
      </c>
      <c r="X205" s="10">
        <v>68733</v>
      </c>
      <c r="Y205" s="10">
        <f t="shared" si="94"/>
        <v>0.907431440119124</v>
      </c>
      <c r="Z205" s="10">
        <f t="shared" si="86"/>
        <v>53467.3017146295</v>
      </c>
      <c r="AA205" s="10">
        <f t="shared" si="96"/>
        <v>0.591296500551489</v>
      </c>
      <c r="AB205" s="10">
        <f t="shared" si="100"/>
        <v>0.0200128346535646</v>
      </c>
      <c r="AC205" s="10">
        <f t="shared" si="91"/>
        <v>0.148650074452244</v>
      </c>
      <c r="AD205" s="10">
        <f t="shared" si="89"/>
        <v>0.0266511874069347</v>
      </c>
      <c r="AE205" s="10">
        <f t="shared" si="87"/>
        <v>8.65312170864048</v>
      </c>
      <c r="AF205" s="10">
        <f t="shared" si="93"/>
        <v>0.264907364390555</v>
      </c>
      <c r="AG205" s="10">
        <f t="shared" si="80"/>
        <v>0.00673814082110189</v>
      </c>
      <c r="AH205" s="10">
        <f t="shared" si="97"/>
        <v>0.0198253920442459</v>
      </c>
      <c r="AI205" s="10">
        <f t="shared" si="98"/>
        <v>630.803289057558</v>
      </c>
      <c r="AJ205" s="10">
        <f t="shared" si="90"/>
        <v>1.0504467985535</v>
      </c>
      <c r="AK205" s="10">
        <f t="shared" si="99"/>
        <v>25.0517963306415</v>
      </c>
      <c r="AL205" s="10">
        <f t="shared" si="88"/>
        <v>0.39961029568177</v>
      </c>
      <c r="AM205" s="10">
        <f t="shared" si="92"/>
        <v>0.369215060625399</v>
      </c>
      <c r="AN205" s="10">
        <f t="shared" si="95"/>
        <v>2.43743729396589</v>
      </c>
    </row>
    <row r="206" ht="16" spans="1:40">
      <c r="A206" s="14">
        <v>2017</v>
      </c>
      <c r="B206" s="15">
        <v>370000</v>
      </c>
      <c r="C206" s="16" t="s">
        <v>61</v>
      </c>
      <c r="D206" s="24">
        <v>63012.1</v>
      </c>
      <c r="E206" s="25">
        <v>10033</v>
      </c>
      <c r="F206" s="26">
        <v>15.81</v>
      </c>
      <c r="G206" s="27">
        <v>6099</v>
      </c>
      <c r="H206" s="10">
        <v>2015345</v>
      </c>
      <c r="I206" s="30">
        <v>55202.72</v>
      </c>
      <c r="J206" s="31">
        <v>9235.03</v>
      </c>
      <c r="K206" s="24">
        <v>17530070</v>
      </c>
      <c r="L206" s="10">
        <v>5693</v>
      </c>
      <c r="M206" s="10">
        <v>17861.951</v>
      </c>
      <c r="N206" s="10">
        <v>511.64</v>
      </c>
      <c r="O206" s="10">
        <v>1891.8822</v>
      </c>
      <c r="P206" s="19">
        <v>270590</v>
      </c>
      <c r="Q206" s="19">
        <v>327006</v>
      </c>
      <c r="R206" s="38">
        <v>67575.96</v>
      </c>
      <c r="S206" s="20">
        <v>25527.9</v>
      </c>
      <c r="T206" s="39">
        <v>22515.8</v>
      </c>
      <c r="U206" s="22">
        <v>15118</v>
      </c>
      <c r="V206" s="22">
        <v>36789</v>
      </c>
      <c r="W206" s="32">
        <v>62993.2</v>
      </c>
      <c r="X206" s="10">
        <v>72807.1389</v>
      </c>
      <c r="Y206" s="10">
        <f t="shared" si="94"/>
        <v>0.876065390615453</v>
      </c>
      <c r="Z206" s="10">
        <f t="shared" si="86"/>
        <v>55021.1502043257</v>
      </c>
      <c r="AA206" s="10">
        <f t="shared" si="96"/>
        <v>0.607893949965115</v>
      </c>
      <c r="AB206" s="10">
        <f t="shared" si="100"/>
        <v>0.0200871623641981</v>
      </c>
      <c r="AC206" s="10">
        <f t="shared" si="91"/>
        <v>0.146559629023632</v>
      </c>
      <c r="AD206" s="10">
        <f t="shared" si="89"/>
        <v>0.0278201646985262</v>
      </c>
      <c r="AE206" s="10">
        <f t="shared" si="87"/>
        <v>8.64699262895108</v>
      </c>
      <c r="AF206" s="10">
        <f t="shared" si="93"/>
        <v>0.283468587779173</v>
      </c>
      <c r="AG206" s="10">
        <f t="shared" si="80"/>
        <v>0.00811971034134714</v>
      </c>
      <c r="AH206" s="10">
        <f t="shared" si="97"/>
        <v>0.0300241096551297</v>
      </c>
      <c r="AI206" s="10">
        <f t="shared" si="98"/>
        <v>634.598355471221</v>
      </c>
      <c r="AJ206" s="10">
        <f t="shared" si="90"/>
        <v>1.07242831138781</v>
      </c>
      <c r="AK206" s="10">
        <f t="shared" si="99"/>
        <v>25.2060938374559</v>
      </c>
      <c r="AL206" s="10">
        <f t="shared" si="88"/>
        <v>0.405126951807669</v>
      </c>
      <c r="AM206" s="10">
        <f t="shared" si="92"/>
        <v>0.357325021702181</v>
      </c>
      <c r="AN206" s="10">
        <f t="shared" si="95"/>
        <v>2.43345680645588</v>
      </c>
    </row>
    <row r="207" ht="16" spans="1:40">
      <c r="A207" s="14">
        <v>2018</v>
      </c>
      <c r="B207" s="15">
        <v>370000</v>
      </c>
      <c r="C207" s="16" t="s">
        <v>61</v>
      </c>
      <c r="D207" s="24">
        <v>66648.9</v>
      </c>
      <c r="E207" s="25">
        <v>10077</v>
      </c>
      <c r="F207" s="26">
        <v>15.81</v>
      </c>
      <c r="G207" s="27">
        <v>6193</v>
      </c>
      <c r="H207" s="10">
        <v>2040793</v>
      </c>
      <c r="I207" s="30">
        <v>57466.03152</v>
      </c>
      <c r="J207" s="31">
        <v>10069.91</v>
      </c>
      <c r="K207" s="24">
        <v>16433299.89</v>
      </c>
      <c r="L207" s="10">
        <v>5621</v>
      </c>
      <c r="M207" s="10">
        <v>19349.084</v>
      </c>
      <c r="N207" s="10">
        <v>819.95</v>
      </c>
      <c r="O207" s="10">
        <v>4187.5753</v>
      </c>
      <c r="P207" s="19">
        <v>275642</v>
      </c>
      <c r="Q207" s="19">
        <v>354019</v>
      </c>
      <c r="R207" s="38">
        <v>74879.4</v>
      </c>
      <c r="S207" s="20">
        <v>27480.3</v>
      </c>
      <c r="T207" s="39">
        <v>22613</v>
      </c>
      <c r="U207" s="22">
        <v>16297</v>
      </c>
      <c r="V207" s="22">
        <v>39549</v>
      </c>
      <c r="W207" s="32">
        <v>66284.31</v>
      </c>
      <c r="X207" s="10">
        <v>76267.2567</v>
      </c>
      <c r="Y207" s="10">
        <f t="shared" si="94"/>
        <v>0.862220254497824</v>
      </c>
      <c r="Z207" s="10">
        <f t="shared" si="86"/>
        <v>57026.924203632</v>
      </c>
      <c r="AA207" s="10">
        <f t="shared" si="96"/>
        <v>0.614567827726506</v>
      </c>
      <c r="AB207" s="10">
        <f t="shared" si="100"/>
        <v>0.0202519896794681</v>
      </c>
      <c r="AC207" s="10">
        <f t="shared" si="91"/>
        <v>0.1510889151959</v>
      </c>
      <c r="AD207" s="10">
        <f t="shared" si="89"/>
        <v>0.0246565207977926</v>
      </c>
      <c r="AE207" s="10">
        <f t="shared" si="87"/>
        <v>8.63426486300208</v>
      </c>
      <c r="AF207" s="10">
        <f t="shared" si="93"/>
        <v>0.290313628582017</v>
      </c>
      <c r="AG207" s="10">
        <f t="shared" si="80"/>
        <v>0.0123025286238783</v>
      </c>
      <c r="AH207" s="10">
        <f t="shared" si="97"/>
        <v>0.0628303737946163</v>
      </c>
      <c r="AI207" s="10">
        <f t="shared" si="98"/>
        <v>637.381404174573</v>
      </c>
      <c r="AJ207" s="10">
        <f t="shared" si="90"/>
        <v>1.12349041019432</v>
      </c>
      <c r="AK207" s="10">
        <f t="shared" si="99"/>
        <v>25.3039640642778</v>
      </c>
      <c r="AL207" s="10">
        <f t="shared" si="88"/>
        <v>0.412314381782745</v>
      </c>
      <c r="AM207" s="10">
        <f t="shared" si="92"/>
        <v>0.339285419564314</v>
      </c>
      <c r="AN207" s="10">
        <f t="shared" si="95"/>
        <v>2.42676566239185</v>
      </c>
    </row>
    <row r="208" ht="16" spans="1:40">
      <c r="A208" s="14">
        <v>2019</v>
      </c>
      <c r="B208" s="15">
        <v>370000</v>
      </c>
      <c r="C208" s="16" t="s">
        <v>61</v>
      </c>
      <c r="D208" s="24">
        <v>70540.5</v>
      </c>
      <c r="E208" s="25">
        <v>10106</v>
      </c>
      <c r="F208" s="26">
        <v>15.81</v>
      </c>
      <c r="G208" s="27">
        <v>6252</v>
      </c>
      <c r="H208" s="10">
        <v>2183944</v>
      </c>
      <c r="I208" s="30">
        <v>52753.81693536</v>
      </c>
      <c r="J208" s="31">
        <v>10645.56</v>
      </c>
      <c r="K208" s="24">
        <v>14947162.1</v>
      </c>
      <c r="L208" s="10">
        <v>5561</v>
      </c>
      <c r="M208" s="10">
        <v>20488.237</v>
      </c>
      <c r="N208" s="10">
        <v>1110.02</v>
      </c>
      <c r="O208" s="10">
        <v>6504.3745</v>
      </c>
      <c r="P208" s="19">
        <v>280325</v>
      </c>
      <c r="Q208" s="19">
        <v>309533</v>
      </c>
      <c r="R208" s="38">
        <v>83702.97</v>
      </c>
      <c r="S208" s="20">
        <v>29251.2</v>
      </c>
      <c r="T208" s="39">
        <v>22755.1</v>
      </c>
      <c r="U208" s="22">
        <v>17775</v>
      </c>
      <c r="V208" s="22">
        <v>42329</v>
      </c>
      <c r="W208" s="32">
        <v>69900.89</v>
      </c>
      <c r="X208" s="10">
        <v>70652.62</v>
      </c>
      <c r="Y208" s="10">
        <f t="shared" si="94"/>
        <v>0.747851474477215</v>
      </c>
      <c r="Z208" s="10">
        <f t="shared" si="86"/>
        <v>52200.4917230952</v>
      </c>
      <c r="AA208" s="10">
        <f t="shared" si="96"/>
        <v>0.618642390659014</v>
      </c>
      <c r="AB208" s="10">
        <f t="shared" si="100"/>
        <v>0.0216103700771819</v>
      </c>
      <c r="AC208" s="10">
        <f t="shared" si="91"/>
        <v>0.150914155697791</v>
      </c>
      <c r="AD208" s="10">
        <f t="shared" si="89"/>
        <v>0.0211894756912696</v>
      </c>
      <c r="AE208" s="10">
        <f t="shared" si="87"/>
        <v>8.62353322718756</v>
      </c>
      <c r="AF208" s="10">
        <f t="shared" si="93"/>
        <v>0.29044643857075</v>
      </c>
      <c r="AG208" s="10">
        <f t="shared" si="80"/>
        <v>0.0157359247524472</v>
      </c>
      <c r="AH208" s="10">
        <f t="shared" si="97"/>
        <v>0.0922076608473147</v>
      </c>
      <c r="AI208" s="10">
        <f t="shared" si="98"/>
        <v>639.21568627451</v>
      </c>
      <c r="AJ208" s="10">
        <f t="shared" si="90"/>
        <v>1.18659450953707</v>
      </c>
      <c r="AK208" s="10">
        <f t="shared" si="99"/>
        <v>25.1865249123384</v>
      </c>
      <c r="AL208" s="10">
        <f t="shared" si="88"/>
        <v>0.41467242222553</v>
      </c>
      <c r="AM208" s="10">
        <f t="shared" si="92"/>
        <v>0.322582062786626</v>
      </c>
      <c r="AN208" s="10">
        <f t="shared" si="95"/>
        <v>2.38137834036568</v>
      </c>
    </row>
    <row r="209" ht="16" spans="1:40">
      <c r="A209" s="14">
        <v>2020</v>
      </c>
      <c r="B209" s="15">
        <v>370000</v>
      </c>
      <c r="C209" s="16" t="s">
        <v>61</v>
      </c>
      <c r="D209" s="24">
        <v>72798.2</v>
      </c>
      <c r="E209" s="25">
        <v>10165</v>
      </c>
      <c r="F209" s="26">
        <v>15.81</v>
      </c>
      <c r="G209" s="27">
        <v>6409</v>
      </c>
      <c r="H209" s="10">
        <v>1241984</v>
      </c>
      <c r="I209" s="30">
        <v>54652.954345033</v>
      </c>
      <c r="J209" s="31">
        <v>11127.31</v>
      </c>
      <c r="K209" s="24">
        <v>16818915.3</v>
      </c>
      <c r="L209" s="10">
        <v>5510</v>
      </c>
      <c r="M209" s="10">
        <v>22086.832</v>
      </c>
      <c r="N209" s="10">
        <v>1903.89</v>
      </c>
      <c r="O209" s="10">
        <v>8192.5161</v>
      </c>
      <c r="P209" s="19">
        <v>286814</v>
      </c>
      <c r="Q209" s="19">
        <v>317024</v>
      </c>
      <c r="R209" s="38">
        <v>95411.56</v>
      </c>
      <c r="S209" s="20">
        <v>29248</v>
      </c>
      <c r="T209" s="39">
        <v>22986.5</v>
      </c>
      <c r="U209" s="22">
        <v>18753</v>
      </c>
      <c r="V209" s="22">
        <v>43726</v>
      </c>
      <c r="W209" s="32">
        <v>71825</v>
      </c>
      <c r="X209" s="10">
        <v>72151.35</v>
      </c>
      <c r="Y209" s="10">
        <f t="shared" si="94"/>
        <v>0.750745957249396</v>
      </c>
      <c r="Z209" s="10">
        <f t="shared" si="86"/>
        <v>53765.8183423837</v>
      </c>
      <c r="AA209" s="10">
        <f t="shared" si="96"/>
        <v>0.63049680275455</v>
      </c>
      <c r="AB209" s="10">
        <f t="shared" si="100"/>
        <v>0.0122182390555829</v>
      </c>
      <c r="AC209" s="10">
        <f t="shared" si="91"/>
        <v>0.152851444129113</v>
      </c>
      <c r="AD209" s="10">
        <f t="shared" si="89"/>
        <v>0.0231034768716809</v>
      </c>
      <c r="AE209" s="10">
        <f t="shared" si="87"/>
        <v>8.61431990214696</v>
      </c>
      <c r="AF209" s="10">
        <f t="shared" si="93"/>
        <v>0.303398051050713</v>
      </c>
      <c r="AG209" s="10">
        <f t="shared" si="80"/>
        <v>0.0261529818044952</v>
      </c>
      <c r="AH209" s="10">
        <f t="shared" si="97"/>
        <v>0.112537344329942</v>
      </c>
      <c r="AI209" s="10">
        <f t="shared" si="98"/>
        <v>642.947501581278</v>
      </c>
      <c r="AJ209" s="10">
        <f t="shared" si="90"/>
        <v>1.31063075735389</v>
      </c>
      <c r="AK209" s="10">
        <f t="shared" si="99"/>
        <v>25.2333219607939</v>
      </c>
      <c r="AL209" s="10">
        <f t="shared" si="88"/>
        <v>0.401768175586759</v>
      </c>
      <c r="AM209" s="10">
        <f t="shared" si="92"/>
        <v>0.315756433538192</v>
      </c>
      <c r="AN209" s="10">
        <f t="shared" si="95"/>
        <v>2.33168026449101</v>
      </c>
    </row>
    <row r="210" ht="16" spans="1:40">
      <c r="A210" s="14">
        <v>2021</v>
      </c>
      <c r="B210" s="15">
        <v>370000</v>
      </c>
      <c r="C210" s="16" t="s">
        <v>61</v>
      </c>
      <c r="D210" s="24">
        <v>82875.2</v>
      </c>
      <c r="E210" s="25">
        <v>10170</v>
      </c>
      <c r="F210" s="26">
        <v>15.81</v>
      </c>
      <c r="G210" s="27">
        <v>6503</v>
      </c>
      <c r="H210" s="10">
        <v>2429912</v>
      </c>
      <c r="I210" s="30">
        <v>57932.1316057349</v>
      </c>
      <c r="J210" s="31">
        <v>11588.13</v>
      </c>
      <c r="K210" s="24">
        <v>19446588.4</v>
      </c>
      <c r="L210" s="10">
        <v>5475</v>
      </c>
      <c r="M210" s="10">
        <v>29281.423</v>
      </c>
      <c r="N210" s="10">
        <v>2477.79</v>
      </c>
      <c r="O210" s="10">
        <v>1658.93</v>
      </c>
      <c r="P210" s="19">
        <v>288143</v>
      </c>
      <c r="Q210" s="19">
        <v>342728</v>
      </c>
      <c r="R210" s="38">
        <v>108436.77</v>
      </c>
      <c r="S210" s="20">
        <v>33714.5</v>
      </c>
      <c r="T210" s="39">
        <v>26894.1</v>
      </c>
      <c r="U210" s="22">
        <v>20794</v>
      </c>
      <c r="V210" s="22">
        <v>47066</v>
      </c>
      <c r="W210" s="32">
        <v>81510</v>
      </c>
      <c r="X210" s="10">
        <v>81727</v>
      </c>
      <c r="Y210" s="10">
        <f t="shared" si="94"/>
        <v>0.699028558672979</v>
      </c>
      <c r="Z210" s="10">
        <f t="shared" si="86"/>
        <v>56963.7478915781</v>
      </c>
      <c r="AA210" s="10">
        <f t="shared" si="96"/>
        <v>0.639429695181908</v>
      </c>
      <c r="AB210" s="10">
        <f t="shared" si="100"/>
        <v>0.0238929400196657</v>
      </c>
      <c r="AC210" s="10">
        <f t="shared" si="91"/>
        <v>0.139826268895882</v>
      </c>
      <c r="AD210" s="10">
        <f t="shared" si="89"/>
        <v>0.0234649067513563</v>
      </c>
      <c r="AE210" s="10">
        <f t="shared" si="87"/>
        <v>8.6079475546847</v>
      </c>
      <c r="AF210" s="10">
        <f t="shared" si="93"/>
        <v>0.353319485201846</v>
      </c>
      <c r="AG210" s="10">
        <f t="shared" si="80"/>
        <v>0.0298978464003707</v>
      </c>
      <c r="AH210" s="10">
        <f t="shared" si="97"/>
        <v>0.0200172065949765</v>
      </c>
      <c r="AI210" s="10">
        <f t="shared" si="98"/>
        <v>643.26375711575</v>
      </c>
      <c r="AJ210" s="10">
        <f t="shared" si="90"/>
        <v>1.3084344894492</v>
      </c>
      <c r="AK210" s="10">
        <f t="shared" si="99"/>
        <v>25.3159045723062</v>
      </c>
      <c r="AL210" s="10">
        <f t="shared" si="88"/>
        <v>0.406810481302006</v>
      </c>
      <c r="AM210" s="10">
        <f t="shared" si="92"/>
        <v>0.324513244010271</v>
      </c>
      <c r="AN210" s="10">
        <f t="shared" si="95"/>
        <v>2.26344137732038</v>
      </c>
    </row>
    <row r="211" ht="16" spans="1:40">
      <c r="A211" s="14">
        <v>2022</v>
      </c>
      <c r="B211" s="15">
        <v>370000</v>
      </c>
      <c r="C211" s="16" t="s">
        <v>61</v>
      </c>
      <c r="D211" s="24">
        <v>87576.9</v>
      </c>
      <c r="E211" s="25">
        <v>10163</v>
      </c>
      <c r="F211" s="26">
        <v>15.81</v>
      </c>
      <c r="G211" s="27">
        <v>6559</v>
      </c>
      <c r="H211" s="10">
        <v>2527073</v>
      </c>
      <c r="I211" s="30">
        <v>61465.9916336848</v>
      </c>
      <c r="J211" s="31">
        <v>11999.63</v>
      </c>
      <c r="K211" s="24">
        <v>21804089.2</v>
      </c>
      <c r="L211" s="10">
        <v>5338</v>
      </c>
      <c r="M211" s="10">
        <v>32477.646</v>
      </c>
      <c r="N211" s="10">
        <v>3231.83</v>
      </c>
      <c r="O211" s="10">
        <v>1768.0386</v>
      </c>
      <c r="P211" s="35">
        <v>291759</v>
      </c>
      <c r="Q211" s="35">
        <v>334165</v>
      </c>
      <c r="R211" s="38">
        <v>121533.28</v>
      </c>
      <c r="S211" s="20">
        <v>33236.2</v>
      </c>
      <c r="T211" s="39">
        <v>28297</v>
      </c>
      <c r="U211" s="22">
        <v>22110</v>
      </c>
      <c r="V211" s="22">
        <v>49050</v>
      </c>
      <c r="W211" s="32">
        <v>86143</v>
      </c>
      <c r="X211" s="10">
        <v>86003</v>
      </c>
      <c r="Y211" s="10">
        <f t="shared" si="94"/>
        <v>0.701851648479049</v>
      </c>
      <c r="Z211" s="10">
        <f t="shared" si="86"/>
        <v>60480.16494508</v>
      </c>
      <c r="AA211" s="10">
        <f t="shared" si="96"/>
        <v>0.645380301092197</v>
      </c>
      <c r="AB211" s="10">
        <f t="shared" si="100"/>
        <v>0.0248654235953951</v>
      </c>
      <c r="AC211" s="10">
        <f t="shared" si="91"/>
        <v>0.137018209139625</v>
      </c>
      <c r="AD211" s="10">
        <f t="shared" si="89"/>
        <v>0.0248970781107804</v>
      </c>
      <c r="AE211" s="10">
        <f t="shared" si="87"/>
        <v>8.58260632996447</v>
      </c>
      <c r="AF211" s="10">
        <f t="shared" si="93"/>
        <v>0.370847175453801</v>
      </c>
      <c r="AG211" s="10">
        <f t="shared" si="80"/>
        <v>0.0369027677389814</v>
      </c>
      <c r="AH211" s="10">
        <f t="shared" si="97"/>
        <v>0.020188412697869</v>
      </c>
      <c r="AI211" s="10">
        <f t="shared" si="98"/>
        <v>642.820999367489</v>
      </c>
      <c r="AJ211" s="10">
        <f t="shared" si="90"/>
        <v>1.38773215311344</v>
      </c>
      <c r="AK211" s="10">
        <f t="shared" si="99"/>
        <v>25.3030735599532</v>
      </c>
      <c r="AL211" s="10">
        <f t="shared" si="88"/>
        <v>0.379508751737045</v>
      </c>
      <c r="AM211" s="10">
        <f t="shared" si="92"/>
        <v>0.323110317903465</v>
      </c>
      <c r="AN211" s="10">
        <f t="shared" si="95"/>
        <v>2.21845318860244</v>
      </c>
    </row>
    <row r="212" ht="16" spans="1:40">
      <c r="A212" s="14">
        <v>2013</v>
      </c>
      <c r="B212" s="15">
        <v>140000</v>
      </c>
      <c r="C212" s="16" t="s">
        <v>62</v>
      </c>
      <c r="D212" s="24">
        <v>11987.2</v>
      </c>
      <c r="E212" s="25">
        <v>3535</v>
      </c>
      <c r="F212" s="26">
        <v>15.67</v>
      </c>
      <c r="G212" s="27">
        <v>1869</v>
      </c>
      <c r="H212" s="10">
        <v>676817</v>
      </c>
      <c r="I212" s="30">
        <v>11031.9</v>
      </c>
      <c r="J212" s="31">
        <v>3027.94</v>
      </c>
      <c r="K212" s="24">
        <v>1549798.9</v>
      </c>
      <c r="L212" s="10">
        <v>1855</v>
      </c>
      <c r="M212" s="10">
        <v>977.96691</v>
      </c>
      <c r="N212" s="10">
        <v>52.77</v>
      </c>
      <c r="O212" s="10">
        <v>392.2669</v>
      </c>
      <c r="P212" s="19">
        <v>139434</v>
      </c>
      <c r="Q212" s="19">
        <v>156045</v>
      </c>
      <c r="R212" s="38">
        <v>14887.53</v>
      </c>
      <c r="S212" s="20">
        <v>5139.3</v>
      </c>
      <c r="T212" s="39">
        <v>6113.9</v>
      </c>
      <c r="U212" s="22">
        <v>7949</v>
      </c>
      <c r="V212" s="22">
        <v>22258</v>
      </c>
      <c r="W212" s="32">
        <v>33847.89</v>
      </c>
      <c r="X212" s="10">
        <v>34983.8343</v>
      </c>
      <c r="Y212" s="10">
        <f t="shared" si="94"/>
        <v>0.9203066604378</v>
      </c>
      <c r="Z212" s="10">
        <f t="shared" si="86"/>
        <v>31207.6379066478</v>
      </c>
      <c r="AA212" s="10">
        <f t="shared" si="96"/>
        <v>0.528712871287129</v>
      </c>
      <c r="AB212" s="10">
        <f t="shared" si="100"/>
        <v>0.0191461669024045</v>
      </c>
      <c r="AC212" s="10">
        <f t="shared" si="91"/>
        <v>0.252597770955686</v>
      </c>
      <c r="AD212" s="10">
        <f t="shared" si="89"/>
        <v>0.0129287815336359</v>
      </c>
      <c r="AE212" s="10">
        <f t="shared" si="87"/>
        <v>7.52563997504154</v>
      </c>
      <c r="AF212" s="10">
        <f t="shared" si="93"/>
        <v>0.0815842657167645</v>
      </c>
      <c r="AG212" s="10">
        <f t="shared" si="80"/>
        <v>0.00440219567538708</v>
      </c>
      <c r="AH212" s="10">
        <f t="shared" si="97"/>
        <v>0.0327238137346503</v>
      </c>
      <c r="AI212" s="10">
        <f t="shared" si="98"/>
        <v>225.590299936184</v>
      </c>
      <c r="AJ212" s="10">
        <f t="shared" si="90"/>
        <v>1.24195224906567</v>
      </c>
      <c r="AK212" s="10">
        <f t="shared" si="99"/>
        <v>23.8032463561813</v>
      </c>
      <c r="AL212" s="10">
        <f t="shared" si="88"/>
        <v>0.428732314468767</v>
      </c>
      <c r="AM212" s="10">
        <f t="shared" si="92"/>
        <v>0.510035704751735</v>
      </c>
      <c r="AN212" s="10">
        <f t="shared" si="95"/>
        <v>2.80010064159014</v>
      </c>
    </row>
    <row r="213" ht="16" spans="1:40">
      <c r="A213" s="14">
        <v>2014</v>
      </c>
      <c r="B213" s="15">
        <v>140000</v>
      </c>
      <c r="C213" s="16" t="s">
        <v>62</v>
      </c>
      <c r="D213" s="24">
        <v>12094.7</v>
      </c>
      <c r="E213" s="25">
        <v>3528</v>
      </c>
      <c r="F213" s="26">
        <v>15.67</v>
      </c>
      <c r="G213" s="27">
        <v>1916</v>
      </c>
      <c r="H213" s="10">
        <v>713218</v>
      </c>
      <c r="I213" s="30">
        <v>12354.53</v>
      </c>
      <c r="J213" s="31">
        <v>3082.89</v>
      </c>
      <c r="K213" s="24">
        <v>1521871</v>
      </c>
      <c r="L213" s="10">
        <v>1842</v>
      </c>
      <c r="M213" s="10">
        <v>997.14924</v>
      </c>
      <c r="N213" s="10">
        <v>48.46</v>
      </c>
      <c r="O213" s="10">
        <v>431.127</v>
      </c>
      <c r="P213" s="19">
        <v>140436</v>
      </c>
      <c r="Q213" s="19">
        <v>164918</v>
      </c>
      <c r="R213" s="38">
        <v>16432.75</v>
      </c>
      <c r="S213" s="20">
        <v>5717.9</v>
      </c>
      <c r="T213" s="39">
        <v>5769.2</v>
      </c>
      <c r="U213" s="22">
        <v>8809</v>
      </c>
      <c r="V213" s="22">
        <v>24069</v>
      </c>
      <c r="W213" s="32">
        <v>34248.08</v>
      </c>
      <c r="X213" s="10">
        <v>35070</v>
      </c>
      <c r="Y213" s="10">
        <f t="shared" si="94"/>
        <v>1.02148296361216</v>
      </c>
      <c r="Z213" s="10">
        <f t="shared" si="86"/>
        <v>35018.5090702948</v>
      </c>
      <c r="AA213" s="10">
        <f t="shared" si="96"/>
        <v>0.543083900226757</v>
      </c>
      <c r="AB213" s="10">
        <f t="shared" si="100"/>
        <v>0.0202159297052154</v>
      </c>
      <c r="AC213" s="10">
        <f t="shared" si="91"/>
        <v>0.254895946158235</v>
      </c>
      <c r="AD213" s="10">
        <f t="shared" si="89"/>
        <v>0.0125829578245016</v>
      </c>
      <c r="AE213" s="10">
        <f t="shared" si="87"/>
        <v>7.51860721681525</v>
      </c>
      <c r="AF213" s="10">
        <f t="shared" si="93"/>
        <v>0.082445140433413</v>
      </c>
      <c r="AG213" s="10">
        <f t="shared" si="80"/>
        <v>0.00400671368450644</v>
      </c>
      <c r="AH213" s="10">
        <f t="shared" si="97"/>
        <v>0.0356459440912135</v>
      </c>
      <c r="AI213" s="10">
        <f t="shared" si="98"/>
        <v>225.143586470964</v>
      </c>
      <c r="AJ213" s="10">
        <f t="shared" si="90"/>
        <v>1.35867363390576</v>
      </c>
      <c r="AK213" s="10">
        <f t="shared" si="99"/>
        <v>23.8657108076181</v>
      </c>
      <c r="AL213" s="10">
        <f t="shared" si="88"/>
        <v>0.472760796051163</v>
      </c>
      <c r="AM213" s="10">
        <f t="shared" si="92"/>
        <v>0.477002323331707</v>
      </c>
      <c r="AN213" s="10">
        <f t="shared" si="95"/>
        <v>2.73231921898059</v>
      </c>
    </row>
    <row r="214" ht="16" spans="1:40">
      <c r="A214" s="14">
        <v>2015</v>
      </c>
      <c r="B214" s="15">
        <v>140000</v>
      </c>
      <c r="C214" s="16" t="s">
        <v>62</v>
      </c>
      <c r="D214" s="24">
        <v>11836.4</v>
      </c>
      <c r="E214" s="25">
        <v>3519</v>
      </c>
      <c r="F214" s="26">
        <v>15.67</v>
      </c>
      <c r="G214" s="27">
        <v>1966</v>
      </c>
      <c r="H214" s="10">
        <v>740245</v>
      </c>
      <c r="I214" s="30">
        <v>14074.15</v>
      </c>
      <c r="J214" s="31">
        <v>3419.82</v>
      </c>
      <c r="K214" s="24">
        <v>1325267.8</v>
      </c>
      <c r="L214" s="10">
        <v>1827</v>
      </c>
      <c r="M214" s="10">
        <v>914.41102</v>
      </c>
      <c r="N214" s="10">
        <v>51.2</v>
      </c>
      <c r="O214" s="10">
        <v>515.9308</v>
      </c>
      <c r="P214" s="19">
        <v>140960</v>
      </c>
      <c r="Q214" s="19">
        <v>161765</v>
      </c>
      <c r="R214" s="38">
        <v>18458.66</v>
      </c>
      <c r="S214" s="20">
        <v>5345.1</v>
      </c>
      <c r="T214" s="39">
        <v>4597.2</v>
      </c>
      <c r="U214" s="22">
        <v>9454</v>
      </c>
      <c r="V214" s="22">
        <v>25828</v>
      </c>
      <c r="W214" s="32">
        <v>33592.71</v>
      </c>
      <c r="X214" s="10">
        <v>34918.71</v>
      </c>
      <c r="Y214" s="10">
        <f t="shared" si="94"/>
        <v>1.18905663884289</v>
      </c>
      <c r="Z214" s="10">
        <f t="shared" si="86"/>
        <v>39994.7428246661</v>
      </c>
      <c r="AA214" s="10">
        <f t="shared" si="96"/>
        <v>0.55868144359193</v>
      </c>
      <c r="AB214" s="10">
        <f t="shared" si="100"/>
        <v>0.0210356635407786</v>
      </c>
      <c r="AC214" s="10">
        <f t="shared" si="91"/>
        <v>0.288923997161299</v>
      </c>
      <c r="AD214" s="10">
        <f t="shared" si="89"/>
        <v>0.0111965445574668</v>
      </c>
      <c r="AE214" s="10">
        <f t="shared" si="87"/>
        <v>7.51043055637801</v>
      </c>
      <c r="AF214" s="10">
        <f t="shared" ref="AF214:AF237" si="101">M214/D214</f>
        <v>0.0772541499104457</v>
      </c>
      <c r="AG214" s="10">
        <f t="shared" si="80"/>
        <v>0.00432563955256666</v>
      </c>
      <c r="AH214" s="10">
        <f t="shared" si="97"/>
        <v>0.0435884897435031</v>
      </c>
      <c r="AI214" s="10">
        <f t="shared" si="98"/>
        <v>224.569240587109</v>
      </c>
      <c r="AJ214" s="10">
        <f t="shared" si="90"/>
        <v>1.55948261295664</v>
      </c>
      <c r="AK214" s="10">
        <f t="shared" si="99"/>
        <v>23.8501313849367</v>
      </c>
      <c r="AL214" s="10">
        <f t="shared" ref="AL214:AL249" si="102">S214/D214</f>
        <v>0.451581561961407</v>
      </c>
      <c r="AM214" s="10">
        <f t="shared" si="92"/>
        <v>0.38839512013788</v>
      </c>
      <c r="AN214" s="10">
        <f t="shared" si="95"/>
        <v>2.73196530569071</v>
      </c>
    </row>
    <row r="215" ht="16" spans="1:40">
      <c r="A215" s="14">
        <v>2016</v>
      </c>
      <c r="B215" s="15">
        <v>140000</v>
      </c>
      <c r="C215" s="16" t="s">
        <v>62</v>
      </c>
      <c r="D215" s="24">
        <v>11946.4</v>
      </c>
      <c r="E215" s="25">
        <v>3514</v>
      </c>
      <c r="F215" s="26">
        <v>15.67</v>
      </c>
      <c r="G215" s="27">
        <v>2012</v>
      </c>
      <c r="H215" s="10">
        <v>756287</v>
      </c>
      <c r="I215" s="30">
        <v>14197.98</v>
      </c>
      <c r="J215" s="31">
        <v>3425.73</v>
      </c>
      <c r="K215" s="24">
        <v>1326237</v>
      </c>
      <c r="L215" s="10">
        <v>1832</v>
      </c>
      <c r="M215" s="10">
        <v>1106.7009</v>
      </c>
      <c r="N215" s="10">
        <v>42.56</v>
      </c>
      <c r="O215" s="10">
        <v>385.6044</v>
      </c>
      <c r="P215" s="19">
        <v>142066</v>
      </c>
      <c r="Q215" s="19">
        <v>167076</v>
      </c>
      <c r="R215" s="38">
        <v>20228.58</v>
      </c>
      <c r="S215" s="20">
        <v>5699.2</v>
      </c>
      <c r="T215" s="39">
        <v>4441.2</v>
      </c>
      <c r="U215" s="22">
        <v>10082</v>
      </c>
      <c r="V215" s="22">
        <v>27352</v>
      </c>
      <c r="W215" s="32">
        <v>33972.42</v>
      </c>
      <c r="X215" s="10">
        <v>35532</v>
      </c>
      <c r="Y215" s="10">
        <f t="shared" si="94"/>
        <v>1.18847351503382</v>
      </c>
      <c r="Z215" s="10">
        <f t="shared" ref="Z215:Z261" si="103">(I215/E215)*10000</f>
        <v>40404.0409789414</v>
      </c>
      <c r="AA215" s="10">
        <f t="shared" si="96"/>
        <v>0.57256687535572</v>
      </c>
      <c r="AB215" s="10">
        <f t="shared" si="100"/>
        <v>0.0215221115537849</v>
      </c>
      <c r="AC215" s="10">
        <f t="shared" si="91"/>
        <v>0.286758353981116</v>
      </c>
      <c r="AD215" s="10">
        <f t="shared" si="89"/>
        <v>0.0111015619768298</v>
      </c>
      <c r="AE215" s="10">
        <f t="shared" si="87"/>
        <v>7.51316354523408</v>
      </c>
      <c r="AF215" s="10">
        <f t="shared" si="101"/>
        <v>0.0926388619165606</v>
      </c>
      <c r="AG215" s="10">
        <f t="shared" si="80"/>
        <v>0.00356257952186433</v>
      </c>
      <c r="AH215" s="10">
        <f t="shared" si="97"/>
        <v>0.0322778745061274</v>
      </c>
      <c r="AI215" s="10">
        <f t="shared" si="98"/>
        <v>224.250159540523</v>
      </c>
      <c r="AJ215" s="10">
        <f t="shared" si="90"/>
        <v>1.6932783097837</v>
      </c>
      <c r="AK215" s="10">
        <f t="shared" si="99"/>
        <v>23.8902510950323</v>
      </c>
      <c r="AL215" s="10">
        <f t="shared" si="102"/>
        <v>0.477064220183486</v>
      </c>
      <c r="AM215" s="10">
        <f t="shared" si="92"/>
        <v>0.371760530368981</v>
      </c>
      <c r="AN215" s="10">
        <f t="shared" si="95"/>
        <v>2.7129537790121</v>
      </c>
    </row>
    <row r="216" ht="16" spans="1:40">
      <c r="A216" s="14">
        <v>2017</v>
      </c>
      <c r="B216" s="15">
        <v>140000</v>
      </c>
      <c r="C216" s="16" t="s">
        <v>62</v>
      </c>
      <c r="D216" s="24">
        <v>14484.3</v>
      </c>
      <c r="E216" s="25">
        <v>3510</v>
      </c>
      <c r="F216" s="26">
        <v>15.67</v>
      </c>
      <c r="G216" s="27">
        <v>2057</v>
      </c>
      <c r="H216" s="10">
        <v>762974</v>
      </c>
      <c r="I216" s="30">
        <v>6040.54</v>
      </c>
      <c r="J216" s="31">
        <v>3753.32</v>
      </c>
      <c r="K216" s="24">
        <v>1482347</v>
      </c>
      <c r="L216" s="10">
        <v>1812</v>
      </c>
      <c r="M216" s="10">
        <v>1160.4234</v>
      </c>
      <c r="N216" s="10">
        <v>94.15</v>
      </c>
      <c r="O216" s="10">
        <v>656.6335</v>
      </c>
      <c r="P216" s="19">
        <v>142855</v>
      </c>
      <c r="Q216" s="19">
        <v>189516</v>
      </c>
      <c r="R216" s="38">
        <v>22463.9</v>
      </c>
      <c r="S216" s="20">
        <v>6058.5</v>
      </c>
      <c r="T216" s="39">
        <v>5887.3</v>
      </c>
      <c r="U216" s="22">
        <v>10788</v>
      </c>
      <c r="V216" s="22">
        <v>29132</v>
      </c>
      <c r="W216" s="32">
        <v>41242.23</v>
      </c>
      <c r="X216" s="10">
        <v>42060</v>
      </c>
      <c r="Y216" s="10">
        <f t="shared" si="94"/>
        <v>0.417040519735162</v>
      </c>
      <c r="Z216" s="10">
        <f t="shared" si="103"/>
        <v>17209.5156695157</v>
      </c>
      <c r="AA216" s="10">
        <f t="shared" si="96"/>
        <v>0.586039886039886</v>
      </c>
      <c r="AB216" s="10">
        <f t="shared" si="100"/>
        <v>0.021737150997151</v>
      </c>
      <c r="AC216" s="10">
        <f t="shared" si="91"/>
        <v>0.259130230663546</v>
      </c>
      <c r="AD216" s="10">
        <f t="shared" si="89"/>
        <v>0.0102341638877958</v>
      </c>
      <c r="AE216" s="10">
        <f t="shared" si="87"/>
        <v>7.50218648660293</v>
      </c>
      <c r="AF216" s="10">
        <f t="shared" si="101"/>
        <v>0.0801159462314368</v>
      </c>
      <c r="AG216" s="10">
        <f t="shared" si="80"/>
        <v>0.00650014153255594</v>
      </c>
      <c r="AH216" s="10">
        <f t="shared" si="97"/>
        <v>0.0453341549125605</v>
      </c>
      <c r="AI216" s="10">
        <f t="shared" si="98"/>
        <v>223.994894703255</v>
      </c>
      <c r="AJ216" s="10">
        <f t="shared" si="90"/>
        <v>1.5509137479892</v>
      </c>
      <c r="AK216" s="10">
        <f t="shared" si="99"/>
        <v>24.0218141414545</v>
      </c>
      <c r="AL216" s="10">
        <f t="shared" si="102"/>
        <v>0.418280483005737</v>
      </c>
      <c r="AM216" s="10">
        <f t="shared" si="92"/>
        <v>0.406460788577978</v>
      </c>
      <c r="AN216" s="10">
        <f t="shared" si="95"/>
        <v>2.70040786058584</v>
      </c>
    </row>
    <row r="217" ht="16" spans="1:40">
      <c r="A217" s="14">
        <v>2018</v>
      </c>
      <c r="B217" s="15">
        <v>140000</v>
      </c>
      <c r="C217" s="16" t="s">
        <v>62</v>
      </c>
      <c r="D217" s="24">
        <v>15958.1</v>
      </c>
      <c r="E217" s="25">
        <v>3502</v>
      </c>
      <c r="F217" s="26">
        <v>15.67</v>
      </c>
      <c r="G217" s="27">
        <v>2096</v>
      </c>
      <c r="H217" s="10">
        <v>765580</v>
      </c>
      <c r="I217" s="30">
        <v>6384.85078</v>
      </c>
      <c r="J217" s="31">
        <v>4280.68</v>
      </c>
      <c r="K217" s="24">
        <v>1757822</v>
      </c>
      <c r="L217" s="10">
        <v>1789</v>
      </c>
      <c r="M217" s="10">
        <v>1373.9292</v>
      </c>
      <c r="N217" s="10">
        <v>150.76</v>
      </c>
      <c r="O217" s="10">
        <v>1466.9944</v>
      </c>
      <c r="P217" s="19">
        <v>143326</v>
      </c>
      <c r="Q217" s="19">
        <v>211497</v>
      </c>
      <c r="R217" s="38">
        <v>25057.04</v>
      </c>
      <c r="S217" s="20">
        <v>6523.3</v>
      </c>
      <c r="T217" s="39">
        <v>6260.2</v>
      </c>
      <c r="U217" s="22">
        <v>11750</v>
      </c>
      <c r="V217" s="22">
        <v>31035</v>
      </c>
      <c r="W217" s="32">
        <v>45516.63</v>
      </c>
      <c r="X217" s="10">
        <v>45328</v>
      </c>
      <c r="Y217" s="10">
        <f t="shared" si="94"/>
        <v>0.400100938081601</v>
      </c>
      <c r="Z217" s="10">
        <f t="shared" si="103"/>
        <v>18232.0125071388</v>
      </c>
      <c r="AA217" s="10">
        <f t="shared" si="96"/>
        <v>0.598515134209023</v>
      </c>
      <c r="AB217" s="10">
        <f t="shared" si="100"/>
        <v>0.0218612221587664</v>
      </c>
      <c r="AC217" s="10">
        <f t="shared" si="91"/>
        <v>0.268244966506038</v>
      </c>
      <c r="AD217" s="10">
        <f t="shared" si="89"/>
        <v>0.0110152336431029</v>
      </c>
      <c r="AE217" s="10">
        <f t="shared" si="87"/>
        <v>7.48941208350872</v>
      </c>
      <c r="AF217" s="10">
        <f t="shared" si="101"/>
        <v>0.0860960390021368</v>
      </c>
      <c r="AG217" s="10">
        <f t="shared" si="80"/>
        <v>0.00944723995964432</v>
      </c>
      <c r="AH217" s="10">
        <f t="shared" si="97"/>
        <v>0.0919278861518602</v>
      </c>
      <c r="AI217" s="10">
        <f t="shared" si="98"/>
        <v>223.484365028717</v>
      </c>
      <c r="AJ217" s="10">
        <f t="shared" ref="AJ217:AJ236" si="104">R217/D217</f>
        <v>1.57017690075886</v>
      </c>
      <c r="AK217" s="10">
        <f t="shared" si="99"/>
        <v>24.1348431278728</v>
      </c>
      <c r="AL217" s="10">
        <f t="shared" si="102"/>
        <v>0.408776734072352</v>
      </c>
      <c r="AM217" s="10">
        <f t="shared" si="92"/>
        <v>0.392289808937154</v>
      </c>
      <c r="AN217" s="10">
        <f t="shared" si="95"/>
        <v>2.64127659574468</v>
      </c>
    </row>
    <row r="218" ht="16" spans="1:40">
      <c r="A218" s="14">
        <v>2019</v>
      </c>
      <c r="B218" s="15">
        <v>140000</v>
      </c>
      <c r="C218" s="16" t="s">
        <v>62</v>
      </c>
      <c r="D218" s="24">
        <v>16961.6</v>
      </c>
      <c r="E218" s="25">
        <v>3497</v>
      </c>
      <c r="F218" s="26">
        <v>15.67</v>
      </c>
      <c r="G218" s="27">
        <v>2143</v>
      </c>
      <c r="H218" s="10">
        <v>802005</v>
      </c>
      <c r="I218" s="30">
        <v>6978.64190254</v>
      </c>
      <c r="J218" s="31">
        <v>4669.24</v>
      </c>
      <c r="K218" s="24">
        <v>1912214.7</v>
      </c>
      <c r="L218" s="10">
        <v>1762</v>
      </c>
      <c r="M218" s="10">
        <v>1447.4174</v>
      </c>
      <c r="N218" s="10">
        <v>109.52</v>
      </c>
      <c r="O218" s="10">
        <v>2491.5421</v>
      </c>
      <c r="P218" s="19">
        <v>144283</v>
      </c>
      <c r="Q218" s="19">
        <v>192192</v>
      </c>
      <c r="R218" s="38">
        <v>27746.18</v>
      </c>
      <c r="S218" s="20">
        <v>7030.5</v>
      </c>
      <c r="T218" s="39">
        <v>6582.7</v>
      </c>
      <c r="U218" s="22">
        <v>12902</v>
      </c>
      <c r="V218" s="22">
        <v>33262</v>
      </c>
      <c r="W218" s="32">
        <v>48468.67</v>
      </c>
      <c r="X218" s="10">
        <v>45724</v>
      </c>
      <c r="Y218" s="10">
        <f t="shared" si="94"/>
        <v>0.411437712393878</v>
      </c>
      <c r="Z218" s="10">
        <f t="shared" si="103"/>
        <v>19956.0820776094</v>
      </c>
      <c r="AA218" s="10">
        <f t="shared" si="96"/>
        <v>0.612810980840721</v>
      </c>
      <c r="AB218" s="10">
        <f t="shared" si="100"/>
        <v>0.0229340863597369</v>
      </c>
      <c r="AC218" s="10">
        <f t="shared" si="91"/>
        <v>0.27528299217055</v>
      </c>
      <c r="AD218" s="10">
        <f t="shared" si="89"/>
        <v>0.0112737872606358</v>
      </c>
      <c r="AE218" s="10">
        <f t="shared" si="87"/>
        <v>7.47420480649612</v>
      </c>
      <c r="AF218" s="10">
        <f t="shared" si="101"/>
        <v>0.0853349566078672</v>
      </c>
      <c r="AG218" s="10">
        <f t="shared" si="80"/>
        <v>0.00645693802471465</v>
      </c>
      <c r="AH218" s="10">
        <f t="shared" si="97"/>
        <v>0.146893105603245</v>
      </c>
      <c r="AI218" s="10">
        <f t="shared" si="98"/>
        <v>223.165283982131</v>
      </c>
      <c r="AJ218" s="10">
        <f t="shared" si="104"/>
        <v>1.63582327138949</v>
      </c>
      <c r="AK218" s="10">
        <f t="shared" si="99"/>
        <v>24.045782079047</v>
      </c>
      <c r="AL218" s="10">
        <f t="shared" si="102"/>
        <v>0.414495094802377</v>
      </c>
      <c r="AM218" s="10">
        <f t="shared" si="92"/>
        <v>0.388094283558155</v>
      </c>
      <c r="AN218" s="10">
        <f t="shared" si="95"/>
        <v>2.5780499147419</v>
      </c>
    </row>
    <row r="219" ht="16" spans="1:40">
      <c r="A219" s="14">
        <v>2020</v>
      </c>
      <c r="B219" s="15">
        <v>140000</v>
      </c>
      <c r="C219" s="16" t="s">
        <v>62</v>
      </c>
      <c r="D219" s="24">
        <v>17835.6</v>
      </c>
      <c r="E219" s="25">
        <v>3490</v>
      </c>
      <c r="F219" s="26">
        <v>15.67</v>
      </c>
      <c r="G219" s="27">
        <v>2182</v>
      </c>
      <c r="H219" s="10">
        <v>1604798</v>
      </c>
      <c r="I219" s="30">
        <v>7718.37794420924</v>
      </c>
      <c r="J219" s="31">
        <v>5058.54</v>
      </c>
      <c r="K219" s="24">
        <v>2110548.9</v>
      </c>
      <c r="L219" s="10">
        <v>1738</v>
      </c>
      <c r="M219" s="10">
        <v>1506.5748</v>
      </c>
      <c r="N219" s="10">
        <v>44.98</v>
      </c>
      <c r="O219" s="10">
        <v>3242.4208</v>
      </c>
      <c r="P219" s="19">
        <v>144323</v>
      </c>
      <c r="Q219" s="19">
        <v>190232</v>
      </c>
      <c r="R219" s="38">
        <v>30373.45</v>
      </c>
      <c r="S219" s="20">
        <v>6746.3</v>
      </c>
      <c r="T219" s="39">
        <v>6768.5</v>
      </c>
      <c r="U219" s="22">
        <v>13878</v>
      </c>
      <c r="V219" s="22">
        <v>34793</v>
      </c>
      <c r="W219" s="32">
        <v>51051</v>
      </c>
      <c r="X219" s="10">
        <v>50527.92</v>
      </c>
      <c r="Y219" s="10">
        <f t="shared" si="94"/>
        <v>0.432751235966788</v>
      </c>
      <c r="Z219" s="10">
        <f t="shared" si="103"/>
        <v>22115.6961152127</v>
      </c>
      <c r="AA219" s="10">
        <f t="shared" si="96"/>
        <v>0.625214899713467</v>
      </c>
      <c r="AB219" s="10">
        <f t="shared" si="100"/>
        <v>0.0459827507163324</v>
      </c>
      <c r="AC219" s="10">
        <f t="shared" si="91"/>
        <v>0.283620399650138</v>
      </c>
      <c r="AD219" s="10">
        <f t="shared" si="89"/>
        <v>0.0118333495929489</v>
      </c>
      <c r="AE219" s="10">
        <f t="shared" ref="AE219:AE266" si="105">LN(L219)</f>
        <v>7.46049030582534</v>
      </c>
      <c r="AF219" s="10">
        <f t="shared" si="101"/>
        <v>0.0844700935208235</v>
      </c>
      <c r="AG219" s="10">
        <f t="shared" si="80"/>
        <v>0.00252192244724035</v>
      </c>
      <c r="AH219" s="10">
        <f t="shared" si="97"/>
        <v>0.181794882145821</v>
      </c>
      <c r="AI219" s="10">
        <f t="shared" si="98"/>
        <v>222.718570516911</v>
      </c>
      <c r="AJ219" s="10">
        <f t="shared" si="104"/>
        <v>1.70296766018525</v>
      </c>
      <c r="AK219" s="10">
        <f t="shared" si="99"/>
        <v>24.0358087811158</v>
      </c>
      <c r="AL219" s="10">
        <f t="shared" si="102"/>
        <v>0.378249119738052</v>
      </c>
      <c r="AM219" s="10">
        <f t="shared" si="92"/>
        <v>0.379493821346072</v>
      </c>
      <c r="AN219" s="10">
        <f t="shared" si="95"/>
        <v>2.50706153624442</v>
      </c>
    </row>
    <row r="220" ht="16" spans="1:40">
      <c r="A220" s="14">
        <v>2021</v>
      </c>
      <c r="B220" s="15">
        <v>140000</v>
      </c>
      <c r="C220" s="16" t="s">
        <v>62</v>
      </c>
      <c r="D220" s="24">
        <v>22870.4</v>
      </c>
      <c r="E220" s="25">
        <v>3480</v>
      </c>
      <c r="F220" s="26">
        <v>15.67</v>
      </c>
      <c r="G220" s="27">
        <v>2207</v>
      </c>
      <c r="H220" s="10">
        <v>890774</v>
      </c>
      <c r="I220" s="30">
        <v>8389.87682535544</v>
      </c>
      <c r="J220" s="31">
        <v>4987.2</v>
      </c>
      <c r="K220" s="24">
        <v>2518889.3</v>
      </c>
      <c r="L220" s="10">
        <v>1715</v>
      </c>
      <c r="M220" s="10">
        <v>2227.7029</v>
      </c>
      <c r="N220" s="10">
        <v>134.474</v>
      </c>
      <c r="O220" s="10">
        <v>505.42</v>
      </c>
      <c r="P220" s="19">
        <v>144617</v>
      </c>
      <c r="Q220" s="19">
        <v>217623</v>
      </c>
      <c r="R220" s="38">
        <v>33917.47</v>
      </c>
      <c r="S220" s="20">
        <v>7747.3</v>
      </c>
      <c r="T220" s="39">
        <v>10543.6</v>
      </c>
      <c r="U220" s="22">
        <v>15308</v>
      </c>
      <c r="V220" s="22">
        <v>37433</v>
      </c>
      <c r="W220" s="32">
        <v>65625</v>
      </c>
      <c r="X220" s="10">
        <v>64821</v>
      </c>
      <c r="Y220" s="10">
        <f t="shared" si="94"/>
        <v>0.366844341391294</v>
      </c>
      <c r="Z220" s="10">
        <f t="shared" si="103"/>
        <v>24108.8414521708</v>
      </c>
      <c r="AA220" s="10">
        <f t="shared" si="96"/>
        <v>0.634195402298851</v>
      </c>
      <c r="AB220" s="10">
        <f t="shared" si="100"/>
        <v>0.0255969540229885</v>
      </c>
      <c r="AC220" s="10">
        <f t="shared" si="91"/>
        <v>0.218063523156569</v>
      </c>
      <c r="AD220" s="10">
        <f t="shared" si="89"/>
        <v>0.0110137527109277</v>
      </c>
      <c r="AE220" s="10">
        <f t="shared" si="105"/>
        <v>7.44716835960004</v>
      </c>
      <c r="AF220" s="10">
        <f t="shared" si="101"/>
        <v>0.097405506681125</v>
      </c>
      <c r="AG220" s="10">
        <f t="shared" si="80"/>
        <v>0.00587982720022387</v>
      </c>
      <c r="AH220" s="10">
        <f t="shared" si="97"/>
        <v>0.022099307401707</v>
      </c>
      <c r="AI220" s="10">
        <f t="shared" si="98"/>
        <v>222.08040842374</v>
      </c>
      <c r="AJ220" s="10">
        <f t="shared" si="104"/>
        <v>1.48302915558976</v>
      </c>
      <c r="AK220" s="10">
        <f t="shared" si="99"/>
        <v>24.1723636344026</v>
      </c>
      <c r="AL220" s="10">
        <f t="shared" si="102"/>
        <v>0.338747901217294</v>
      </c>
      <c r="AM220" s="10">
        <f t="shared" ref="AM220:AM251" si="106">T220/D220</f>
        <v>0.461015111235483</v>
      </c>
      <c r="AN220" s="10">
        <f t="shared" si="95"/>
        <v>2.44532270708126</v>
      </c>
    </row>
    <row r="221" ht="16" spans="1:40">
      <c r="A221" s="14">
        <v>2022</v>
      </c>
      <c r="B221" s="15">
        <v>140000</v>
      </c>
      <c r="C221" s="16" t="s">
        <v>62</v>
      </c>
      <c r="D221" s="24">
        <v>25583.9</v>
      </c>
      <c r="E221" s="25">
        <v>3481</v>
      </c>
      <c r="F221" s="26">
        <v>15.67</v>
      </c>
      <c r="G221" s="27">
        <v>2226</v>
      </c>
      <c r="H221" s="10">
        <v>945710</v>
      </c>
      <c r="I221" s="30">
        <v>8884.87955805141</v>
      </c>
      <c r="J221" s="31">
        <v>5788.35</v>
      </c>
      <c r="K221" s="24">
        <v>2737191.5</v>
      </c>
      <c r="L221" s="10">
        <v>1672</v>
      </c>
      <c r="M221" s="10">
        <v>1850.3501</v>
      </c>
      <c r="N221" s="10">
        <v>161.43</v>
      </c>
      <c r="O221" s="10">
        <v>484.9713</v>
      </c>
      <c r="P221" s="35">
        <v>145469</v>
      </c>
      <c r="Q221" s="35">
        <v>211540</v>
      </c>
      <c r="R221" s="38">
        <v>37406.25</v>
      </c>
      <c r="S221" s="20">
        <v>7562.7</v>
      </c>
      <c r="T221" s="39">
        <v>12759.9</v>
      </c>
      <c r="U221" s="22">
        <v>16323</v>
      </c>
      <c r="V221" s="22">
        <v>39532</v>
      </c>
      <c r="W221" s="32">
        <v>73506</v>
      </c>
      <c r="X221" s="10">
        <v>73675</v>
      </c>
      <c r="Y221" s="10">
        <f t="shared" si="94"/>
        <v>0.34728401682509</v>
      </c>
      <c r="Z221" s="10">
        <f t="shared" si="103"/>
        <v>25523.9286355973</v>
      </c>
      <c r="AA221" s="10">
        <f t="shared" si="96"/>
        <v>0.639471416259696</v>
      </c>
      <c r="AB221" s="10">
        <f t="shared" si="100"/>
        <v>0.0271677678827923</v>
      </c>
      <c r="AC221" s="10">
        <f t="shared" si="91"/>
        <v>0.226249711732769</v>
      </c>
      <c r="AD221" s="10">
        <f t="shared" si="89"/>
        <v>0.0106988828911933</v>
      </c>
      <c r="AE221" s="10">
        <f t="shared" si="105"/>
        <v>7.42177579364465</v>
      </c>
      <c r="AF221" s="10">
        <f t="shared" si="101"/>
        <v>0.0723247862913786</v>
      </c>
      <c r="AG221" s="10">
        <f t="shared" si="80"/>
        <v>0.00630982766505498</v>
      </c>
      <c r="AH221" s="10">
        <f t="shared" si="97"/>
        <v>0.0189561130242066</v>
      </c>
      <c r="AI221" s="10">
        <f t="shared" si="98"/>
        <v>222.144224633057</v>
      </c>
      <c r="AJ221" s="10">
        <f t="shared" si="104"/>
        <v>1.46210116518592</v>
      </c>
      <c r="AK221" s="10">
        <f t="shared" si="99"/>
        <v>24.1498876693563</v>
      </c>
      <c r="AL221" s="10">
        <f t="shared" si="102"/>
        <v>0.295603875875062</v>
      </c>
      <c r="AM221" s="10">
        <f t="shared" si="106"/>
        <v>0.498747259018367</v>
      </c>
      <c r="AN221" s="10">
        <f t="shared" si="95"/>
        <v>2.4218587269497</v>
      </c>
    </row>
    <row r="222" ht="16" spans="1:40">
      <c r="A222" s="14">
        <v>2013</v>
      </c>
      <c r="B222" s="15">
        <v>610000</v>
      </c>
      <c r="C222" s="16" t="s">
        <v>63</v>
      </c>
      <c r="D222" s="24">
        <v>15905.4</v>
      </c>
      <c r="E222" s="25">
        <v>3804</v>
      </c>
      <c r="F222" s="26">
        <v>20.56</v>
      </c>
      <c r="G222" s="27">
        <v>1962</v>
      </c>
      <c r="H222" s="10">
        <v>1077627</v>
      </c>
      <c r="I222" s="30">
        <v>14884.1</v>
      </c>
      <c r="J222" s="31">
        <v>3665.01</v>
      </c>
      <c r="K222" s="24">
        <v>3427454</v>
      </c>
      <c r="L222" s="10">
        <v>2090</v>
      </c>
      <c r="M222" s="10">
        <v>1246.5711</v>
      </c>
      <c r="N222" s="10">
        <v>533.28</v>
      </c>
      <c r="O222" s="10">
        <v>477.8357</v>
      </c>
      <c r="P222" s="19">
        <v>165249</v>
      </c>
      <c r="Q222" s="19">
        <v>141579</v>
      </c>
      <c r="R222" s="38">
        <v>16219.84</v>
      </c>
      <c r="S222" s="20">
        <v>5245</v>
      </c>
      <c r="T222" s="39">
        <v>7156.9</v>
      </c>
      <c r="U222" s="22">
        <v>7092</v>
      </c>
      <c r="V222" s="22">
        <v>22346</v>
      </c>
      <c r="W222" s="32">
        <v>41905.81</v>
      </c>
      <c r="X222" s="10">
        <v>43117</v>
      </c>
      <c r="Y222" s="10">
        <f t="shared" si="94"/>
        <v>0.935789103071913</v>
      </c>
      <c r="Z222" s="10">
        <f t="shared" si="103"/>
        <v>39127.4973711882</v>
      </c>
      <c r="AA222" s="10">
        <f t="shared" si="96"/>
        <v>0.515772870662461</v>
      </c>
      <c r="AB222" s="10">
        <f t="shared" si="100"/>
        <v>0.028328785488959</v>
      </c>
      <c r="AC222" s="10">
        <f t="shared" si="91"/>
        <v>0.230425515862537</v>
      </c>
      <c r="AD222" s="10">
        <f t="shared" si="89"/>
        <v>0.0215489959384863</v>
      </c>
      <c r="AE222" s="10">
        <f t="shared" si="105"/>
        <v>7.64491934495886</v>
      </c>
      <c r="AF222" s="10">
        <f t="shared" si="101"/>
        <v>0.0783740805009619</v>
      </c>
      <c r="AG222" s="10">
        <f t="shared" ref="AG222:AG285" si="107">N222/D222</f>
        <v>0.033528235693538</v>
      </c>
      <c r="AH222" s="10">
        <f t="shared" si="97"/>
        <v>0.0300423566838935</v>
      </c>
      <c r="AI222" s="10">
        <f t="shared" si="98"/>
        <v>185.019455252918</v>
      </c>
      <c r="AJ222" s="10">
        <f t="shared" si="104"/>
        <v>1.01976938649767</v>
      </c>
      <c r="AK222" s="10">
        <f t="shared" si="99"/>
        <v>23.8758218504171</v>
      </c>
      <c r="AL222" s="10">
        <f t="shared" si="102"/>
        <v>0.32976221912055</v>
      </c>
      <c r="AM222" s="10">
        <f t="shared" si="106"/>
        <v>0.449966677983578</v>
      </c>
      <c r="AN222" s="10">
        <f t="shared" si="95"/>
        <v>3.15087422447829</v>
      </c>
    </row>
    <row r="223" ht="16" spans="1:40">
      <c r="A223" s="14">
        <v>2014</v>
      </c>
      <c r="B223" s="15">
        <v>610000</v>
      </c>
      <c r="C223" s="16" t="s">
        <v>63</v>
      </c>
      <c r="D223" s="24">
        <v>17402.5</v>
      </c>
      <c r="E223" s="25">
        <v>3827</v>
      </c>
      <c r="F223" s="26">
        <v>20.56</v>
      </c>
      <c r="G223" s="27">
        <v>2029</v>
      </c>
      <c r="H223" s="10">
        <v>1099613</v>
      </c>
      <c r="I223" s="30">
        <v>17191.92</v>
      </c>
      <c r="J223" s="31">
        <v>3962.42</v>
      </c>
      <c r="K223" s="24">
        <v>3667730</v>
      </c>
      <c r="L223" s="10">
        <v>2101</v>
      </c>
      <c r="M223" s="10">
        <v>1680.9456</v>
      </c>
      <c r="N223" s="10">
        <v>640.02</v>
      </c>
      <c r="O223" s="10">
        <v>566.6044</v>
      </c>
      <c r="P223" s="19">
        <v>167145</v>
      </c>
      <c r="Q223" s="19">
        <v>157012</v>
      </c>
      <c r="R223" s="38">
        <v>18837.2</v>
      </c>
      <c r="S223" s="20">
        <v>5918.7</v>
      </c>
      <c r="T223" s="39">
        <v>7632.4</v>
      </c>
      <c r="U223" s="22">
        <v>7932</v>
      </c>
      <c r="V223" s="22">
        <v>24366</v>
      </c>
      <c r="W223" s="32">
        <v>45610.01</v>
      </c>
      <c r="X223" s="10">
        <v>46929</v>
      </c>
      <c r="Y223" s="10">
        <f t="shared" si="94"/>
        <v>0.98789943973567</v>
      </c>
      <c r="Z223" s="10">
        <f t="shared" si="103"/>
        <v>44922.7070812647</v>
      </c>
      <c r="AA223" s="10">
        <f t="shared" si="96"/>
        <v>0.53018029788346</v>
      </c>
      <c r="AB223" s="10">
        <f t="shared" si="100"/>
        <v>0.0287330284818396</v>
      </c>
      <c r="AC223" s="10">
        <f t="shared" si="91"/>
        <v>0.227692572906192</v>
      </c>
      <c r="AD223" s="10">
        <f t="shared" si="89"/>
        <v>0.0210758799023129</v>
      </c>
      <c r="AE223" s="10">
        <f t="shared" si="105"/>
        <v>7.650168700845</v>
      </c>
      <c r="AF223" s="10">
        <f t="shared" si="101"/>
        <v>0.0965921907771872</v>
      </c>
      <c r="AG223" s="10">
        <f t="shared" si="107"/>
        <v>0.0367774745007901</v>
      </c>
      <c r="AH223" s="10">
        <f t="shared" si="97"/>
        <v>0.032558793276828</v>
      </c>
      <c r="AI223" s="10">
        <f t="shared" si="98"/>
        <v>186.13813229572</v>
      </c>
      <c r="AJ223" s="10">
        <f t="shared" si="104"/>
        <v>1.08244217784801</v>
      </c>
      <c r="AK223" s="10">
        <f t="shared" si="99"/>
        <v>23.9906944926799</v>
      </c>
      <c r="AL223" s="10">
        <f t="shared" si="102"/>
        <v>0.340106306565149</v>
      </c>
      <c r="AM223" s="10">
        <f t="shared" si="106"/>
        <v>0.438580663697745</v>
      </c>
      <c r="AN223" s="10">
        <f t="shared" si="95"/>
        <v>3.07186081694402</v>
      </c>
    </row>
    <row r="224" ht="16" spans="1:40">
      <c r="A224" s="14">
        <v>2015</v>
      </c>
      <c r="B224" s="15">
        <v>610000</v>
      </c>
      <c r="C224" s="16" t="s">
        <v>63</v>
      </c>
      <c r="D224" s="24">
        <v>17898.8</v>
      </c>
      <c r="E224" s="25">
        <v>3846</v>
      </c>
      <c r="F224" s="26">
        <v>20.56</v>
      </c>
      <c r="G224" s="27">
        <v>2105</v>
      </c>
      <c r="H224" s="10">
        <v>1099693</v>
      </c>
      <c r="I224" s="30">
        <v>18582.24</v>
      </c>
      <c r="J224" s="31">
        <v>4374.71</v>
      </c>
      <c r="K224" s="24">
        <v>3931727</v>
      </c>
      <c r="L224" s="10">
        <v>2107</v>
      </c>
      <c r="M224" s="10">
        <v>1899.5688</v>
      </c>
      <c r="N224" s="10">
        <v>721.82</v>
      </c>
      <c r="O224" s="10">
        <v>760.9652</v>
      </c>
      <c r="P224" s="19">
        <v>170069</v>
      </c>
      <c r="Q224" s="19">
        <v>140900</v>
      </c>
      <c r="R224" s="38">
        <v>21760.61</v>
      </c>
      <c r="S224" s="20">
        <v>6859.1</v>
      </c>
      <c r="T224" s="39">
        <v>7103.3</v>
      </c>
      <c r="U224" s="22">
        <v>8689</v>
      </c>
      <c r="V224" s="22">
        <v>26420</v>
      </c>
      <c r="W224" s="32">
        <v>46653.98</v>
      </c>
      <c r="X224" s="10">
        <v>47626</v>
      </c>
      <c r="Y224" s="10">
        <f t="shared" si="94"/>
        <v>1.03818356537868</v>
      </c>
      <c r="Z224" s="10">
        <f t="shared" si="103"/>
        <v>48315.7566302652</v>
      </c>
      <c r="AA224" s="10">
        <f t="shared" si="96"/>
        <v>0.547321892875715</v>
      </c>
      <c r="AB224" s="10">
        <f t="shared" si="100"/>
        <v>0.0285931617264691</v>
      </c>
      <c r="AC224" s="10">
        <f t="shared" ref="AC224:AC258" si="108">J224/D224</f>
        <v>0.244413591972646</v>
      </c>
      <c r="AD224" s="10">
        <f t="shared" si="89"/>
        <v>0.0219664279169553</v>
      </c>
      <c r="AE224" s="10">
        <f t="shared" si="105"/>
        <v>7.65302041380419</v>
      </c>
      <c r="AF224" s="10">
        <f t="shared" si="101"/>
        <v>0.106128276755984</v>
      </c>
      <c r="AG224" s="10">
        <f t="shared" si="107"/>
        <v>0.0403278432073659</v>
      </c>
      <c r="AH224" s="10">
        <f t="shared" si="97"/>
        <v>0.0425148725054194</v>
      </c>
      <c r="AI224" s="10">
        <f t="shared" si="98"/>
        <v>187.062256809339</v>
      </c>
      <c r="AJ224" s="10">
        <f t="shared" si="104"/>
        <v>1.21575803964512</v>
      </c>
      <c r="AK224" s="10">
        <f t="shared" si="99"/>
        <v>23.8997652139242</v>
      </c>
      <c r="AL224" s="10">
        <f t="shared" si="102"/>
        <v>0.383215634567681</v>
      </c>
      <c r="AM224" s="10">
        <f t="shared" si="106"/>
        <v>0.396859007307752</v>
      </c>
      <c r="AN224" s="10">
        <f t="shared" ref="AN224:AN244" si="109">V224/U224</f>
        <v>3.0406260789504</v>
      </c>
    </row>
    <row r="225" ht="16" spans="1:40">
      <c r="A225" s="14">
        <v>2016</v>
      </c>
      <c r="B225" s="15">
        <v>610000</v>
      </c>
      <c r="C225" s="16" t="s">
        <v>63</v>
      </c>
      <c r="D225" s="24">
        <v>19045.8</v>
      </c>
      <c r="E225" s="25">
        <v>3874</v>
      </c>
      <c r="F225" s="26">
        <v>20.56</v>
      </c>
      <c r="G225" s="27">
        <v>2185</v>
      </c>
      <c r="H225" s="10">
        <v>1076254</v>
      </c>
      <c r="I225" s="30">
        <v>20825.25</v>
      </c>
      <c r="J225" s="31">
        <v>4387.25</v>
      </c>
      <c r="K225" s="24">
        <v>4195553.7</v>
      </c>
      <c r="L225" s="10">
        <v>2111</v>
      </c>
      <c r="M225" s="10">
        <v>1989.1844</v>
      </c>
      <c r="N225" s="10">
        <v>802.79</v>
      </c>
      <c r="O225" s="10">
        <v>557.0207</v>
      </c>
      <c r="P225" s="19">
        <v>172471</v>
      </c>
      <c r="Q225" s="19">
        <v>149046</v>
      </c>
      <c r="R225" s="38">
        <v>23921.75</v>
      </c>
      <c r="S225" s="20">
        <v>7680.7</v>
      </c>
      <c r="T225" s="39">
        <v>7226.9</v>
      </c>
      <c r="U225" s="22">
        <v>9396</v>
      </c>
      <c r="V225" s="22">
        <v>28440</v>
      </c>
      <c r="W225" s="32">
        <v>49341.32</v>
      </c>
      <c r="X225" s="10">
        <v>51015</v>
      </c>
      <c r="Y225" s="10">
        <f t="shared" si="94"/>
        <v>1.09343004756954</v>
      </c>
      <c r="Z225" s="10">
        <f t="shared" si="103"/>
        <v>53756.4532782654</v>
      </c>
      <c r="AA225" s="10">
        <f t="shared" si="96"/>
        <v>0.564016520392359</v>
      </c>
      <c r="AB225" s="10">
        <f t="shared" si="100"/>
        <v>0.0277814661848219</v>
      </c>
      <c r="AC225" s="10">
        <f t="shared" si="108"/>
        <v>0.230352623675561</v>
      </c>
      <c r="AD225" s="10">
        <f t="shared" si="89"/>
        <v>0.0220287606716441</v>
      </c>
      <c r="AE225" s="10">
        <f t="shared" si="105"/>
        <v>7.65491704784832</v>
      </c>
      <c r="AF225" s="10">
        <f t="shared" si="101"/>
        <v>0.104442155225824</v>
      </c>
      <c r="AG225" s="10">
        <f t="shared" si="107"/>
        <v>0.0421505003727856</v>
      </c>
      <c r="AH225" s="10">
        <f t="shared" si="97"/>
        <v>0.0292463797792689</v>
      </c>
      <c r="AI225" s="10">
        <f t="shared" si="98"/>
        <v>188.424124513619</v>
      </c>
      <c r="AJ225" s="10">
        <f t="shared" si="104"/>
        <v>1.2560118241292</v>
      </c>
      <c r="AK225" s="10">
        <f t="shared" si="99"/>
        <v>23.9699946474926</v>
      </c>
      <c r="AL225" s="10">
        <f t="shared" si="102"/>
        <v>0.403275262787596</v>
      </c>
      <c r="AM225" s="10">
        <f t="shared" si="106"/>
        <v>0.37944848733054</v>
      </c>
      <c r="AN225" s="10">
        <f t="shared" si="109"/>
        <v>3.02681992337165</v>
      </c>
    </row>
    <row r="226" ht="16" spans="1:40">
      <c r="A226" s="14">
        <v>2017</v>
      </c>
      <c r="B226" s="15">
        <v>610000</v>
      </c>
      <c r="C226" s="16" t="s">
        <v>63</v>
      </c>
      <c r="D226" s="24">
        <v>21473.5</v>
      </c>
      <c r="E226" s="25">
        <v>3904</v>
      </c>
      <c r="F226" s="26">
        <v>20.56</v>
      </c>
      <c r="G226" s="27">
        <v>2267</v>
      </c>
      <c r="H226" s="10">
        <v>1069374</v>
      </c>
      <c r="I226" s="30">
        <v>23819.38</v>
      </c>
      <c r="J226" s="31">
        <v>4831.07</v>
      </c>
      <c r="K226" s="24">
        <v>4609362.6</v>
      </c>
      <c r="L226" s="10">
        <v>2111</v>
      </c>
      <c r="M226" s="10">
        <v>2714.4125</v>
      </c>
      <c r="N226" s="10">
        <v>920.94</v>
      </c>
      <c r="O226" s="10">
        <v>952.3124</v>
      </c>
      <c r="P226" s="19">
        <v>174395</v>
      </c>
      <c r="Q226" s="19">
        <v>163079</v>
      </c>
      <c r="R226" s="38">
        <v>26679.06</v>
      </c>
      <c r="S226" s="20">
        <v>8611.2</v>
      </c>
      <c r="T226" s="39">
        <v>8232.9</v>
      </c>
      <c r="U226" s="22">
        <v>10265</v>
      </c>
      <c r="V226" s="22">
        <v>30810</v>
      </c>
      <c r="W226" s="32">
        <v>55215.87</v>
      </c>
      <c r="X226" s="10">
        <v>57266.31</v>
      </c>
      <c r="Y226" s="10">
        <f t="shared" si="94"/>
        <v>1.10924534891843</v>
      </c>
      <c r="Z226" s="10">
        <f t="shared" si="103"/>
        <v>61012.756147541</v>
      </c>
      <c r="AA226" s="10">
        <f t="shared" si="96"/>
        <v>0.580686475409836</v>
      </c>
      <c r="AB226" s="10">
        <f t="shared" si="100"/>
        <v>0.0273917520491803</v>
      </c>
      <c r="AC226" s="10">
        <f t="shared" si="108"/>
        <v>0.224978228979905</v>
      </c>
      <c r="AD226" s="10">
        <f t="shared" si="89"/>
        <v>0.0214653531096468</v>
      </c>
      <c r="AE226" s="10">
        <f t="shared" si="105"/>
        <v>7.65491704784832</v>
      </c>
      <c r="AF226" s="10">
        <f t="shared" si="101"/>
        <v>0.126407548839267</v>
      </c>
      <c r="AG226" s="10">
        <f t="shared" si="107"/>
        <v>0.0428872796702913</v>
      </c>
      <c r="AH226" s="10">
        <f t="shared" si="97"/>
        <v>0.0443482618110695</v>
      </c>
      <c r="AI226" s="10">
        <f t="shared" si="98"/>
        <v>189.88326848249</v>
      </c>
      <c r="AJ226" s="10">
        <f t="shared" si="104"/>
        <v>1.24241786387873</v>
      </c>
      <c r="AK226" s="10">
        <f t="shared" si="99"/>
        <v>24.0710681452759</v>
      </c>
      <c r="AL226" s="10">
        <f t="shared" si="102"/>
        <v>0.401015204787296</v>
      </c>
      <c r="AM226" s="10">
        <f t="shared" si="106"/>
        <v>0.383398141895825</v>
      </c>
      <c r="AN226" s="10">
        <f t="shared" si="109"/>
        <v>3.0014612761812</v>
      </c>
    </row>
    <row r="227" ht="16" spans="1:40">
      <c r="A227" s="14">
        <v>2018</v>
      </c>
      <c r="B227" s="15">
        <v>610000</v>
      </c>
      <c r="C227" s="16" t="s">
        <v>63</v>
      </c>
      <c r="D227" s="24">
        <v>23941.9</v>
      </c>
      <c r="E227" s="25">
        <v>3931</v>
      </c>
      <c r="F227" s="26">
        <v>20.56</v>
      </c>
      <c r="G227" s="27">
        <v>2345</v>
      </c>
      <c r="H227" s="10">
        <v>1054808</v>
      </c>
      <c r="I227" s="30">
        <v>26296.59552</v>
      </c>
      <c r="J227" s="31">
        <v>5300.86</v>
      </c>
      <c r="K227" s="24">
        <v>5324201</v>
      </c>
      <c r="L227" s="10">
        <v>2112</v>
      </c>
      <c r="M227" s="10">
        <v>3527.3973</v>
      </c>
      <c r="N227" s="10">
        <v>1125.29</v>
      </c>
      <c r="O227" s="10">
        <v>2354.7898</v>
      </c>
      <c r="P227" s="19">
        <v>177128</v>
      </c>
      <c r="Q227" s="19">
        <v>173245</v>
      </c>
      <c r="R227" s="38">
        <v>30513.81</v>
      </c>
      <c r="S227" s="20">
        <v>9510.3</v>
      </c>
      <c r="T227" s="39">
        <v>9088.1</v>
      </c>
      <c r="U227" s="22">
        <v>11213</v>
      </c>
      <c r="V227" s="22">
        <v>33319</v>
      </c>
      <c r="W227" s="32">
        <v>61115.2</v>
      </c>
      <c r="X227" s="10">
        <v>63477.4749</v>
      </c>
      <c r="Y227" s="10">
        <f t="shared" si="94"/>
        <v>1.09835040326791</v>
      </c>
      <c r="Z227" s="10">
        <f t="shared" si="103"/>
        <v>66895.4350546935</v>
      </c>
      <c r="AA227" s="10">
        <f t="shared" si="96"/>
        <v>0.596540320529127</v>
      </c>
      <c r="AB227" s="10">
        <f t="shared" ref="AB227:AB249" si="110">H227/(E227*10000)</f>
        <v>0.0268330704655304</v>
      </c>
      <c r="AC227" s="10">
        <f t="shared" si="108"/>
        <v>0.221405151637923</v>
      </c>
      <c r="AD227" s="10">
        <f t="shared" si="89"/>
        <v>0.0222380053379222</v>
      </c>
      <c r="AE227" s="10">
        <f t="shared" si="105"/>
        <v>7.65539064482615</v>
      </c>
      <c r="AF227" s="10">
        <f t="shared" si="101"/>
        <v>0.147331552633667</v>
      </c>
      <c r="AG227" s="10">
        <f t="shared" si="107"/>
        <v>0.0470008645930356</v>
      </c>
      <c r="AH227" s="10">
        <f t="shared" si="97"/>
        <v>0.0983543411341623</v>
      </c>
      <c r="AI227" s="10">
        <f t="shared" si="98"/>
        <v>191.196498054475</v>
      </c>
      <c r="AJ227" s="10">
        <f t="shared" si="104"/>
        <v>1.27449408777081</v>
      </c>
      <c r="AK227" s="10">
        <f t="shared" ref="AK227:AK264" si="111">LN(P227)+LN(Q227)</f>
        <v>24.1470899706476</v>
      </c>
      <c r="AL227" s="10">
        <f t="shared" si="102"/>
        <v>0.397224113374461</v>
      </c>
      <c r="AM227" s="10">
        <f t="shared" si="106"/>
        <v>0.379589756869756</v>
      </c>
      <c r="AN227" s="10">
        <f t="shared" si="109"/>
        <v>2.97146169624543</v>
      </c>
    </row>
    <row r="228" ht="16" spans="1:40">
      <c r="A228" s="14">
        <v>2019</v>
      </c>
      <c r="B228" s="15">
        <v>610000</v>
      </c>
      <c r="C228" s="16" t="s">
        <v>63</v>
      </c>
      <c r="D228" s="24">
        <v>25793.2</v>
      </c>
      <c r="E228" s="25">
        <v>3944</v>
      </c>
      <c r="F228" s="26">
        <v>20.56</v>
      </c>
      <c r="G228" s="27">
        <v>2417</v>
      </c>
      <c r="H228" s="10">
        <v>1121990</v>
      </c>
      <c r="I228" s="30">
        <v>26954.010408</v>
      </c>
      <c r="J228" s="31">
        <v>5691.38</v>
      </c>
      <c r="K228" s="24">
        <v>5845754</v>
      </c>
      <c r="L228" s="10">
        <v>2114</v>
      </c>
      <c r="M228" s="10">
        <v>3520.5207</v>
      </c>
      <c r="N228" s="10">
        <v>1467.35</v>
      </c>
      <c r="O228" s="10">
        <v>3560.0318</v>
      </c>
      <c r="P228" s="19">
        <v>180070</v>
      </c>
      <c r="Q228" s="19">
        <v>154749</v>
      </c>
      <c r="R228" s="38">
        <v>34113.19</v>
      </c>
      <c r="S228" s="20">
        <v>10213</v>
      </c>
      <c r="T228" s="39">
        <v>9459.9</v>
      </c>
      <c r="U228" s="22">
        <v>12326</v>
      </c>
      <c r="V228" s="22">
        <v>36098</v>
      </c>
      <c r="W228" s="32">
        <v>65506.46</v>
      </c>
      <c r="X228" s="10">
        <v>66649.02</v>
      </c>
      <c r="Y228" s="10">
        <f t="shared" si="94"/>
        <v>1.04500451312749</v>
      </c>
      <c r="Z228" s="10">
        <f t="shared" si="103"/>
        <v>68341.8113793103</v>
      </c>
      <c r="AA228" s="10">
        <f t="shared" si="96"/>
        <v>0.612829614604463</v>
      </c>
      <c r="AB228" s="10">
        <f t="shared" si="110"/>
        <v>0.0284480223123732</v>
      </c>
      <c r="AC228" s="10">
        <f t="shared" si="108"/>
        <v>0.22065428097328</v>
      </c>
      <c r="AD228" s="10">
        <f t="shared" si="89"/>
        <v>0.0226639346804584</v>
      </c>
      <c r="AE228" s="10">
        <f t="shared" si="105"/>
        <v>7.65633716643018</v>
      </c>
      <c r="AF228" s="10">
        <f t="shared" si="101"/>
        <v>0.136490264876014</v>
      </c>
      <c r="AG228" s="10">
        <f t="shared" si="107"/>
        <v>0.0568890250143449</v>
      </c>
      <c r="AH228" s="10">
        <f t="shared" si="97"/>
        <v>0.13802210660174</v>
      </c>
      <c r="AI228" s="10">
        <f t="shared" si="98"/>
        <v>191.828793774319</v>
      </c>
      <c r="AJ228" s="10">
        <f t="shared" si="104"/>
        <v>1.32256524975575</v>
      </c>
      <c r="AK228" s="10">
        <f t="shared" si="111"/>
        <v>24.050660671654</v>
      </c>
      <c r="AL228" s="10">
        <f t="shared" si="102"/>
        <v>0.395957073957477</v>
      </c>
      <c r="AM228" s="10">
        <f t="shared" si="106"/>
        <v>0.366759455980646</v>
      </c>
      <c r="AN228" s="10">
        <f t="shared" si="109"/>
        <v>2.92860619828006</v>
      </c>
    </row>
    <row r="229" ht="16" spans="1:40">
      <c r="A229" s="14">
        <v>2020</v>
      </c>
      <c r="B229" s="15">
        <v>610000</v>
      </c>
      <c r="C229" s="16" t="s">
        <v>63</v>
      </c>
      <c r="D229" s="24">
        <v>26014.1</v>
      </c>
      <c r="E229" s="25">
        <v>3955</v>
      </c>
      <c r="F229" s="26">
        <v>20.56</v>
      </c>
      <c r="G229" s="27">
        <v>2478</v>
      </c>
      <c r="H229" s="10">
        <v>1210048</v>
      </c>
      <c r="I229" s="30">
        <v>28059.124834728</v>
      </c>
      <c r="J229" s="31">
        <v>5889.21</v>
      </c>
      <c r="K229" s="24">
        <v>6323310</v>
      </c>
      <c r="L229" s="10">
        <v>2105</v>
      </c>
      <c r="M229" s="10">
        <v>3765.8007</v>
      </c>
      <c r="N229" s="10">
        <v>1758.72</v>
      </c>
      <c r="O229" s="10">
        <v>4385.5116</v>
      </c>
      <c r="P229" s="19">
        <v>180660</v>
      </c>
      <c r="Q229" s="19">
        <v>165260</v>
      </c>
      <c r="R229" s="38">
        <v>38905.47</v>
      </c>
      <c r="S229" s="20">
        <v>9605.9</v>
      </c>
      <c r="T229" s="39">
        <v>8740.2</v>
      </c>
      <c r="U229" s="22">
        <v>13316</v>
      </c>
      <c r="V229" s="22">
        <v>37868</v>
      </c>
      <c r="W229" s="32">
        <v>65866.92</v>
      </c>
      <c r="X229" s="10">
        <v>66291.58</v>
      </c>
      <c r="Y229" s="10">
        <f t="shared" si="94"/>
        <v>1.07861216935154</v>
      </c>
      <c r="Z229" s="10">
        <f t="shared" si="103"/>
        <v>70945.9540701087</v>
      </c>
      <c r="AA229" s="10">
        <f t="shared" si="96"/>
        <v>0.626548672566372</v>
      </c>
      <c r="AB229" s="10">
        <f t="shared" si="110"/>
        <v>0.0305953982300885</v>
      </c>
      <c r="AC229" s="10">
        <f t="shared" si="108"/>
        <v>0.226385306429975</v>
      </c>
      <c r="AD229" s="10">
        <f t="shared" si="89"/>
        <v>0.0243072410731104</v>
      </c>
      <c r="AE229" s="10">
        <f t="shared" si="105"/>
        <v>7.65207074611648</v>
      </c>
      <c r="AF229" s="10">
        <f t="shared" si="101"/>
        <v>0.144759984008672</v>
      </c>
      <c r="AG229" s="10">
        <f t="shared" si="107"/>
        <v>0.0676064134450164</v>
      </c>
      <c r="AH229" s="10">
        <f t="shared" si="97"/>
        <v>0.168582099707466</v>
      </c>
      <c r="AI229" s="10">
        <f t="shared" si="98"/>
        <v>192.363813229572</v>
      </c>
      <c r="AJ229" s="10">
        <f t="shared" si="104"/>
        <v>1.49555318077504</v>
      </c>
      <c r="AK229" s="10">
        <f t="shared" si="111"/>
        <v>24.119647360959</v>
      </c>
      <c r="AL229" s="10">
        <f t="shared" si="102"/>
        <v>0.369257441156911</v>
      </c>
      <c r="AM229" s="10">
        <f t="shared" si="106"/>
        <v>0.3359793342841</v>
      </c>
      <c r="AN229" s="10">
        <f t="shared" si="109"/>
        <v>2.84379693601682</v>
      </c>
    </row>
    <row r="230" ht="16" spans="1:40">
      <c r="A230" s="14">
        <v>2021</v>
      </c>
      <c r="B230" s="15">
        <v>610000</v>
      </c>
      <c r="C230" s="16" t="s">
        <v>63</v>
      </c>
      <c r="D230" s="24">
        <v>30121.7</v>
      </c>
      <c r="E230" s="25">
        <v>3954</v>
      </c>
      <c r="F230" s="26">
        <v>20.56</v>
      </c>
      <c r="G230" s="27">
        <v>2516</v>
      </c>
      <c r="H230" s="10">
        <v>1283340</v>
      </c>
      <c r="I230" s="30">
        <v>27217.3510896862</v>
      </c>
      <c r="J230" s="31">
        <v>6016.26</v>
      </c>
      <c r="K230" s="24">
        <v>7006207.2</v>
      </c>
      <c r="L230" s="10">
        <v>2091</v>
      </c>
      <c r="M230" s="10">
        <v>4745.7234</v>
      </c>
      <c r="N230" s="10">
        <v>2343.44</v>
      </c>
      <c r="O230" s="10">
        <v>611.31</v>
      </c>
      <c r="P230" s="19">
        <v>183414</v>
      </c>
      <c r="Q230" s="19">
        <v>160695</v>
      </c>
      <c r="R230" s="38">
        <v>44053.75</v>
      </c>
      <c r="S230" s="20">
        <v>10250.5</v>
      </c>
      <c r="T230" s="39">
        <v>11538.1</v>
      </c>
      <c r="U230" s="22">
        <v>14745</v>
      </c>
      <c r="V230" s="22">
        <v>40713</v>
      </c>
      <c r="W230" s="32">
        <v>76171</v>
      </c>
      <c r="X230" s="10">
        <v>75360</v>
      </c>
      <c r="Y230" s="10">
        <f t="shared" si="94"/>
        <v>0.903579515421978</v>
      </c>
      <c r="Z230" s="10">
        <f t="shared" si="103"/>
        <v>68834.9799941482</v>
      </c>
      <c r="AA230" s="10">
        <f t="shared" si="96"/>
        <v>0.636317653009611</v>
      </c>
      <c r="AB230" s="10">
        <f t="shared" si="110"/>
        <v>0.0324567526555387</v>
      </c>
      <c r="AC230" s="10">
        <f t="shared" si="108"/>
        <v>0.199731754847834</v>
      </c>
      <c r="AD230" s="10">
        <f t="shared" si="89"/>
        <v>0.0232596672830551</v>
      </c>
      <c r="AE230" s="10">
        <f t="shared" si="105"/>
        <v>7.64539769942863</v>
      </c>
      <c r="AF230" s="10">
        <f t="shared" si="101"/>
        <v>0.157551645491456</v>
      </c>
      <c r="AG230" s="10">
        <f t="shared" si="107"/>
        <v>0.0777990618059406</v>
      </c>
      <c r="AH230" s="10">
        <f t="shared" si="97"/>
        <v>0.0202946712834933</v>
      </c>
      <c r="AI230" s="10">
        <f t="shared" si="98"/>
        <v>192.315175097276</v>
      </c>
      <c r="AJ230" s="10">
        <f t="shared" si="104"/>
        <v>1.46252535547462</v>
      </c>
      <c r="AK230" s="10">
        <f t="shared" si="111"/>
        <v>24.1067646091337</v>
      </c>
      <c r="AL230" s="10">
        <f t="shared" si="102"/>
        <v>0.340302838153225</v>
      </c>
      <c r="AM230" s="10">
        <f t="shared" si="106"/>
        <v>0.383049429481072</v>
      </c>
      <c r="AN230" s="10">
        <f t="shared" si="109"/>
        <v>2.76113936927772</v>
      </c>
    </row>
    <row r="231" ht="16" spans="1:40">
      <c r="A231" s="14">
        <v>2022</v>
      </c>
      <c r="B231" s="15">
        <v>610000</v>
      </c>
      <c r="C231" s="16" t="s">
        <v>63</v>
      </c>
      <c r="D231" s="24">
        <v>32838.2</v>
      </c>
      <c r="E231" s="25">
        <v>3956</v>
      </c>
      <c r="F231" s="26">
        <v>20.56</v>
      </c>
      <c r="G231" s="27">
        <v>2532</v>
      </c>
      <c r="H231" s="10">
        <v>1304356</v>
      </c>
      <c r="I231" s="30">
        <v>29421.9565279507</v>
      </c>
      <c r="J231" s="31">
        <v>6696.63</v>
      </c>
      <c r="K231" s="24">
        <v>7695512.2</v>
      </c>
      <c r="L231" s="10">
        <v>2066</v>
      </c>
      <c r="M231" s="10">
        <v>4807.8163</v>
      </c>
      <c r="N231" s="10">
        <v>3048.73</v>
      </c>
      <c r="O231" s="10">
        <v>640.4197</v>
      </c>
      <c r="P231" s="35">
        <v>185607</v>
      </c>
      <c r="Q231" s="35">
        <v>164723</v>
      </c>
      <c r="R231" s="38">
        <v>48631.59</v>
      </c>
      <c r="S231" s="20">
        <v>10401.6</v>
      </c>
      <c r="T231" s="39">
        <v>13266</v>
      </c>
      <c r="U231" s="22">
        <v>15704</v>
      </c>
      <c r="V231" s="22">
        <v>42431</v>
      </c>
      <c r="W231" s="32">
        <v>83030</v>
      </c>
      <c r="X231" s="10">
        <v>82864</v>
      </c>
      <c r="Y231" s="10">
        <f t="shared" si="94"/>
        <v>0.89596739553175</v>
      </c>
      <c r="Z231" s="10">
        <f t="shared" si="103"/>
        <v>74372.9942567004</v>
      </c>
      <c r="AA231" s="10">
        <f t="shared" si="96"/>
        <v>0.640040444893832</v>
      </c>
      <c r="AB231" s="10">
        <f t="shared" si="110"/>
        <v>0.0329715874620829</v>
      </c>
      <c r="AC231" s="10">
        <f t="shared" si="108"/>
        <v>0.203928047213306</v>
      </c>
      <c r="AD231" s="10">
        <f t="shared" ref="AD231:AD266" si="112">K231/(D231*10000)</f>
        <v>0.0234346346632885</v>
      </c>
      <c r="AE231" s="10">
        <f t="shared" si="105"/>
        <v>7.63336964967958</v>
      </c>
      <c r="AF231" s="10">
        <f t="shared" si="101"/>
        <v>0.146409252029648</v>
      </c>
      <c r="AG231" s="10">
        <f t="shared" si="107"/>
        <v>0.092840959614108</v>
      </c>
      <c r="AH231" s="10">
        <f t="shared" si="97"/>
        <v>0.0195022778349605</v>
      </c>
      <c r="AI231" s="10">
        <f t="shared" si="98"/>
        <v>192.412451361868</v>
      </c>
      <c r="AJ231" s="10">
        <f t="shared" si="104"/>
        <v>1.48094566693668</v>
      </c>
      <c r="AK231" s="10">
        <f t="shared" si="111"/>
        <v>24.1434073684007</v>
      </c>
      <c r="AL231" s="10">
        <f t="shared" si="102"/>
        <v>0.316753049801755</v>
      </c>
      <c r="AM231" s="10">
        <f t="shared" si="106"/>
        <v>0.403980729759853</v>
      </c>
      <c r="AN231" s="10">
        <f t="shared" si="109"/>
        <v>2.70192307692308</v>
      </c>
    </row>
    <row r="232" ht="16" spans="1:40">
      <c r="A232" s="14">
        <v>2013</v>
      </c>
      <c r="B232" s="15">
        <v>310000</v>
      </c>
      <c r="C232" s="16" t="s">
        <v>64</v>
      </c>
      <c r="D232" s="24">
        <v>23204.1</v>
      </c>
      <c r="E232" s="25">
        <v>2448</v>
      </c>
      <c r="F232" s="26">
        <v>0.63</v>
      </c>
      <c r="G232" s="27">
        <v>2193</v>
      </c>
      <c r="H232" s="10">
        <v>504771</v>
      </c>
      <c r="I232" s="30">
        <v>5647.8</v>
      </c>
      <c r="J232" s="31">
        <v>4501.06</v>
      </c>
      <c r="K232" s="24">
        <v>7767800</v>
      </c>
      <c r="L232" s="10">
        <v>1368.91</v>
      </c>
      <c r="M232" s="10">
        <v>27328.623</v>
      </c>
      <c r="N232" s="10">
        <v>531.68</v>
      </c>
      <c r="O232" s="10">
        <v>791.8151</v>
      </c>
      <c r="P232" s="19">
        <v>12633</v>
      </c>
      <c r="Q232" s="19">
        <v>84304.6</v>
      </c>
      <c r="R232" s="38">
        <v>39748.55</v>
      </c>
      <c r="S232" s="20">
        <v>8557</v>
      </c>
      <c r="T232" s="39">
        <v>7765.3</v>
      </c>
      <c r="U232" s="22">
        <v>19208</v>
      </c>
      <c r="V232" s="22">
        <v>44878</v>
      </c>
      <c r="W232" s="32">
        <v>95746</v>
      </c>
      <c r="X232" s="10">
        <v>90993</v>
      </c>
      <c r="Y232" s="10">
        <f t="shared" si="94"/>
        <v>0.243396641110838</v>
      </c>
      <c r="Z232" s="10">
        <f t="shared" si="103"/>
        <v>23071.0784313725</v>
      </c>
      <c r="AA232" s="10">
        <f t="shared" si="96"/>
        <v>0.895833333333333</v>
      </c>
      <c r="AB232" s="10">
        <f t="shared" si="110"/>
        <v>0.0206197303921569</v>
      </c>
      <c r="AC232" s="10">
        <f t="shared" si="108"/>
        <v>0.193976926491439</v>
      </c>
      <c r="AD232" s="10">
        <f t="shared" si="112"/>
        <v>0.0334759805379222</v>
      </c>
      <c r="AE232" s="10">
        <f t="shared" si="105"/>
        <v>7.22177008171029</v>
      </c>
      <c r="AF232" s="10">
        <f t="shared" si="101"/>
        <v>1.17774975112157</v>
      </c>
      <c r="AG232" s="10">
        <f t="shared" si="107"/>
        <v>0.0229131920651954</v>
      </c>
      <c r="AH232" s="10">
        <f t="shared" si="97"/>
        <v>0.0341239306846635</v>
      </c>
      <c r="AI232" s="10">
        <f t="shared" si="98"/>
        <v>3885.71428571429</v>
      </c>
      <c r="AJ232" s="10">
        <f t="shared" si="104"/>
        <v>1.7129968410755</v>
      </c>
      <c r="AK232" s="10">
        <f t="shared" si="111"/>
        <v>20.7862594263538</v>
      </c>
      <c r="AL232" s="10">
        <f t="shared" si="102"/>
        <v>0.368771036153094</v>
      </c>
      <c r="AM232" s="10">
        <f t="shared" si="106"/>
        <v>0.334652065798717</v>
      </c>
      <c r="AN232" s="10">
        <f t="shared" si="109"/>
        <v>2.33642232403165</v>
      </c>
    </row>
    <row r="233" ht="16" spans="1:40">
      <c r="A233" s="14">
        <v>2014</v>
      </c>
      <c r="B233" s="15">
        <v>310000</v>
      </c>
      <c r="C233" s="16" t="s">
        <v>64</v>
      </c>
      <c r="D233" s="24">
        <v>25269.8</v>
      </c>
      <c r="E233" s="25">
        <v>2467</v>
      </c>
      <c r="F233" s="26">
        <v>0.63</v>
      </c>
      <c r="G233" s="27">
        <v>2203</v>
      </c>
      <c r="H233" s="10">
        <v>506644</v>
      </c>
      <c r="I233" s="30">
        <v>6016.43</v>
      </c>
      <c r="J233" s="31">
        <v>4894.16</v>
      </c>
      <c r="K233" s="24">
        <v>8619500</v>
      </c>
      <c r="L233" s="10">
        <v>1365.63</v>
      </c>
      <c r="M233" s="10">
        <v>28650.009</v>
      </c>
      <c r="N233" s="10">
        <v>592.45</v>
      </c>
      <c r="O233" s="10">
        <v>906.0066</v>
      </c>
      <c r="P233" s="19">
        <v>12945</v>
      </c>
      <c r="Q233" s="19">
        <v>89980</v>
      </c>
      <c r="R233" s="38">
        <v>43227.33</v>
      </c>
      <c r="S233" s="20">
        <v>9303.5</v>
      </c>
      <c r="T233" s="39">
        <v>8099.9</v>
      </c>
      <c r="U233" s="22">
        <v>21192</v>
      </c>
      <c r="V233" s="22">
        <v>48841</v>
      </c>
      <c r="W233" s="32">
        <v>102827</v>
      </c>
      <c r="X233" s="10">
        <v>97370</v>
      </c>
      <c r="Y233" s="10">
        <f t="shared" ref="Y233:Y261" si="113">I233/D233</f>
        <v>0.238087756927241</v>
      </c>
      <c r="Z233" s="10">
        <f t="shared" si="103"/>
        <v>24387.6368058371</v>
      </c>
      <c r="AA233" s="10">
        <f t="shared" si="96"/>
        <v>0.892987434130523</v>
      </c>
      <c r="AB233" s="10">
        <f t="shared" si="110"/>
        <v>0.0205368463721119</v>
      </c>
      <c r="AC233" s="10">
        <f t="shared" si="108"/>
        <v>0.193676245953668</v>
      </c>
      <c r="AD233" s="10">
        <f t="shared" si="112"/>
        <v>0.0341098861091105</v>
      </c>
      <c r="AE233" s="10">
        <f t="shared" si="105"/>
        <v>7.21937113960448</v>
      </c>
      <c r="AF233" s="10">
        <f t="shared" si="101"/>
        <v>1.13376477059573</v>
      </c>
      <c r="AG233" s="10">
        <f t="shared" si="107"/>
        <v>0.0234449817568798</v>
      </c>
      <c r="AH233" s="10">
        <f t="shared" si="97"/>
        <v>0.0358533348107227</v>
      </c>
      <c r="AI233" s="10">
        <f t="shared" si="98"/>
        <v>3915.87301587302</v>
      </c>
      <c r="AJ233" s="10">
        <f t="shared" si="104"/>
        <v>1.7106320588212</v>
      </c>
      <c r="AK233" s="10">
        <f t="shared" si="111"/>
        <v>20.8758075945808</v>
      </c>
      <c r="AL233" s="10">
        <f t="shared" si="102"/>
        <v>0.368166744493427</v>
      </c>
      <c r="AM233" s="10">
        <f t="shared" si="106"/>
        <v>0.320536767208288</v>
      </c>
      <c r="AN233" s="10">
        <f t="shared" si="109"/>
        <v>2.30469044922612</v>
      </c>
    </row>
    <row r="234" ht="16" spans="1:40">
      <c r="A234" s="14">
        <v>2015</v>
      </c>
      <c r="B234" s="15">
        <v>310000</v>
      </c>
      <c r="C234" s="16" t="s">
        <v>64</v>
      </c>
      <c r="D234" s="24">
        <v>26887</v>
      </c>
      <c r="E234" s="25">
        <v>2458</v>
      </c>
      <c r="F234" s="26">
        <v>0.63</v>
      </c>
      <c r="G234" s="27">
        <v>2176</v>
      </c>
      <c r="H234" s="10">
        <v>511623</v>
      </c>
      <c r="I234" s="30">
        <v>6352.7</v>
      </c>
      <c r="J234" s="31">
        <v>6158.22</v>
      </c>
      <c r="K234" s="24">
        <v>9361438.6</v>
      </c>
      <c r="L234" s="10">
        <v>1361.51</v>
      </c>
      <c r="M234" s="10">
        <v>27980.509</v>
      </c>
      <c r="N234" s="10">
        <v>663.78</v>
      </c>
      <c r="O234" s="10">
        <v>1164.5114</v>
      </c>
      <c r="P234" s="19">
        <v>13195</v>
      </c>
      <c r="Q234" s="19">
        <v>90893</v>
      </c>
      <c r="R234" s="38">
        <v>48711.4</v>
      </c>
      <c r="S234" s="20">
        <v>11605.7</v>
      </c>
      <c r="T234" s="39">
        <v>7888.6</v>
      </c>
      <c r="U234" s="22">
        <v>23205</v>
      </c>
      <c r="V234" s="22">
        <v>52962</v>
      </c>
      <c r="W234" s="32">
        <v>109186</v>
      </c>
      <c r="X234" s="10">
        <v>103795.536</v>
      </c>
      <c r="Y234" s="10">
        <f t="shared" si="113"/>
        <v>0.236274035779373</v>
      </c>
      <c r="Z234" s="10">
        <f t="shared" si="103"/>
        <v>25844.9959316517</v>
      </c>
      <c r="AA234" s="10">
        <f t="shared" si="96"/>
        <v>0.885272579332791</v>
      </c>
      <c r="AB234" s="10">
        <f t="shared" si="110"/>
        <v>0.0208146053702197</v>
      </c>
      <c r="AC234" s="10">
        <f t="shared" si="108"/>
        <v>0.229040800386804</v>
      </c>
      <c r="AD234" s="10">
        <f t="shared" si="112"/>
        <v>0.0348177133930896</v>
      </c>
      <c r="AE234" s="10">
        <f t="shared" si="105"/>
        <v>7.21634965692709</v>
      </c>
      <c r="AF234" s="10">
        <f t="shared" si="101"/>
        <v>1.04067054710455</v>
      </c>
      <c r="AG234" s="10">
        <f t="shared" si="107"/>
        <v>0.0246877673224979</v>
      </c>
      <c r="AH234" s="10">
        <f t="shared" si="97"/>
        <v>0.0433113177371964</v>
      </c>
      <c r="AI234" s="10">
        <f t="shared" si="98"/>
        <v>3901.5873015873</v>
      </c>
      <c r="AJ234" s="10">
        <f t="shared" si="104"/>
        <v>1.81170826049764</v>
      </c>
      <c r="AK234" s="10">
        <f t="shared" si="111"/>
        <v>20.905031518437</v>
      </c>
      <c r="AL234" s="10">
        <f t="shared" si="102"/>
        <v>0.431647264477257</v>
      </c>
      <c r="AM234" s="10">
        <f t="shared" si="106"/>
        <v>0.293398296574553</v>
      </c>
      <c r="AN234" s="10">
        <f t="shared" si="109"/>
        <v>2.28235294117647</v>
      </c>
    </row>
    <row r="235" ht="16" spans="1:40">
      <c r="A235" s="14">
        <v>2016</v>
      </c>
      <c r="B235" s="15">
        <v>310000</v>
      </c>
      <c r="C235" s="16" t="s">
        <v>64</v>
      </c>
      <c r="D235" s="24">
        <v>29887</v>
      </c>
      <c r="E235" s="25">
        <v>2467</v>
      </c>
      <c r="F235" s="26">
        <v>0.63</v>
      </c>
      <c r="G235" s="27">
        <v>2196</v>
      </c>
      <c r="H235" s="10">
        <v>514683</v>
      </c>
      <c r="I235" s="30">
        <v>6755.88</v>
      </c>
      <c r="J235" s="31">
        <v>6883.05</v>
      </c>
      <c r="K235" s="24">
        <v>10493187.4</v>
      </c>
      <c r="L235" s="10">
        <v>1365.24</v>
      </c>
      <c r="M235" s="10">
        <v>28812.185</v>
      </c>
      <c r="N235" s="10">
        <v>780.99</v>
      </c>
      <c r="O235" s="10">
        <v>1074.2169</v>
      </c>
      <c r="P235" s="19">
        <v>13292</v>
      </c>
      <c r="Q235" s="19">
        <v>88324</v>
      </c>
      <c r="R235" s="38">
        <v>54696.45</v>
      </c>
      <c r="S235" s="20">
        <v>12588.2</v>
      </c>
      <c r="T235" s="39">
        <v>8045.5</v>
      </c>
      <c r="U235" s="22">
        <v>25520</v>
      </c>
      <c r="V235" s="22">
        <v>57692</v>
      </c>
      <c r="W235" s="32">
        <v>121369</v>
      </c>
      <c r="X235" s="10">
        <v>116562</v>
      </c>
      <c r="Y235" s="10">
        <f t="shared" si="113"/>
        <v>0.226047445377589</v>
      </c>
      <c r="Z235" s="10">
        <f t="shared" si="103"/>
        <v>27385.0020267531</v>
      </c>
      <c r="AA235" s="10">
        <f t="shared" si="96"/>
        <v>0.890149979732469</v>
      </c>
      <c r="AB235" s="10">
        <f t="shared" si="110"/>
        <v>0.020862707742197</v>
      </c>
      <c r="AC235" s="10">
        <f t="shared" si="108"/>
        <v>0.23030247264697</v>
      </c>
      <c r="AD235" s="10">
        <f t="shared" si="112"/>
        <v>0.0351095372570014</v>
      </c>
      <c r="AE235" s="10">
        <f t="shared" si="105"/>
        <v>7.21908551633963</v>
      </c>
      <c r="AF235" s="10">
        <f t="shared" si="101"/>
        <v>0.964037374109144</v>
      </c>
      <c r="AG235" s="10">
        <f t="shared" si="107"/>
        <v>0.0261314283802322</v>
      </c>
      <c r="AH235" s="10">
        <f t="shared" si="97"/>
        <v>0.0359426138454847</v>
      </c>
      <c r="AI235" s="10">
        <f t="shared" si="98"/>
        <v>3915.87301587302</v>
      </c>
      <c r="AJ235" s="10">
        <f t="shared" si="104"/>
        <v>1.83010840833807</v>
      </c>
      <c r="AK235" s="10">
        <f t="shared" si="111"/>
        <v>20.8836847798149</v>
      </c>
      <c r="AL235" s="10">
        <f t="shared" si="102"/>
        <v>0.42119316090608</v>
      </c>
      <c r="AM235" s="10">
        <f t="shared" si="106"/>
        <v>0.269197309867166</v>
      </c>
      <c r="AN235" s="10">
        <f t="shared" si="109"/>
        <v>2.26065830721003</v>
      </c>
    </row>
    <row r="236" ht="16" spans="1:40">
      <c r="A236" s="14">
        <v>2017</v>
      </c>
      <c r="B236" s="15">
        <v>310000</v>
      </c>
      <c r="C236" s="16" t="s">
        <v>64</v>
      </c>
      <c r="D236" s="24">
        <v>32925</v>
      </c>
      <c r="E236" s="25">
        <v>2466</v>
      </c>
      <c r="F236" s="26">
        <v>0.63</v>
      </c>
      <c r="G236" s="27">
        <v>2197</v>
      </c>
      <c r="H236" s="10">
        <v>514917</v>
      </c>
      <c r="I236" s="30">
        <v>7246.6</v>
      </c>
      <c r="J236" s="31">
        <v>7502.3</v>
      </c>
      <c r="K236" s="24">
        <v>12052052.1</v>
      </c>
      <c r="L236" s="10">
        <v>1372.65</v>
      </c>
      <c r="M236" s="10">
        <v>32151.845</v>
      </c>
      <c r="N236" s="10">
        <v>810.62</v>
      </c>
      <c r="O236" s="10">
        <v>1405.6649</v>
      </c>
      <c r="P236" s="19">
        <v>13322</v>
      </c>
      <c r="Q236" s="19">
        <v>96850.1</v>
      </c>
      <c r="R236" s="38">
        <v>62258.01</v>
      </c>
      <c r="S236" s="20">
        <v>13699.5</v>
      </c>
      <c r="T236" s="39">
        <v>8977.4</v>
      </c>
      <c r="U236" s="22">
        <v>27825</v>
      </c>
      <c r="V236" s="22">
        <v>62596</v>
      </c>
      <c r="W236" s="32">
        <v>133489</v>
      </c>
      <c r="X236" s="10">
        <v>126634.15</v>
      </c>
      <c r="Y236" s="10">
        <f t="shared" si="113"/>
        <v>0.220094153378891</v>
      </c>
      <c r="Z236" s="10">
        <f t="shared" si="103"/>
        <v>29386.0502838605</v>
      </c>
      <c r="AA236" s="10">
        <f t="shared" si="96"/>
        <v>0.890916463909165</v>
      </c>
      <c r="AB236" s="10">
        <f t="shared" si="110"/>
        <v>0.0208806569343066</v>
      </c>
      <c r="AC236" s="10">
        <f t="shared" si="108"/>
        <v>0.227860288534548</v>
      </c>
      <c r="AD236" s="10">
        <f t="shared" si="112"/>
        <v>0.0366045621867882</v>
      </c>
      <c r="AE236" s="10">
        <f t="shared" si="105"/>
        <v>7.2244984570295</v>
      </c>
      <c r="AF236" s="10">
        <f t="shared" si="101"/>
        <v>0.976517691723614</v>
      </c>
      <c r="AG236" s="10">
        <f t="shared" si="107"/>
        <v>0.0246201974183751</v>
      </c>
      <c r="AH236" s="10">
        <f t="shared" si="97"/>
        <v>0.0426929354593774</v>
      </c>
      <c r="AI236" s="10">
        <f t="shared" si="98"/>
        <v>3914.28571428571</v>
      </c>
      <c r="AJ236" s="10">
        <f t="shared" si="104"/>
        <v>1.89090387243736</v>
      </c>
      <c r="AK236" s="10">
        <f t="shared" si="111"/>
        <v>20.9780917843323</v>
      </c>
      <c r="AL236" s="10">
        <f t="shared" si="102"/>
        <v>0.416082004555809</v>
      </c>
      <c r="AM236" s="10">
        <f t="shared" si="106"/>
        <v>0.272662110858011</v>
      </c>
      <c r="AN236" s="10">
        <f t="shared" si="109"/>
        <v>2.2496316262354</v>
      </c>
    </row>
    <row r="237" ht="16" spans="1:40">
      <c r="A237" s="14">
        <v>2018</v>
      </c>
      <c r="B237" s="15">
        <v>310000</v>
      </c>
      <c r="C237" s="16" t="s">
        <v>64</v>
      </c>
      <c r="D237" s="24">
        <v>36011.8</v>
      </c>
      <c r="E237" s="25">
        <v>2475</v>
      </c>
      <c r="F237" s="26">
        <v>0.63</v>
      </c>
      <c r="G237" s="27">
        <v>2206</v>
      </c>
      <c r="H237" s="10">
        <v>517796</v>
      </c>
      <c r="I237" s="30">
        <v>7623.4232</v>
      </c>
      <c r="J237" s="31">
        <v>8290.95</v>
      </c>
      <c r="K237" s="24">
        <v>13592000</v>
      </c>
      <c r="L237" s="10">
        <v>1375.66</v>
      </c>
      <c r="M237" s="10">
        <v>34124.588</v>
      </c>
      <c r="N237" s="10">
        <v>1225.19</v>
      </c>
      <c r="O237" s="10">
        <v>2256.9629</v>
      </c>
      <c r="P237" s="19">
        <v>13106.4</v>
      </c>
      <c r="Q237" s="19">
        <v>106983</v>
      </c>
      <c r="R237" s="38">
        <v>68564.25</v>
      </c>
      <c r="S237" s="20">
        <v>14874.8</v>
      </c>
      <c r="T237" s="39">
        <v>9763.5</v>
      </c>
      <c r="U237" s="22">
        <v>30375</v>
      </c>
      <c r="V237" s="22">
        <v>68034</v>
      </c>
      <c r="W237" s="32">
        <v>145767</v>
      </c>
      <c r="X237" s="10">
        <v>134982</v>
      </c>
      <c r="Y237" s="10">
        <f t="shared" si="113"/>
        <v>0.211692367501763</v>
      </c>
      <c r="Z237" s="10">
        <f t="shared" si="103"/>
        <v>30801.7098989899</v>
      </c>
      <c r="AA237" s="10">
        <f t="shared" si="96"/>
        <v>0.891313131313131</v>
      </c>
      <c r="AB237" s="10">
        <f t="shared" si="110"/>
        <v>0.0209210505050505</v>
      </c>
      <c r="AC237" s="10">
        <f t="shared" si="108"/>
        <v>0.230228702814078</v>
      </c>
      <c r="AD237" s="10">
        <f t="shared" si="112"/>
        <v>0.0377431841785193</v>
      </c>
      <c r="AE237" s="10">
        <f t="shared" si="105"/>
        <v>7.22668889493752</v>
      </c>
      <c r="AF237" s="10">
        <f t="shared" si="101"/>
        <v>0.947594621762867</v>
      </c>
      <c r="AG237" s="10">
        <f t="shared" si="107"/>
        <v>0.0340219039314891</v>
      </c>
      <c r="AH237" s="10">
        <f t="shared" si="97"/>
        <v>0.062672871114468</v>
      </c>
      <c r="AI237" s="10">
        <f t="shared" si="98"/>
        <v>3928.57142857143</v>
      </c>
      <c r="AJ237" s="10">
        <f t="shared" ref="AJ237:AJ278" si="114">R237/D237</f>
        <v>1.90393843129197</v>
      </c>
      <c r="AK237" s="10">
        <f t="shared" si="111"/>
        <v>21.0612811618229</v>
      </c>
      <c r="AL237" s="10">
        <f t="shared" si="102"/>
        <v>0.41305349913084</v>
      </c>
      <c r="AM237" s="10">
        <f t="shared" si="106"/>
        <v>0.271119466397125</v>
      </c>
      <c r="AN237" s="10">
        <f t="shared" si="109"/>
        <v>2.2398024691358</v>
      </c>
    </row>
    <row r="238" ht="16" spans="1:40">
      <c r="A238" s="14">
        <v>2019</v>
      </c>
      <c r="B238" s="15">
        <v>310000</v>
      </c>
      <c r="C238" s="16" t="s">
        <v>64</v>
      </c>
      <c r="D238" s="24">
        <v>37987.6</v>
      </c>
      <c r="E238" s="25">
        <v>2481</v>
      </c>
      <c r="F238" s="26">
        <v>0.63</v>
      </c>
      <c r="G238" s="27">
        <v>2214</v>
      </c>
      <c r="H238" s="10">
        <v>526585</v>
      </c>
      <c r="I238" s="30">
        <v>8012.2177832</v>
      </c>
      <c r="J238" s="31">
        <v>8082.39</v>
      </c>
      <c r="K238" s="24">
        <v>15245500</v>
      </c>
      <c r="L238" s="10">
        <v>1376.2</v>
      </c>
      <c r="M238" s="10">
        <v>34072.038</v>
      </c>
      <c r="N238" s="10">
        <v>1422.35</v>
      </c>
      <c r="O238" s="10">
        <v>3010.4747</v>
      </c>
      <c r="P238" s="19">
        <v>13044.6</v>
      </c>
      <c r="Q238" s="19">
        <v>121124</v>
      </c>
      <c r="R238" s="38">
        <v>74661.97</v>
      </c>
      <c r="S238" s="20">
        <v>15847.6</v>
      </c>
      <c r="T238" s="39">
        <v>9565.1</v>
      </c>
      <c r="U238" s="22">
        <v>33195</v>
      </c>
      <c r="V238" s="22">
        <v>73615</v>
      </c>
      <c r="W238" s="32">
        <v>153299</v>
      </c>
      <c r="X238" s="10">
        <v>157279</v>
      </c>
      <c r="Y238" s="10">
        <f t="shared" si="113"/>
        <v>0.210916661837021</v>
      </c>
      <c r="Z238" s="10">
        <f t="shared" si="103"/>
        <v>32294.307872632</v>
      </c>
      <c r="AA238" s="10">
        <f t="shared" si="96"/>
        <v>0.892382103990326</v>
      </c>
      <c r="AB238" s="10">
        <f t="shared" si="110"/>
        <v>0.0212247077791213</v>
      </c>
      <c r="AC238" s="10">
        <f t="shared" si="108"/>
        <v>0.212763901904832</v>
      </c>
      <c r="AD238" s="10">
        <f t="shared" si="112"/>
        <v>0.0401328328191305</v>
      </c>
      <c r="AE238" s="10">
        <f t="shared" si="105"/>
        <v>7.22708135676838</v>
      </c>
      <c r="AF238" s="10">
        <f t="shared" ref="AF238:AF268" si="115">M238/D238</f>
        <v>0.896925259821626</v>
      </c>
      <c r="AG238" s="10">
        <f t="shared" si="107"/>
        <v>0.0374424812307174</v>
      </c>
      <c r="AH238" s="10">
        <f t="shared" si="97"/>
        <v>0.0792488785814318</v>
      </c>
      <c r="AI238" s="10">
        <f t="shared" si="98"/>
        <v>3938.09523809524</v>
      </c>
      <c r="AJ238" s="10">
        <f t="shared" si="114"/>
        <v>1.96543003506407</v>
      </c>
      <c r="AK238" s="10">
        <f t="shared" si="111"/>
        <v>21.1806996272364</v>
      </c>
      <c r="AL238" s="10">
        <f t="shared" si="102"/>
        <v>0.417178237108951</v>
      </c>
      <c r="AM238" s="10">
        <f t="shared" si="106"/>
        <v>0.251795322684244</v>
      </c>
      <c r="AN238" s="10">
        <f t="shared" si="109"/>
        <v>2.21765326103329</v>
      </c>
    </row>
    <row r="239" ht="16" spans="1:40">
      <c r="A239" s="14">
        <v>2020</v>
      </c>
      <c r="B239" s="15">
        <v>310000</v>
      </c>
      <c r="C239" s="16" t="s">
        <v>64</v>
      </c>
      <c r="D239" s="24">
        <v>38963.3</v>
      </c>
      <c r="E239" s="25">
        <v>2488</v>
      </c>
      <c r="F239" s="26">
        <v>0.63</v>
      </c>
      <c r="G239" s="27">
        <v>2222</v>
      </c>
      <c r="H239" s="10">
        <v>825601</v>
      </c>
      <c r="I239" s="30">
        <v>8837.4762148696</v>
      </c>
      <c r="J239" s="31">
        <v>7996.37</v>
      </c>
      <c r="K239" s="24">
        <v>16156900</v>
      </c>
      <c r="L239" s="10">
        <v>1374</v>
      </c>
      <c r="M239" s="10">
        <v>34752.272</v>
      </c>
      <c r="N239" s="10">
        <v>1583.22</v>
      </c>
      <c r="O239" s="10">
        <v>3672.3274</v>
      </c>
      <c r="P239" s="19">
        <v>12916.6</v>
      </c>
      <c r="Q239" s="19">
        <v>138839</v>
      </c>
      <c r="R239" s="38">
        <v>78978.5</v>
      </c>
      <c r="S239" s="20">
        <v>15932.5</v>
      </c>
      <c r="T239" s="39">
        <v>9625.5</v>
      </c>
      <c r="U239" s="22">
        <v>34911</v>
      </c>
      <c r="V239" s="22">
        <v>76437</v>
      </c>
      <c r="W239" s="32">
        <v>156803</v>
      </c>
      <c r="X239" s="10">
        <v>155768.08</v>
      </c>
      <c r="Y239" s="10">
        <f t="shared" si="113"/>
        <v>0.226815393328327</v>
      </c>
      <c r="Z239" s="10">
        <f t="shared" si="103"/>
        <v>35520.4027928842</v>
      </c>
      <c r="AA239" s="10">
        <f t="shared" si="96"/>
        <v>0.893086816720257</v>
      </c>
      <c r="AB239" s="10">
        <f t="shared" si="110"/>
        <v>0.0331833199356913</v>
      </c>
      <c r="AC239" s="10">
        <f t="shared" si="108"/>
        <v>0.205228253253703</v>
      </c>
      <c r="AD239" s="10">
        <f t="shared" si="112"/>
        <v>0.0414669702001627</v>
      </c>
      <c r="AE239" s="10">
        <f t="shared" si="105"/>
        <v>7.2254814727823</v>
      </c>
      <c r="AF239" s="10">
        <f t="shared" si="115"/>
        <v>0.891923220055796</v>
      </c>
      <c r="AG239" s="10">
        <f t="shared" si="107"/>
        <v>0.040633621895476</v>
      </c>
      <c r="AH239" s="10">
        <f t="shared" si="97"/>
        <v>0.0942509335708218</v>
      </c>
      <c r="AI239" s="10">
        <f t="shared" si="98"/>
        <v>3949.20634920635</v>
      </c>
      <c r="AJ239" s="10">
        <f t="shared" si="114"/>
        <v>2.02699719992916</v>
      </c>
      <c r="AK239" s="10">
        <f t="shared" si="111"/>
        <v>21.3073388522242</v>
      </c>
      <c r="AL239" s="10">
        <f t="shared" si="102"/>
        <v>0.408910436231017</v>
      </c>
      <c r="AM239" s="10">
        <f t="shared" si="106"/>
        <v>0.247040163435849</v>
      </c>
      <c r="AN239" s="10">
        <f t="shared" si="109"/>
        <v>2.18948182521268</v>
      </c>
    </row>
    <row r="240" ht="16" spans="1:40">
      <c r="A240" s="14">
        <v>2021</v>
      </c>
      <c r="B240" s="15">
        <v>310000</v>
      </c>
      <c r="C240" s="16" t="s">
        <v>64</v>
      </c>
      <c r="D240" s="24">
        <v>43653.2</v>
      </c>
      <c r="E240" s="25">
        <v>2489</v>
      </c>
      <c r="F240" s="26">
        <v>0.63</v>
      </c>
      <c r="G240" s="27">
        <v>2223</v>
      </c>
      <c r="H240" s="10">
        <v>548733</v>
      </c>
      <c r="I240" s="30">
        <v>9544.47431205917</v>
      </c>
      <c r="J240" s="31">
        <v>8311.29</v>
      </c>
      <c r="K240" s="24">
        <v>18197700</v>
      </c>
      <c r="L240" s="10">
        <v>1365</v>
      </c>
      <c r="M240" s="10">
        <v>40548.968</v>
      </c>
      <c r="N240" s="10">
        <v>2545.49</v>
      </c>
      <c r="O240" s="10">
        <v>2266.5</v>
      </c>
      <c r="P240" s="19">
        <v>13082</v>
      </c>
      <c r="Q240" s="19">
        <v>154793</v>
      </c>
      <c r="R240" s="38">
        <v>89413.8</v>
      </c>
      <c r="S240" s="20">
        <v>18079.3</v>
      </c>
      <c r="T240" s="39">
        <v>10676.7</v>
      </c>
      <c r="U240" s="22">
        <v>38521</v>
      </c>
      <c r="V240" s="22">
        <v>82429</v>
      </c>
      <c r="W240" s="32">
        <v>175420</v>
      </c>
      <c r="X240" s="10">
        <v>173630</v>
      </c>
      <c r="Y240" s="10">
        <f t="shared" si="113"/>
        <v>0.218643176492426</v>
      </c>
      <c r="Z240" s="10">
        <f t="shared" si="103"/>
        <v>38346.6223867383</v>
      </c>
      <c r="AA240" s="10">
        <f t="shared" ref="AA240:AA271" si="116">G240/E240</f>
        <v>0.893129770992366</v>
      </c>
      <c r="AB240" s="10">
        <f t="shared" si="110"/>
        <v>0.0220463238248292</v>
      </c>
      <c r="AC240" s="10">
        <f t="shared" si="108"/>
        <v>0.190393602301779</v>
      </c>
      <c r="AD240" s="10">
        <f t="shared" si="112"/>
        <v>0.0416869782742159</v>
      </c>
      <c r="AE240" s="10">
        <f t="shared" si="105"/>
        <v>7.21890970761906</v>
      </c>
      <c r="AF240" s="10">
        <f t="shared" si="115"/>
        <v>0.92888878707632</v>
      </c>
      <c r="AG240" s="10">
        <f t="shared" si="107"/>
        <v>0.0583116472561004</v>
      </c>
      <c r="AH240" s="10">
        <f t="shared" si="97"/>
        <v>0.0519205923048024</v>
      </c>
      <c r="AI240" s="10">
        <f t="shared" si="98"/>
        <v>3950.79365079365</v>
      </c>
      <c r="AJ240" s="10">
        <f t="shared" si="114"/>
        <v>2.04827595685998</v>
      </c>
      <c r="AK240" s="10">
        <f t="shared" si="111"/>
        <v>21.4288365379982</v>
      </c>
      <c r="AL240" s="10">
        <f t="shared" si="102"/>
        <v>0.414157495899499</v>
      </c>
      <c r="AM240" s="10">
        <f t="shared" si="106"/>
        <v>0.244580007880293</v>
      </c>
      <c r="AN240" s="10">
        <f t="shared" si="109"/>
        <v>2.13984579839568</v>
      </c>
    </row>
    <row r="241" ht="16" spans="1:40">
      <c r="A241" s="14">
        <v>2022</v>
      </c>
      <c r="B241" s="15">
        <v>310000</v>
      </c>
      <c r="C241" s="16" t="s">
        <v>64</v>
      </c>
      <c r="D241" s="24">
        <v>44809.1</v>
      </c>
      <c r="E241" s="25">
        <v>2475</v>
      </c>
      <c r="F241" s="26">
        <v>0.63</v>
      </c>
      <c r="G241" s="27">
        <v>2211</v>
      </c>
      <c r="H241" s="10">
        <v>554807</v>
      </c>
      <c r="I241" s="30">
        <v>9449.02956893858</v>
      </c>
      <c r="J241" s="31">
        <v>9264.46</v>
      </c>
      <c r="K241" s="42">
        <v>19815784.9</v>
      </c>
      <c r="L241" s="10">
        <v>1347</v>
      </c>
      <c r="M241" s="10">
        <v>42092.606</v>
      </c>
      <c r="N241" s="10">
        <v>3870.73</v>
      </c>
      <c r="O241" s="10">
        <v>2425.2872</v>
      </c>
      <c r="P241" s="35">
        <v>13005</v>
      </c>
      <c r="Q241" s="35">
        <v>141059</v>
      </c>
      <c r="R241" s="38">
        <v>97366.55</v>
      </c>
      <c r="S241" s="20">
        <v>16442.1</v>
      </c>
      <c r="T241" s="39">
        <v>10736.9</v>
      </c>
      <c r="U241" s="22">
        <v>39729</v>
      </c>
      <c r="V241" s="22">
        <v>84034</v>
      </c>
      <c r="W241" s="32">
        <v>180536</v>
      </c>
      <c r="X241" s="10">
        <v>179907</v>
      </c>
      <c r="Y241" s="10">
        <f t="shared" si="113"/>
        <v>0.210873005013236</v>
      </c>
      <c r="Z241" s="10">
        <f t="shared" si="103"/>
        <v>38177.8972482367</v>
      </c>
      <c r="AA241" s="10">
        <f t="shared" si="116"/>
        <v>0.893333333333333</v>
      </c>
      <c r="AB241" s="10">
        <f t="shared" si="110"/>
        <v>0.0224164444444444</v>
      </c>
      <c r="AC241" s="10">
        <f t="shared" si="108"/>
        <v>0.206753985239605</v>
      </c>
      <c r="AD241" s="10">
        <f t="shared" si="112"/>
        <v>0.044222679991341</v>
      </c>
      <c r="AE241" s="10">
        <f t="shared" si="105"/>
        <v>7.20563517641036</v>
      </c>
      <c r="AF241" s="10">
        <f t="shared" si="115"/>
        <v>0.939376287405906</v>
      </c>
      <c r="AG241" s="10">
        <f t="shared" si="107"/>
        <v>0.0863826767330743</v>
      </c>
      <c r="AH241" s="10">
        <f t="shared" si="97"/>
        <v>0.0541248808835705</v>
      </c>
      <c r="AI241" s="10">
        <f t="shared" si="98"/>
        <v>3928.57142857143</v>
      </c>
      <c r="AJ241" s="10">
        <f t="shared" si="114"/>
        <v>2.17291911687581</v>
      </c>
      <c r="AK241" s="10">
        <f t="shared" si="111"/>
        <v>21.3300226994379</v>
      </c>
      <c r="AL241" s="10">
        <f t="shared" si="102"/>
        <v>0.366936626711985</v>
      </c>
      <c r="AM241" s="10">
        <f t="shared" si="106"/>
        <v>0.239614274779007</v>
      </c>
      <c r="AN241" s="10">
        <f t="shared" si="109"/>
        <v>2.11518034684991</v>
      </c>
    </row>
    <row r="242" ht="16" spans="1:40">
      <c r="A242" s="14">
        <v>2013</v>
      </c>
      <c r="B242" s="15">
        <v>510000</v>
      </c>
      <c r="C242" s="16" t="s">
        <v>65</v>
      </c>
      <c r="D242" s="24">
        <v>26518</v>
      </c>
      <c r="E242" s="25">
        <v>8109</v>
      </c>
      <c r="F242" s="26">
        <v>48.61</v>
      </c>
      <c r="G242" s="27">
        <v>3646</v>
      </c>
      <c r="H242" s="10">
        <v>1270818</v>
      </c>
      <c r="I242" s="30">
        <v>20326.1</v>
      </c>
      <c r="J242" s="31">
        <v>6217.95</v>
      </c>
      <c r="K242" s="24">
        <v>3999702.3</v>
      </c>
      <c r="L242" s="10">
        <v>4634</v>
      </c>
      <c r="M242" s="10">
        <v>3999.2377</v>
      </c>
      <c r="N242" s="10">
        <v>148.58</v>
      </c>
      <c r="O242" s="10">
        <v>842.8329</v>
      </c>
      <c r="P242" s="19">
        <v>301816</v>
      </c>
      <c r="Q242" s="19">
        <v>167759</v>
      </c>
      <c r="R242" s="38">
        <v>29542.74</v>
      </c>
      <c r="S242" s="20">
        <v>11001</v>
      </c>
      <c r="T242" s="39">
        <v>10309</v>
      </c>
      <c r="U242" s="22">
        <v>8381</v>
      </c>
      <c r="V242" s="22">
        <v>22228</v>
      </c>
      <c r="W242" s="32">
        <v>32750</v>
      </c>
      <c r="X242" s="10">
        <v>32617</v>
      </c>
      <c r="Y242" s="10">
        <f t="shared" si="113"/>
        <v>0.766501998642432</v>
      </c>
      <c r="Z242" s="10">
        <f t="shared" si="103"/>
        <v>25066.0993957331</v>
      </c>
      <c r="AA242" s="10">
        <f t="shared" si="116"/>
        <v>0.449623874707116</v>
      </c>
      <c r="AB242" s="10">
        <f t="shared" si="110"/>
        <v>0.0156716981132075</v>
      </c>
      <c r="AC242" s="10">
        <f t="shared" si="108"/>
        <v>0.234480352967795</v>
      </c>
      <c r="AD242" s="10">
        <f t="shared" si="112"/>
        <v>0.0150829711893808</v>
      </c>
      <c r="AE242" s="10">
        <f t="shared" si="105"/>
        <v>8.44117570499232</v>
      </c>
      <c r="AF242" s="10">
        <f t="shared" si="115"/>
        <v>0.150812191718833</v>
      </c>
      <c r="AG242" s="10">
        <f t="shared" si="107"/>
        <v>0.00560298665057697</v>
      </c>
      <c r="AH242" s="10">
        <f t="shared" si="97"/>
        <v>0.0317834263519119</v>
      </c>
      <c r="AI242" s="10">
        <f t="shared" si="98"/>
        <v>166.817527257766</v>
      </c>
      <c r="AJ242" s="10">
        <f t="shared" si="114"/>
        <v>1.11406365487593</v>
      </c>
      <c r="AK242" s="10">
        <f t="shared" si="111"/>
        <v>24.647856543814</v>
      </c>
      <c r="AL242" s="10">
        <f t="shared" si="102"/>
        <v>0.414850290368806</v>
      </c>
      <c r="AM242" s="10">
        <f t="shared" si="106"/>
        <v>0.388754808054906</v>
      </c>
      <c r="AN242" s="10">
        <f t="shared" si="109"/>
        <v>2.65218947619616</v>
      </c>
    </row>
    <row r="243" ht="16" spans="1:40">
      <c r="A243" s="14">
        <v>2014</v>
      </c>
      <c r="B243" s="15">
        <v>510000</v>
      </c>
      <c r="C243" s="16" t="s">
        <v>65</v>
      </c>
      <c r="D243" s="24">
        <v>28891.3</v>
      </c>
      <c r="E243" s="25">
        <v>8139</v>
      </c>
      <c r="F243" s="26">
        <v>48.61</v>
      </c>
      <c r="G243" s="27">
        <v>3785</v>
      </c>
      <c r="H243" s="10">
        <v>1328329</v>
      </c>
      <c r="I243" s="30">
        <v>23318.57</v>
      </c>
      <c r="J243" s="31">
        <v>6792.4</v>
      </c>
      <c r="K243" s="24">
        <v>4493285.12</v>
      </c>
      <c r="L243" s="10">
        <v>4638</v>
      </c>
      <c r="M243" s="10">
        <v>4312.428</v>
      </c>
      <c r="N243" s="10">
        <v>199.05</v>
      </c>
      <c r="O243" s="10">
        <v>1026.9734</v>
      </c>
      <c r="P243" s="19">
        <v>309742</v>
      </c>
      <c r="Q243" s="19">
        <v>159034</v>
      </c>
      <c r="R243" s="38">
        <v>33884.06</v>
      </c>
      <c r="S243" s="20">
        <v>12393</v>
      </c>
      <c r="T243" s="39">
        <v>10703.8</v>
      </c>
      <c r="U243" s="22">
        <v>9348</v>
      </c>
      <c r="V243" s="22">
        <v>24234</v>
      </c>
      <c r="W243" s="32">
        <v>35563</v>
      </c>
      <c r="X243" s="10">
        <v>35128</v>
      </c>
      <c r="Y243" s="10">
        <f t="shared" si="113"/>
        <v>0.807113906262439</v>
      </c>
      <c r="Z243" s="10">
        <f t="shared" si="103"/>
        <v>28650.4115984765</v>
      </c>
      <c r="AA243" s="10">
        <f t="shared" si="116"/>
        <v>0.465044845804153</v>
      </c>
      <c r="AB243" s="10">
        <f t="shared" si="110"/>
        <v>0.0163205430642585</v>
      </c>
      <c r="AC243" s="10">
        <f t="shared" si="108"/>
        <v>0.235101916493893</v>
      </c>
      <c r="AD243" s="10">
        <f t="shared" si="112"/>
        <v>0.0155523812358738</v>
      </c>
      <c r="AE243" s="10">
        <f t="shared" si="105"/>
        <v>8.44203851781548</v>
      </c>
      <c r="AF243" s="10">
        <f t="shared" si="115"/>
        <v>0.149263896051753</v>
      </c>
      <c r="AG243" s="10">
        <f t="shared" si="107"/>
        <v>0.0068896172896339</v>
      </c>
      <c r="AH243" s="10">
        <f t="shared" si="97"/>
        <v>0.0355461124975339</v>
      </c>
      <c r="AI243" s="10">
        <f t="shared" si="98"/>
        <v>167.434684221354</v>
      </c>
      <c r="AJ243" s="10">
        <f t="shared" si="114"/>
        <v>1.17281188454656</v>
      </c>
      <c r="AK243" s="10">
        <f t="shared" si="111"/>
        <v>24.6203682666984</v>
      </c>
      <c r="AL243" s="10">
        <f t="shared" si="102"/>
        <v>0.42895266048949</v>
      </c>
      <c r="AM243" s="10">
        <f t="shared" si="106"/>
        <v>0.370485232578666</v>
      </c>
      <c r="AN243" s="10">
        <f t="shared" si="109"/>
        <v>2.59242618741977</v>
      </c>
    </row>
    <row r="244" ht="16" spans="1:40">
      <c r="A244" s="14">
        <v>2015</v>
      </c>
      <c r="B244" s="15">
        <v>510000</v>
      </c>
      <c r="C244" s="16" t="s">
        <v>65</v>
      </c>
      <c r="D244" s="24">
        <v>30342</v>
      </c>
      <c r="E244" s="25">
        <v>8196</v>
      </c>
      <c r="F244" s="26">
        <v>48.61</v>
      </c>
      <c r="G244" s="27">
        <v>3956</v>
      </c>
      <c r="H244" s="10">
        <v>1387889</v>
      </c>
      <c r="I244" s="30">
        <v>25525.9</v>
      </c>
      <c r="J244" s="31">
        <v>7491.11</v>
      </c>
      <c r="K244" s="24">
        <v>5028760.8</v>
      </c>
      <c r="L244" s="10">
        <v>4652</v>
      </c>
      <c r="M244" s="10">
        <v>3188.2283</v>
      </c>
      <c r="N244" s="10">
        <v>282.32</v>
      </c>
      <c r="O244" s="10">
        <v>1297.5902</v>
      </c>
      <c r="P244" s="19">
        <v>315582</v>
      </c>
      <c r="Q244" s="19">
        <v>154597</v>
      </c>
      <c r="R244" s="38">
        <v>38011.83</v>
      </c>
      <c r="S244" s="20">
        <v>13834.4</v>
      </c>
      <c r="T244" s="39">
        <v>10735</v>
      </c>
      <c r="U244" s="22">
        <v>10247</v>
      </c>
      <c r="V244" s="22">
        <v>26205</v>
      </c>
      <c r="W244" s="32">
        <v>37150</v>
      </c>
      <c r="X244" s="10">
        <v>36775</v>
      </c>
      <c r="Y244" s="10">
        <f t="shared" si="113"/>
        <v>0.84127282314943</v>
      </c>
      <c r="Z244" s="10">
        <f t="shared" si="103"/>
        <v>31144.3387018058</v>
      </c>
      <c r="AA244" s="10">
        <f t="shared" si="116"/>
        <v>0.482674475353831</v>
      </c>
      <c r="AB244" s="10">
        <f t="shared" si="110"/>
        <v>0.0169337359687653</v>
      </c>
      <c r="AC244" s="10">
        <f t="shared" si="108"/>
        <v>0.246889130578077</v>
      </c>
      <c r="AD244" s="10">
        <f t="shared" si="112"/>
        <v>0.0165735969942654</v>
      </c>
      <c r="AE244" s="10">
        <f t="shared" si="105"/>
        <v>8.44505251363856</v>
      </c>
      <c r="AF244" s="10">
        <f t="shared" si="115"/>
        <v>0.105076405642344</v>
      </c>
      <c r="AG244" s="10">
        <f t="shared" si="107"/>
        <v>0.00930459429174082</v>
      </c>
      <c r="AH244" s="10">
        <f t="shared" si="97"/>
        <v>0.0427654801924725</v>
      </c>
      <c r="AI244" s="10">
        <f t="shared" si="98"/>
        <v>168.60728245217</v>
      </c>
      <c r="AJ244" s="10">
        <f t="shared" si="114"/>
        <v>1.25277931579988</v>
      </c>
      <c r="AK244" s="10">
        <f t="shared" si="111"/>
        <v>24.6107508421381</v>
      </c>
      <c r="AL244" s="10">
        <f t="shared" si="102"/>
        <v>0.455948849779184</v>
      </c>
      <c r="AM244" s="10">
        <f t="shared" si="106"/>
        <v>0.353800013183047</v>
      </c>
      <c r="AN244" s="10">
        <f t="shared" si="109"/>
        <v>2.55733385381087</v>
      </c>
    </row>
    <row r="245" ht="16" spans="1:40">
      <c r="A245" s="14">
        <v>2016</v>
      </c>
      <c r="B245" s="15">
        <v>510000</v>
      </c>
      <c r="C245" s="16" t="s">
        <v>65</v>
      </c>
      <c r="D245" s="24">
        <v>33138.5</v>
      </c>
      <c r="E245" s="25">
        <v>8251</v>
      </c>
      <c r="F245" s="26">
        <v>48.61</v>
      </c>
      <c r="G245" s="27">
        <v>4126</v>
      </c>
      <c r="H245" s="10">
        <v>1446559</v>
      </c>
      <c r="I245" s="30">
        <v>28811.95</v>
      </c>
      <c r="J245" s="31">
        <v>8001.85</v>
      </c>
      <c r="K245" s="24">
        <v>5614193</v>
      </c>
      <c r="L245" s="10">
        <v>4657</v>
      </c>
      <c r="M245" s="10">
        <v>3275.0692</v>
      </c>
      <c r="N245" s="10">
        <v>299.3</v>
      </c>
      <c r="O245" s="10">
        <v>913.9676</v>
      </c>
      <c r="P245" s="19">
        <v>324138</v>
      </c>
      <c r="Q245" s="19">
        <v>160970</v>
      </c>
      <c r="R245" s="38">
        <v>42828.13</v>
      </c>
      <c r="S245" s="20">
        <v>15519.7</v>
      </c>
      <c r="T245" s="39">
        <v>10790.9</v>
      </c>
      <c r="U245" s="22">
        <v>11203</v>
      </c>
      <c r="V245" s="22">
        <v>28335</v>
      </c>
      <c r="W245" s="32">
        <v>40297</v>
      </c>
      <c r="X245" s="10">
        <v>40003</v>
      </c>
      <c r="Y245" s="10">
        <f t="shared" si="113"/>
        <v>0.869440379015345</v>
      </c>
      <c r="Z245" s="10">
        <f t="shared" si="103"/>
        <v>34919.3431099261</v>
      </c>
      <c r="AA245" s="10">
        <f t="shared" si="116"/>
        <v>0.500060598715307</v>
      </c>
      <c r="AB245" s="10">
        <f t="shared" si="110"/>
        <v>0.0175319234032239</v>
      </c>
      <c r="AC245" s="10">
        <f t="shared" si="108"/>
        <v>0.241466873877816</v>
      </c>
      <c r="AD245" s="10">
        <f t="shared" si="112"/>
        <v>0.0169416026675921</v>
      </c>
      <c r="AE245" s="10">
        <f t="shared" si="105"/>
        <v>8.44612674298238</v>
      </c>
      <c r="AF245" s="10">
        <f t="shared" si="115"/>
        <v>0.0988297358057848</v>
      </c>
      <c r="AG245" s="10">
        <f t="shared" si="107"/>
        <v>0.00903179081732728</v>
      </c>
      <c r="AH245" s="10">
        <f t="shared" si="97"/>
        <v>0.02758023447048</v>
      </c>
      <c r="AI245" s="10">
        <f t="shared" si="98"/>
        <v>169.738736885415</v>
      </c>
      <c r="AJ245" s="10">
        <f t="shared" si="114"/>
        <v>1.29239796611192</v>
      </c>
      <c r="AK245" s="10">
        <f t="shared" si="111"/>
        <v>24.67789792122</v>
      </c>
      <c r="AL245" s="10">
        <f t="shared" si="102"/>
        <v>0.468328379377461</v>
      </c>
      <c r="AM245" s="10">
        <f t="shared" si="106"/>
        <v>0.325630309157023</v>
      </c>
      <c r="AN245" s="10">
        <f t="shared" ref="AN245:AN274" si="117">V245/U245</f>
        <v>2.52923324109613</v>
      </c>
    </row>
    <row r="246" ht="16" spans="1:40">
      <c r="A246" s="14">
        <v>2017</v>
      </c>
      <c r="B246" s="15">
        <v>510000</v>
      </c>
      <c r="C246" s="16" t="s">
        <v>65</v>
      </c>
      <c r="D246" s="24">
        <v>37905.1</v>
      </c>
      <c r="E246" s="25">
        <v>8289</v>
      </c>
      <c r="F246" s="26">
        <v>48.61</v>
      </c>
      <c r="G246" s="27">
        <v>4292</v>
      </c>
      <c r="H246" s="10">
        <v>1499715</v>
      </c>
      <c r="I246" s="30">
        <v>31902.09</v>
      </c>
      <c r="J246" s="31">
        <v>8688.34</v>
      </c>
      <c r="K246" s="24">
        <v>6378499.6</v>
      </c>
      <c r="L246" s="10">
        <v>4667</v>
      </c>
      <c r="M246" s="10">
        <v>4598.3848</v>
      </c>
      <c r="N246" s="10">
        <v>405.83</v>
      </c>
      <c r="O246" s="10">
        <v>1515.2495</v>
      </c>
      <c r="P246" s="19">
        <v>329950</v>
      </c>
      <c r="Q246" s="19">
        <v>172922</v>
      </c>
      <c r="R246" s="38">
        <v>48124.44</v>
      </c>
      <c r="S246" s="20">
        <v>17404.4</v>
      </c>
      <c r="T246" s="39">
        <v>11437.8</v>
      </c>
      <c r="U246" s="22">
        <v>12227</v>
      </c>
      <c r="V246" s="22">
        <v>30727</v>
      </c>
      <c r="W246" s="32">
        <v>45835</v>
      </c>
      <c r="X246" s="10">
        <v>44651.32</v>
      </c>
      <c r="Y246" s="10">
        <f t="shared" si="113"/>
        <v>0.841630545757695</v>
      </c>
      <c r="Z246" s="10">
        <f t="shared" si="103"/>
        <v>38487.2602243938</v>
      </c>
      <c r="AA246" s="10">
        <f t="shared" si="116"/>
        <v>0.517794667631801</v>
      </c>
      <c r="AB246" s="10">
        <f t="shared" si="110"/>
        <v>0.0180928338762215</v>
      </c>
      <c r="AC246" s="10">
        <f t="shared" si="108"/>
        <v>0.229212955512583</v>
      </c>
      <c r="AD246" s="10">
        <f t="shared" si="112"/>
        <v>0.0168275498547689</v>
      </c>
      <c r="AE246" s="10">
        <f t="shared" si="105"/>
        <v>8.44827174594982</v>
      </c>
      <c r="AF246" s="10">
        <f t="shared" si="115"/>
        <v>0.121313089795305</v>
      </c>
      <c r="AG246" s="10">
        <f t="shared" si="107"/>
        <v>0.0107064748543072</v>
      </c>
      <c r="AH246" s="10">
        <f t="shared" si="97"/>
        <v>0.0399748186919438</v>
      </c>
      <c r="AI246" s="10">
        <f t="shared" si="98"/>
        <v>170.520469039292</v>
      </c>
      <c r="AJ246" s="10">
        <f t="shared" si="114"/>
        <v>1.26960329876455</v>
      </c>
      <c r="AK246" s="10">
        <f t="shared" si="111"/>
        <v>24.7672923115684</v>
      </c>
      <c r="AL246" s="10">
        <f t="shared" si="102"/>
        <v>0.459157211034927</v>
      </c>
      <c r="AM246" s="10">
        <f t="shared" si="106"/>
        <v>0.301748313551475</v>
      </c>
      <c r="AN246" s="10">
        <f t="shared" si="117"/>
        <v>2.51304490062975</v>
      </c>
    </row>
    <row r="247" ht="16" spans="1:40">
      <c r="A247" s="14">
        <v>2018</v>
      </c>
      <c r="B247" s="15">
        <v>510000</v>
      </c>
      <c r="C247" s="16" t="s">
        <v>65</v>
      </c>
      <c r="D247" s="24">
        <v>42902.1</v>
      </c>
      <c r="E247" s="25">
        <v>8321</v>
      </c>
      <c r="F247" s="26">
        <v>48.61</v>
      </c>
      <c r="G247" s="27">
        <v>4452</v>
      </c>
      <c r="H247" s="10">
        <v>1564710</v>
      </c>
      <c r="I247" s="30">
        <v>35156.10318</v>
      </c>
      <c r="J247" s="31">
        <v>9700.13</v>
      </c>
      <c r="K247" s="24">
        <v>7370813.2</v>
      </c>
      <c r="L247" s="10">
        <v>4690</v>
      </c>
      <c r="M247" s="10">
        <v>5950.4413</v>
      </c>
      <c r="N247" s="10">
        <v>996.7</v>
      </c>
      <c r="O247" s="10">
        <v>3645.5999</v>
      </c>
      <c r="P247" s="19">
        <v>331592</v>
      </c>
      <c r="Q247" s="19">
        <v>187385</v>
      </c>
      <c r="R247" s="38">
        <v>54097.84</v>
      </c>
      <c r="S247" s="20">
        <v>19340.7</v>
      </c>
      <c r="T247" s="39">
        <v>12360.1</v>
      </c>
      <c r="U247" s="22">
        <v>13331</v>
      </c>
      <c r="V247" s="22">
        <v>33216</v>
      </c>
      <c r="W247" s="32">
        <v>51658</v>
      </c>
      <c r="X247" s="10">
        <v>48883.1701</v>
      </c>
      <c r="Y247" s="10">
        <f t="shared" si="113"/>
        <v>0.819449471704182</v>
      </c>
      <c r="Z247" s="10">
        <f t="shared" si="103"/>
        <v>42249.853599327</v>
      </c>
      <c r="AA247" s="10">
        <f t="shared" si="116"/>
        <v>0.535031847133758</v>
      </c>
      <c r="AB247" s="10">
        <f t="shared" si="110"/>
        <v>0.0188043504386492</v>
      </c>
      <c r="AC247" s="10">
        <f t="shared" si="108"/>
        <v>0.226099188617807</v>
      </c>
      <c r="AD247" s="10">
        <f t="shared" si="112"/>
        <v>0.0171805417450428</v>
      </c>
      <c r="AE247" s="10">
        <f t="shared" si="105"/>
        <v>8.45318786144033</v>
      </c>
      <c r="AF247" s="10">
        <f t="shared" si="115"/>
        <v>0.138698135988681</v>
      </c>
      <c r="AG247" s="10">
        <f t="shared" si="107"/>
        <v>0.023231963004142</v>
      </c>
      <c r="AH247" s="10">
        <f t="shared" si="97"/>
        <v>0.0849748590395342</v>
      </c>
      <c r="AI247" s="10">
        <f t="shared" si="98"/>
        <v>171.178769800453</v>
      </c>
      <c r="AJ247" s="10">
        <f t="shared" si="114"/>
        <v>1.26096018609812</v>
      </c>
      <c r="AK247" s="10">
        <f t="shared" si="111"/>
        <v>24.8525811793933</v>
      </c>
      <c r="AL247" s="10">
        <f t="shared" si="102"/>
        <v>0.450810100204885</v>
      </c>
      <c r="AM247" s="10">
        <f t="shared" si="106"/>
        <v>0.288100116311323</v>
      </c>
      <c r="AN247" s="10">
        <f t="shared" si="117"/>
        <v>2.49163603630635</v>
      </c>
    </row>
    <row r="248" ht="16" spans="1:40">
      <c r="A248" s="14">
        <v>2019</v>
      </c>
      <c r="B248" s="15">
        <v>510000</v>
      </c>
      <c r="C248" s="16" t="s">
        <v>65</v>
      </c>
      <c r="D248" s="24">
        <v>46363.8</v>
      </c>
      <c r="E248" s="25">
        <v>8351</v>
      </c>
      <c r="F248" s="26">
        <v>48.61</v>
      </c>
      <c r="G248" s="27">
        <v>4623</v>
      </c>
      <c r="H248" s="10">
        <v>1661737</v>
      </c>
      <c r="I248" s="30">
        <v>38179.52805348</v>
      </c>
      <c r="J248" s="31">
        <v>10264.78</v>
      </c>
      <c r="K248" s="24">
        <v>8709514.7</v>
      </c>
      <c r="L248" s="10">
        <v>4714</v>
      </c>
      <c r="M248" s="10">
        <v>6788.1697</v>
      </c>
      <c r="N248" s="10">
        <v>1211.95</v>
      </c>
      <c r="O248" s="10">
        <v>5612.7102</v>
      </c>
      <c r="P248" s="19">
        <v>337095</v>
      </c>
      <c r="Q248" s="19">
        <v>177283</v>
      </c>
      <c r="R248" s="38">
        <v>61089.01</v>
      </c>
      <c r="S248" s="20">
        <v>21343</v>
      </c>
      <c r="T248" s="39">
        <v>13165.9</v>
      </c>
      <c r="U248" s="22">
        <v>14670</v>
      </c>
      <c r="V248" s="22">
        <v>36154</v>
      </c>
      <c r="W248" s="32">
        <v>55619</v>
      </c>
      <c r="X248" s="10">
        <v>55774</v>
      </c>
      <c r="Y248" s="10">
        <f t="shared" si="113"/>
        <v>0.823477110449963</v>
      </c>
      <c r="Z248" s="10">
        <f t="shared" si="103"/>
        <v>45718.5104220812</v>
      </c>
      <c r="AA248" s="10">
        <f t="shared" si="116"/>
        <v>0.553586396838702</v>
      </c>
      <c r="AB248" s="10">
        <f t="shared" si="110"/>
        <v>0.0198986588432523</v>
      </c>
      <c r="AC248" s="10">
        <f t="shared" si="108"/>
        <v>0.221396434287095</v>
      </c>
      <c r="AD248" s="10">
        <f t="shared" si="112"/>
        <v>0.0187851614837438</v>
      </c>
      <c r="AE248" s="10">
        <f t="shared" si="105"/>
        <v>8.45829208349608</v>
      </c>
      <c r="AF248" s="10">
        <f t="shared" si="115"/>
        <v>0.146410986588675</v>
      </c>
      <c r="AG248" s="10">
        <f t="shared" si="107"/>
        <v>0.0261400057803718</v>
      </c>
      <c r="AH248" s="10">
        <f t="shared" si="97"/>
        <v>0.121058028030489</v>
      </c>
      <c r="AI248" s="10">
        <f t="shared" si="98"/>
        <v>171.79592676404</v>
      </c>
      <c r="AJ248" s="10">
        <f t="shared" si="114"/>
        <v>1.31760144768117</v>
      </c>
      <c r="AK248" s="10">
        <f t="shared" si="111"/>
        <v>24.8136226734987</v>
      </c>
      <c r="AL248" s="10">
        <f t="shared" si="102"/>
        <v>0.460337590965365</v>
      </c>
      <c r="AM248" s="10">
        <f t="shared" si="106"/>
        <v>0.283969389911957</v>
      </c>
      <c r="AN248" s="10">
        <f t="shared" si="117"/>
        <v>2.46448534423995</v>
      </c>
    </row>
    <row r="249" ht="16" spans="1:40">
      <c r="A249" s="14">
        <v>2020</v>
      </c>
      <c r="B249" s="15">
        <v>510000</v>
      </c>
      <c r="C249" s="16" t="s">
        <v>65</v>
      </c>
      <c r="D249" s="24">
        <v>48501.6</v>
      </c>
      <c r="E249" s="25">
        <v>8371</v>
      </c>
      <c r="F249" s="26">
        <v>48.61</v>
      </c>
      <c r="G249" s="27">
        <v>4749</v>
      </c>
      <c r="H249" s="10">
        <v>1800903</v>
      </c>
      <c r="I249" s="30">
        <v>39248.5548389775</v>
      </c>
      <c r="J249" s="31">
        <v>11023.56</v>
      </c>
      <c r="K249" s="24">
        <v>10552846.11</v>
      </c>
      <c r="L249" s="10">
        <v>4745</v>
      </c>
      <c r="M249" s="10">
        <v>8063.1682</v>
      </c>
      <c r="N249" s="10">
        <v>1244.59</v>
      </c>
      <c r="O249" s="10">
        <v>8064.4271</v>
      </c>
      <c r="P249" s="19">
        <v>394371</v>
      </c>
      <c r="Q249" s="19">
        <v>171896</v>
      </c>
      <c r="R249" s="38">
        <v>69504.9</v>
      </c>
      <c r="S249" s="20">
        <v>20824.9</v>
      </c>
      <c r="T249" s="39">
        <v>13401</v>
      </c>
      <c r="U249" s="22">
        <v>15929</v>
      </c>
      <c r="V249" s="22">
        <v>38253</v>
      </c>
      <c r="W249" s="32">
        <v>58009</v>
      </c>
      <c r="X249" s="10">
        <v>58125.54</v>
      </c>
      <c r="Y249" s="10">
        <f t="shared" si="113"/>
        <v>0.809221857402178</v>
      </c>
      <c r="Z249" s="10">
        <f t="shared" si="103"/>
        <v>46886.339551998</v>
      </c>
      <c r="AA249" s="10">
        <f t="shared" si="116"/>
        <v>0.567315732887349</v>
      </c>
      <c r="AB249" s="10">
        <f t="shared" si="110"/>
        <v>0.0215135945526221</v>
      </c>
      <c r="AC249" s="10">
        <f t="shared" si="108"/>
        <v>0.227282398931169</v>
      </c>
      <c r="AD249" s="10">
        <f t="shared" si="112"/>
        <v>0.0217577278069177</v>
      </c>
      <c r="AE249" s="10">
        <f t="shared" si="105"/>
        <v>8.46484671104403</v>
      </c>
      <c r="AF249" s="10">
        <f t="shared" si="115"/>
        <v>0.166245406337111</v>
      </c>
      <c r="AG249" s="10">
        <f t="shared" si="107"/>
        <v>0.0256608029425833</v>
      </c>
      <c r="AH249" s="10">
        <f t="shared" si="97"/>
        <v>0.166271362181866</v>
      </c>
      <c r="AI249" s="10">
        <f t="shared" si="98"/>
        <v>172.207364739765</v>
      </c>
      <c r="AJ249" s="10">
        <f t="shared" si="114"/>
        <v>1.43304344598941</v>
      </c>
      <c r="AK249" s="10">
        <f t="shared" si="111"/>
        <v>24.939692291353</v>
      </c>
      <c r="AL249" s="10">
        <f t="shared" si="102"/>
        <v>0.42936521681759</v>
      </c>
      <c r="AM249" s="10">
        <f t="shared" si="106"/>
        <v>0.276300163293582</v>
      </c>
      <c r="AN249" s="10">
        <f t="shared" si="117"/>
        <v>2.4014690187708</v>
      </c>
    </row>
    <row r="250" ht="16" spans="1:40">
      <c r="A250" s="14">
        <v>2021</v>
      </c>
      <c r="B250" s="15">
        <v>510000</v>
      </c>
      <c r="C250" s="16" t="s">
        <v>65</v>
      </c>
      <c r="D250" s="24">
        <v>54088</v>
      </c>
      <c r="E250" s="25">
        <v>8372</v>
      </c>
      <c r="F250" s="26">
        <v>48.61</v>
      </c>
      <c r="G250" s="27">
        <v>4841</v>
      </c>
      <c r="H250" s="10">
        <v>1920825</v>
      </c>
      <c r="I250" s="30">
        <v>41564.2195744771</v>
      </c>
      <c r="J250" s="31">
        <v>11073.65</v>
      </c>
      <c r="K250" s="24">
        <v>12145208.6</v>
      </c>
      <c r="L250" s="10">
        <v>4727</v>
      </c>
      <c r="M250" s="10">
        <v>9511.4464</v>
      </c>
      <c r="N250" s="10">
        <v>1388.69</v>
      </c>
      <c r="O250" s="10">
        <v>1321.61</v>
      </c>
      <c r="P250" s="19">
        <v>398899</v>
      </c>
      <c r="Q250" s="19">
        <v>184312</v>
      </c>
      <c r="R250" s="38">
        <v>78963.9</v>
      </c>
      <c r="S250" s="20">
        <v>24133.2</v>
      </c>
      <c r="T250" s="39">
        <v>15546.1</v>
      </c>
      <c r="U250" s="22">
        <v>17575</v>
      </c>
      <c r="V250" s="22">
        <v>41444</v>
      </c>
      <c r="W250" s="32">
        <v>64610</v>
      </c>
      <c r="X250" s="10">
        <v>64326</v>
      </c>
      <c r="Y250" s="10">
        <f t="shared" si="113"/>
        <v>0.768455472091353</v>
      </c>
      <c r="Z250" s="10">
        <f t="shared" si="103"/>
        <v>49646.7027884342</v>
      </c>
      <c r="AA250" s="10">
        <f t="shared" si="116"/>
        <v>0.578236980410893</v>
      </c>
      <c r="AB250" s="10">
        <f t="shared" ref="AB250:AB280" si="118">H250/(E250*10000)</f>
        <v>0.0229434424271381</v>
      </c>
      <c r="AC250" s="10">
        <f t="shared" si="108"/>
        <v>0.204733952078095</v>
      </c>
      <c r="AD250" s="10">
        <f t="shared" si="112"/>
        <v>0.0224545344623576</v>
      </c>
      <c r="AE250" s="10">
        <f t="shared" si="105"/>
        <v>8.46104603079324</v>
      </c>
      <c r="AF250" s="10">
        <f t="shared" si="115"/>
        <v>0.175851323768673</v>
      </c>
      <c r="AG250" s="10">
        <f t="shared" si="107"/>
        <v>0.0256746413252477</v>
      </c>
      <c r="AH250" s="10">
        <f t="shared" si="97"/>
        <v>0.0244344401715723</v>
      </c>
      <c r="AI250" s="10">
        <f t="shared" si="98"/>
        <v>172.227936638552</v>
      </c>
      <c r="AJ250" s="10">
        <f t="shared" si="114"/>
        <v>1.45991532317704</v>
      </c>
      <c r="AK250" s="10">
        <f t="shared" si="111"/>
        <v>25.0208487837664</v>
      </c>
      <c r="AL250" s="10">
        <f t="shared" ref="AL250:AL272" si="119">S250/D250</f>
        <v>0.446183996450229</v>
      </c>
      <c r="AM250" s="10">
        <f t="shared" si="106"/>
        <v>0.287422348764976</v>
      </c>
      <c r="AN250" s="10">
        <f t="shared" si="117"/>
        <v>2.35812233285918</v>
      </c>
    </row>
    <row r="251" ht="16" spans="1:40">
      <c r="A251" s="14">
        <v>2022</v>
      </c>
      <c r="B251" s="15">
        <v>510000</v>
      </c>
      <c r="C251" s="16" t="s">
        <v>65</v>
      </c>
      <c r="D251" s="24">
        <v>56610.2</v>
      </c>
      <c r="E251" s="25">
        <v>8374</v>
      </c>
      <c r="F251" s="26">
        <v>48.61</v>
      </c>
      <c r="G251" s="27">
        <v>4886</v>
      </c>
      <c r="H251" s="10">
        <v>2051526</v>
      </c>
      <c r="I251" s="30">
        <v>44058.0727489457</v>
      </c>
      <c r="J251" s="31">
        <v>11776.46</v>
      </c>
      <c r="K251" s="24">
        <v>12150136</v>
      </c>
      <c r="L251" s="10">
        <v>4706</v>
      </c>
      <c r="M251" s="10">
        <v>10135.56</v>
      </c>
      <c r="N251" s="10">
        <v>1643.53</v>
      </c>
      <c r="O251" s="10">
        <v>1356.7428</v>
      </c>
      <c r="P251" s="35">
        <v>405390</v>
      </c>
      <c r="Q251" s="35">
        <v>186423</v>
      </c>
      <c r="R251" s="38">
        <v>90963.3</v>
      </c>
      <c r="S251" s="20">
        <v>24104.6</v>
      </c>
      <c r="T251" s="39">
        <v>16188.7</v>
      </c>
      <c r="U251" s="22">
        <v>18672</v>
      </c>
      <c r="V251" s="22">
        <v>43233</v>
      </c>
      <c r="W251" s="32">
        <v>67610</v>
      </c>
      <c r="X251" s="10">
        <v>67777</v>
      </c>
      <c r="Y251" s="10">
        <f t="shared" si="113"/>
        <v>0.778270925538961</v>
      </c>
      <c r="Z251" s="10">
        <f t="shared" si="103"/>
        <v>52612.9361702241</v>
      </c>
      <c r="AA251" s="10">
        <f t="shared" si="116"/>
        <v>0.583472653451158</v>
      </c>
      <c r="AB251" s="10">
        <f t="shared" si="118"/>
        <v>0.024498758060664</v>
      </c>
      <c r="AC251" s="10">
        <f t="shared" si="108"/>
        <v>0.208027175314696</v>
      </c>
      <c r="AD251" s="10">
        <f t="shared" si="112"/>
        <v>0.02146280352304</v>
      </c>
      <c r="AE251" s="10">
        <f t="shared" si="105"/>
        <v>8.45659356928731</v>
      </c>
      <c r="AF251" s="10">
        <f t="shared" si="115"/>
        <v>0.17904123285203</v>
      </c>
      <c r="AG251" s="10">
        <f t="shared" si="107"/>
        <v>0.0290324005214608</v>
      </c>
      <c r="AH251" s="10">
        <f t="shared" si="97"/>
        <v>0.023966401814514</v>
      </c>
      <c r="AI251" s="10">
        <f t="shared" si="98"/>
        <v>172.269080436124</v>
      </c>
      <c r="AJ251" s="10">
        <f t="shared" si="114"/>
        <v>1.60683587056749</v>
      </c>
      <c r="AK251" s="10">
        <f t="shared" si="111"/>
        <v>25.0483784098798</v>
      </c>
      <c r="AL251" s="10">
        <f t="shared" si="119"/>
        <v>0.425799590886448</v>
      </c>
      <c r="AM251" s="10">
        <f t="shared" si="106"/>
        <v>0.285967899777779</v>
      </c>
      <c r="AN251" s="10">
        <f t="shared" si="117"/>
        <v>2.31539203084833</v>
      </c>
    </row>
    <row r="252" ht="16" spans="1:40">
      <c r="A252" s="14">
        <v>2013</v>
      </c>
      <c r="B252" s="15">
        <v>120000</v>
      </c>
      <c r="C252" s="16" t="s">
        <v>66</v>
      </c>
      <c r="D252" s="24">
        <v>9945.4</v>
      </c>
      <c r="E252" s="25">
        <v>1410</v>
      </c>
      <c r="F252" s="26">
        <v>1.2</v>
      </c>
      <c r="G252" s="27">
        <v>1160</v>
      </c>
      <c r="H252" s="10">
        <v>489919</v>
      </c>
      <c r="I252" s="30">
        <v>9130.2</v>
      </c>
      <c r="J252" s="31">
        <v>2543.27</v>
      </c>
      <c r="K252" s="24">
        <v>4280921.2</v>
      </c>
      <c r="L252" s="10">
        <v>711</v>
      </c>
      <c r="M252" s="10">
        <v>7958.3727</v>
      </c>
      <c r="N252" s="10">
        <v>276.16</v>
      </c>
      <c r="O252" s="10">
        <v>213.084</v>
      </c>
      <c r="P252" s="19">
        <v>15718</v>
      </c>
      <c r="Q252" s="19">
        <v>45233</v>
      </c>
      <c r="R252" s="38">
        <v>19453.31</v>
      </c>
      <c r="S252" s="20">
        <v>4470.4</v>
      </c>
      <c r="T252" s="39">
        <v>3814.7</v>
      </c>
      <c r="U252" s="22">
        <v>15353</v>
      </c>
      <c r="V252" s="22">
        <v>28980</v>
      </c>
      <c r="W252" s="32">
        <v>71344.62</v>
      </c>
      <c r="X252" s="10">
        <v>100105.4288</v>
      </c>
      <c r="Y252" s="10">
        <f t="shared" si="113"/>
        <v>0.918032457216402</v>
      </c>
      <c r="Z252" s="10">
        <f t="shared" si="103"/>
        <v>64753.1914893617</v>
      </c>
      <c r="AA252" s="10">
        <f t="shared" si="116"/>
        <v>0.822695035460993</v>
      </c>
      <c r="AB252" s="10">
        <f t="shared" si="118"/>
        <v>0.0347460283687943</v>
      </c>
      <c r="AC252" s="10">
        <f t="shared" si="108"/>
        <v>0.255723248939208</v>
      </c>
      <c r="AD252" s="10">
        <f t="shared" si="112"/>
        <v>0.0430442335149919</v>
      </c>
      <c r="AE252" s="10">
        <f t="shared" si="105"/>
        <v>6.56667242980324</v>
      </c>
      <c r="AF252" s="10">
        <f t="shared" si="115"/>
        <v>0.800206396927223</v>
      </c>
      <c r="AG252" s="10">
        <f t="shared" si="107"/>
        <v>0.0277676111569168</v>
      </c>
      <c r="AH252" s="10">
        <f t="shared" si="97"/>
        <v>0.0214253825889356</v>
      </c>
      <c r="AI252" s="10">
        <f t="shared" si="98"/>
        <v>1175</v>
      </c>
      <c r="AJ252" s="10">
        <f t="shared" si="114"/>
        <v>1.95601081907213</v>
      </c>
      <c r="AK252" s="10">
        <f t="shared" si="111"/>
        <v>20.3821440193571</v>
      </c>
      <c r="AL252" s="10">
        <f t="shared" si="119"/>
        <v>0.449494238542442</v>
      </c>
      <c r="AM252" s="10">
        <f t="shared" ref="AM252:AM286" si="120">T252/D252</f>
        <v>0.383564260864319</v>
      </c>
      <c r="AN252" s="10">
        <f t="shared" si="117"/>
        <v>1.8875789747932</v>
      </c>
    </row>
    <row r="253" ht="16" spans="1:40">
      <c r="A253" s="14">
        <v>2014</v>
      </c>
      <c r="B253" s="15">
        <v>120000</v>
      </c>
      <c r="C253" s="16" t="s">
        <v>66</v>
      </c>
      <c r="D253" s="24">
        <v>10640.6</v>
      </c>
      <c r="E253" s="25">
        <v>1429</v>
      </c>
      <c r="F253" s="26">
        <v>1.2</v>
      </c>
      <c r="G253" s="27">
        <v>1180</v>
      </c>
      <c r="H253" s="10">
        <v>505795</v>
      </c>
      <c r="I253" s="30">
        <v>10518.19</v>
      </c>
      <c r="J253" s="31">
        <v>2878.1</v>
      </c>
      <c r="K253" s="24">
        <v>4646868</v>
      </c>
      <c r="L253" s="10">
        <v>718</v>
      </c>
      <c r="M253" s="10">
        <v>8224.3538</v>
      </c>
      <c r="N253" s="10">
        <v>388.56</v>
      </c>
      <c r="O253" s="10">
        <v>243.6104</v>
      </c>
      <c r="P253" s="19">
        <v>16110</v>
      </c>
      <c r="Q253" s="19">
        <v>49753.2</v>
      </c>
      <c r="R253" s="38">
        <v>21715.99</v>
      </c>
      <c r="S253" s="20">
        <v>4738.7</v>
      </c>
      <c r="T253" s="39">
        <v>3972.4</v>
      </c>
      <c r="U253" s="22">
        <v>17014</v>
      </c>
      <c r="V253" s="22">
        <v>31506</v>
      </c>
      <c r="W253" s="32">
        <v>74960.34</v>
      </c>
      <c r="X253" s="10">
        <v>105231.3467</v>
      </c>
      <c r="Y253" s="10">
        <f t="shared" si="113"/>
        <v>0.988495949476533</v>
      </c>
      <c r="Z253" s="10">
        <f t="shared" si="103"/>
        <v>73605.2484254724</v>
      </c>
      <c r="AA253" s="10">
        <f t="shared" si="116"/>
        <v>0.825752274317705</v>
      </c>
      <c r="AB253" s="10">
        <f t="shared" si="118"/>
        <v>0.0353950314905528</v>
      </c>
      <c r="AC253" s="10">
        <f t="shared" si="108"/>
        <v>0.270482867507471</v>
      </c>
      <c r="AD253" s="10">
        <f t="shared" si="112"/>
        <v>0.0436711087720617</v>
      </c>
      <c r="AE253" s="10">
        <f t="shared" si="105"/>
        <v>6.57646956904822</v>
      </c>
      <c r="AF253" s="10">
        <f t="shared" si="115"/>
        <v>0.772921996879875</v>
      </c>
      <c r="AG253" s="10">
        <f t="shared" si="107"/>
        <v>0.0365167377779449</v>
      </c>
      <c r="AH253" s="10">
        <f t="shared" si="97"/>
        <v>0.0228944232468094</v>
      </c>
      <c r="AI253" s="10">
        <f t="shared" si="98"/>
        <v>1190.83333333333</v>
      </c>
      <c r="AJ253" s="10">
        <f t="shared" si="114"/>
        <v>2.04086141758923</v>
      </c>
      <c r="AK253" s="10">
        <f t="shared" si="111"/>
        <v>20.5020255382973</v>
      </c>
      <c r="AL253" s="10">
        <f t="shared" si="119"/>
        <v>0.445341428114956</v>
      </c>
      <c r="AM253" s="10">
        <f t="shared" si="120"/>
        <v>0.373324812510573</v>
      </c>
      <c r="AN253" s="10">
        <f t="shared" si="117"/>
        <v>1.85176913130363</v>
      </c>
    </row>
    <row r="254" ht="16" spans="1:40">
      <c r="A254" s="14">
        <v>2015</v>
      </c>
      <c r="B254" s="15">
        <v>120000</v>
      </c>
      <c r="C254" s="16" t="s">
        <v>66</v>
      </c>
      <c r="D254" s="24">
        <v>10879.5</v>
      </c>
      <c r="E254" s="25">
        <v>1439</v>
      </c>
      <c r="F254" s="26">
        <v>1.2</v>
      </c>
      <c r="G254" s="27">
        <v>1193</v>
      </c>
      <c r="H254" s="10">
        <v>512854</v>
      </c>
      <c r="I254" s="30">
        <v>11831.99</v>
      </c>
      <c r="J254" s="31">
        <v>3220.56</v>
      </c>
      <c r="K254" s="24">
        <v>5101839.2</v>
      </c>
      <c r="L254" s="10">
        <v>718</v>
      </c>
      <c r="M254" s="10">
        <v>7117.9901</v>
      </c>
      <c r="N254" s="10">
        <v>503.44</v>
      </c>
      <c r="O254" s="10">
        <v>321.0467</v>
      </c>
      <c r="P254" s="19">
        <v>16550</v>
      </c>
      <c r="Q254" s="19">
        <v>48779</v>
      </c>
      <c r="R254" s="38">
        <v>24500.91</v>
      </c>
      <c r="S254" s="20">
        <v>3963.2</v>
      </c>
      <c r="T254" s="39">
        <v>3815.1</v>
      </c>
      <c r="U254" s="22">
        <v>18482</v>
      </c>
      <c r="V254" s="22">
        <v>34101</v>
      </c>
      <c r="W254" s="32">
        <v>75868.27</v>
      </c>
      <c r="X254" s="10">
        <v>107960.0883</v>
      </c>
      <c r="Y254" s="10">
        <f t="shared" si="113"/>
        <v>1.08754906015901</v>
      </c>
      <c r="Z254" s="10">
        <f t="shared" si="103"/>
        <v>82223.6970118138</v>
      </c>
      <c r="AA254" s="10">
        <f t="shared" si="116"/>
        <v>0.829047949965254</v>
      </c>
      <c r="AB254" s="10">
        <f t="shared" si="118"/>
        <v>0.0356396108408617</v>
      </c>
      <c r="AC254" s="10">
        <f t="shared" si="108"/>
        <v>0.296020956845443</v>
      </c>
      <c r="AD254" s="10">
        <f t="shared" si="112"/>
        <v>0.0468940594696447</v>
      </c>
      <c r="AE254" s="10">
        <f t="shared" si="105"/>
        <v>6.57646956904822</v>
      </c>
      <c r="AF254" s="10">
        <f t="shared" si="115"/>
        <v>0.654257098212234</v>
      </c>
      <c r="AG254" s="10">
        <f t="shared" si="107"/>
        <v>0.0462741853945494</v>
      </c>
      <c r="AH254" s="10">
        <f t="shared" si="97"/>
        <v>0.0295093248770624</v>
      </c>
      <c r="AI254" s="10">
        <f t="shared" si="98"/>
        <v>1199.16666666667</v>
      </c>
      <c r="AJ254" s="10">
        <f t="shared" si="114"/>
        <v>2.2520253688129</v>
      </c>
      <c r="AK254" s="10">
        <f t="shared" si="111"/>
        <v>20.50919655216</v>
      </c>
      <c r="AL254" s="10">
        <f t="shared" si="119"/>
        <v>0.364281446757663</v>
      </c>
      <c r="AM254" s="10">
        <f t="shared" si="120"/>
        <v>0.35066868881842</v>
      </c>
      <c r="AN254" s="10">
        <f t="shared" si="117"/>
        <v>1.84509252245428</v>
      </c>
    </row>
    <row r="255" ht="16" spans="1:40">
      <c r="A255" s="14">
        <v>2016</v>
      </c>
      <c r="B255" s="15">
        <v>120000</v>
      </c>
      <c r="C255" s="16" t="s">
        <v>66</v>
      </c>
      <c r="D255" s="24">
        <v>11477.2</v>
      </c>
      <c r="E255" s="25">
        <v>1443</v>
      </c>
      <c r="F255" s="26">
        <v>1.2</v>
      </c>
      <c r="G255" s="27">
        <v>1202</v>
      </c>
      <c r="H255" s="10">
        <v>513842</v>
      </c>
      <c r="I255" s="30">
        <v>12779.39</v>
      </c>
      <c r="J255" s="31">
        <v>3687.32</v>
      </c>
      <c r="K255" s="24">
        <v>5373223.3</v>
      </c>
      <c r="L255" s="10">
        <v>705</v>
      </c>
      <c r="M255" s="10">
        <v>6818.716</v>
      </c>
      <c r="N255" s="10">
        <v>552.64</v>
      </c>
      <c r="O255" s="10">
        <v>269.6079</v>
      </c>
      <c r="P255" s="19">
        <v>16764</v>
      </c>
      <c r="Q255" s="19">
        <v>50505.6</v>
      </c>
      <c r="R255" s="38">
        <v>27367.97</v>
      </c>
      <c r="S255" s="20">
        <v>4188.1</v>
      </c>
      <c r="T255" s="39">
        <v>3773</v>
      </c>
      <c r="U255" s="22">
        <v>20076</v>
      </c>
      <c r="V255" s="22">
        <v>37110</v>
      </c>
      <c r="W255" s="32">
        <v>79647.47</v>
      </c>
      <c r="X255" s="10">
        <v>115053</v>
      </c>
      <c r="Y255" s="10">
        <f t="shared" si="113"/>
        <v>1.11345885756108</v>
      </c>
      <c r="Z255" s="10">
        <f t="shared" si="103"/>
        <v>88561.2612612613</v>
      </c>
      <c r="AA255" s="10">
        <f t="shared" si="116"/>
        <v>0.832986832986833</v>
      </c>
      <c r="AB255" s="10">
        <f t="shared" si="118"/>
        <v>0.0356092862092862</v>
      </c>
      <c r="AC255" s="10">
        <f t="shared" si="108"/>
        <v>0.321273481336911</v>
      </c>
      <c r="AD255" s="10">
        <f t="shared" si="112"/>
        <v>0.0468164996689088</v>
      </c>
      <c r="AE255" s="10">
        <f t="shared" si="105"/>
        <v>6.55819780281227</v>
      </c>
      <c r="AF255" s="10">
        <f t="shared" si="115"/>
        <v>0.59410971317046</v>
      </c>
      <c r="AG255" s="10">
        <f t="shared" si="107"/>
        <v>0.048151116997177</v>
      </c>
      <c r="AH255" s="10">
        <f t="shared" si="97"/>
        <v>0.0234907381591329</v>
      </c>
      <c r="AI255" s="10">
        <f t="shared" si="98"/>
        <v>1202.5</v>
      </c>
      <c r="AJ255" s="10">
        <f t="shared" si="114"/>
        <v>2.38455111002684</v>
      </c>
      <c r="AK255" s="10">
        <f t="shared" si="111"/>
        <v>20.5568285092496</v>
      </c>
      <c r="AL255" s="10">
        <f t="shared" si="119"/>
        <v>0.364906074652354</v>
      </c>
      <c r="AM255" s="10">
        <f t="shared" si="120"/>
        <v>0.328738716760185</v>
      </c>
      <c r="AN255" s="10">
        <f t="shared" si="117"/>
        <v>1.84847579199044</v>
      </c>
    </row>
    <row r="256" ht="16" spans="1:40">
      <c r="A256" s="14">
        <v>2017</v>
      </c>
      <c r="B256" s="15">
        <v>120000</v>
      </c>
      <c r="C256" s="16" t="s">
        <v>66</v>
      </c>
      <c r="D256" s="24">
        <v>12450.6</v>
      </c>
      <c r="E256" s="25">
        <v>1410</v>
      </c>
      <c r="F256" s="26">
        <v>1.2</v>
      </c>
      <c r="G256" s="27">
        <v>1178</v>
      </c>
      <c r="H256" s="10">
        <v>514669</v>
      </c>
      <c r="I256" s="30">
        <v>11288.92</v>
      </c>
      <c r="J256" s="31">
        <v>3266.35</v>
      </c>
      <c r="K256" s="24">
        <v>4587227</v>
      </c>
      <c r="L256" s="10">
        <v>684</v>
      </c>
      <c r="M256" s="10">
        <v>7624.0762</v>
      </c>
      <c r="N256" s="10">
        <v>551.44</v>
      </c>
      <c r="O256" s="10">
        <v>406.8021</v>
      </c>
      <c r="P256" s="19">
        <v>16532.1</v>
      </c>
      <c r="Q256" s="19">
        <v>51800.5</v>
      </c>
      <c r="R256" s="38">
        <v>30103.05</v>
      </c>
      <c r="S256" s="20">
        <v>4210.4</v>
      </c>
      <c r="T256" s="39">
        <v>3942.5</v>
      </c>
      <c r="U256" s="22">
        <v>21754</v>
      </c>
      <c r="V256" s="22">
        <v>40278</v>
      </c>
      <c r="W256" s="32">
        <v>87280.48</v>
      </c>
      <c r="X256" s="10">
        <v>118943.5683</v>
      </c>
      <c r="Y256" s="10">
        <f t="shared" si="113"/>
        <v>0.906696866014489</v>
      </c>
      <c r="Z256" s="10">
        <f t="shared" si="103"/>
        <v>80063.2624113475</v>
      </c>
      <c r="AA256" s="10">
        <f t="shared" si="116"/>
        <v>0.835460992907801</v>
      </c>
      <c r="AB256" s="10">
        <f t="shared" si="118"/>
        <v>0.0365013475177305</v>
      </c>
      <c r="AC256" s="10">
        <f t="shared" si="108"/>
        <v>0.26234478659663</v>
      </c>
      <c r="AD256" s="10">
        <f t="shared" si="112"/>
        <v>0.0368434212005847</v>
      </c>
      <c r="AE256" s="10">
        <f t="shared" si="105"/>
        <v>6.52795791762255</v>
      </c>
      <c r="AF256" s="10">
        <f t="shared" si="115"/>
        <v>0.612346087738744</v>
      </c>
      <c r="AG256" s="10">
        <f t="shared" si="107"/>
        <v>0.0442902350087546</v>
      </c>
      <c r="AH256" s="10">
        <f t="shared" si="97"/>
        <v>0.0326732928533565</v>
      </c>
      <c r="AI256" s="10">
        <f t="shared" si="98"/>
        <v>1175</v>
      </c>
      <c r="AJ256" s="10">
        <f t="shared" si="114"/>
        <v>2.41779914221001</v>
      </c>
      <c r="AK256" s="10">
        <f t="shared" si="111"/>
        <v>20.5682143051989</v>
      </c>
      <c r="AL256" s="10">
        <f t="shared" si="119"/>
        <v>0.338168441681525</v>
      </c>
      <c r="AM256" s="10">
        <f t="shared" si="120"/>
        <v>0.316651406357926</v>
      </c>
      <c r="AN256" s="10">
        <f t="shared" si="117"/>
        <v>1.85152155925347</v>
      </c>
    </row>
    <row r="257" ht="16" spans="1:40">
      <c r="A257" s="14">
        <v>2018</v>
      </c>
      <c r="B257" s="15">
        <v>120000</v>
      </c>
      <c r="C257" s="16" t="s">
        <v>66</v>
      </c>
      <c r="D257" s="24">
        <v>13362.9</v>
      </c>
      <c r="E257" s="25">
        <v>1383</v>
      </c>
      <c r="F257" s="26">
        <v>1.2</v>
      </c>
      <c r="G257" s="27">
        <v>1161</v>
      </c>
      <c r="H257" s="10">
        <v>523349</v>
      </c>
      <c r="I257" s="30">
        <v>10656.74048</v>
      </c>
      <c r="J257" s="31">
        <v>3079.34</v>
      </c>
      <c r="K257" s="24">
        <v>4923997</v>
      </c>
      <c r="L257" s="10">
        <v>672</v>
      </c>
      <c r="M257" s="10">
        <v>8110.1062</v>
      </c>
      <c r="N257" s="10">
        <v>685.59</v>
      </c>
      <c r="O257" s="10">
        <v>853.1587</v>
      </c>
      <c r="P257" s="19">
        <v>16256.7</v>
      </c>
      <c r="Q257" s="19">
        <v>52220.7</v>
      </c>
      <c r="R257" s="38">
        <v>32539.42</v>
      </c>
      <c r="S257" s="20">
        <v>4231.2</v>
      </c>
      <c r="T257" s="39">
        <v>4276.9</v>
      </c>
      <c r="U257" s="22">
        <v>23065</v>
      </c>
      <c r="V257" s="22">
        <v>42976</v>
      </c>
      <c r="W257" s="32">
        <v>95688.65</v>
      </c>
      <c r="X257" s="10">
        <v>120710.8019</v>
      </c>
      <c r="Y257" s="10">
        <f t="shared" si="113"/>
        <v>0.797487108337262</v>
      </c>
      <c r="Z257" s="10">
        <f t="shared" si="103"/>
        <v>77055.2456977585</v>
      </c>
      <c r="AA257" s="10">
        <f t="shared" si="116"/>
        <v>0.839479392624729</v>
      </c>
      <c r="AB257" s="10">
        <f t="shared" si="118"/>
        <v>0.0378415762834418</v>
      </c>
      <c r="AC257" s="10">
        <f t="shared" si="108"/>
        <v>0.230439500407846</v>
      </c>
      <c r="AD257" s="10">
        <f t="shared" si="112"/>
        <v>0.0368482664691048</v>
      </c>
      <c r="AE257" s="10">
        <f t="shared" si="105"/>
        <v>6.51025834052315</v>
      </c>
      <c r="AF257" s="10">
        <f t="shared" si="115"/>
        <v>0.606912137335459</v>
      </c>
      <c r="AG257" s="10">
        <f t="shared" si="107"/>
        <v>0.0513054800978829</v>
      </c>
      <c r="AH257" s="10">
        <f t="shared" si="97"/>
        <v>0.0638453254907243</v>
      </c>
      <c r="AI257" s="10">
        <f t="shared" si="98"/>
        <v>1152.5</v>
      </c>
      <c r="AJ257" s="10">
        <f t="shared" si="114"/>
        <v>2.43505676163108</v>
      </c>
      <c r="AK257" s="10">
        <f t="shared" si="111"/>
        <v>20.5594946574637</v>
      </c>
      <c r="AL257" s="10">
        <f t="shared" si="119"/>
        <v>0.316637855555306</v>
      </c>
      <c r="AM257" s="10">
        <f t="shared" si="120"/>
        <v>0.320057771890832</v>
      </c>
      <c r="AN257" s="10">
        <f t="shared" si="117"/>
        <v>1.86325601560806</v>
      </c>
    </row>
    <row r="258" ht="16" spans="1:40">
      <c r="A258" s="14">
        <v>2019</v>
      </c>
      <c r="B258" s="15">
        <v>120000</v>
      </c>
      <c r="C258" s="16" t="s">
        <v>66</v>
      </c>
      <c r="D258" s="24">
        <v>14055.5</v>
      </c>
      <c r="E258" s="25">
        <v>1385</v>
      </c>
      <c r="F258" s="26">
        <v>1.2</v>
      </c>
      <c r="G258" s="27">
        <v>1168</v>
      </c>
      <c r="H258" s="10">
        <v>539366</v>
      </c>
      <c r="I258" s="30">
        <v>12052.77348288</v>
      </c>
      <c r="J258" s="31">
        <v>3505.24</v>
      </c>
      <c r="K258" s="24">
        <v>4629715.5</v>
      </c>
      <c r="L258" s="10">
        <v>659</v>
      </c>
      <c r="M258" s="10">
        <v>7356.9516</v>
      </c>
      <c r="N258" s="10">
        <v>909.25</v>
      </c>
      <c r="O258" s="10">
        <v>1343.4019</v>
      </c>
      <c r="P258" s="19">
        <v>16131.9</v>
      </c>
      <c r="Q258" s="19">
        <v>50093.3</v>
      </c>
      <c r="R258" s="38">
        <v>34874.04</v>
      </c>
      <c r="S258" s="20">
        <v>4218.2</v>
      </c>
      <c r="T258" s="39">
        <v>4372.3</v>
      </c>
      <c r="U258" s="22">
        <v>24804</v>
      </c>
      <c r="V258" s="22">
        <v>46119</v>
      </c>
      <c r="W258" s="32">
        <v>101556.79</v>
      </c>
      <c r="X258" s="10">
        <v>90370.63</v>
      </c>
      <c r="Y258" s="10">
        <f t="shared" si="113"/>
        <v>0.857512965236384</v>
      </c>
      <c r="Z258" s="10">
        <f t="shared" si="103"/>
        <v>87023.6352554513</v>
      </c>
      <c r="AA258" s="10">
        <f t="shared" si="116"/>
        <v>0.843321299638989</v>
      </c>
      <c r="AB258" s="10">
        <f t="shared" si="118"/>
        <v>0.0389433935018051</v>
      </c>
      <c r="AC258" s="10">
        <f t="shared" si="108"/>
        <v>0.249385649745651</v>
      </c>
      <c r="AD258" s="10">
        <f t="shared" si="112"/>
        <v>0.0329388175447334</v>
      </c>
      <c r="AE258" s="10">
        <f t="shared" si="105"/>
        <v>6.49072353450251</v>
      </c>
      <c r="AF258" s="10">
        <f t="shared" si="115"/>
        <v>0.523421550282807</v>
      </c>
      <c r="AG258" s="10">
        <f t="shared" si="107"/>
        <v>0.0646899790117748</v>
      </c>
      <c r="AH258" s="10">
        <f t="shared" si="97"/>
        <v>0.0955783785706663</v>
      </c>
      <c r="AI258" s="10">
        <f t="shared" si="98"/>
        <v>1154.16666666667</v>
      </c>
      <c r="AJ258" s="10">
        <f t="shared" si="114"/>
        <v>2.48116680303084</v>
      </c>
      <c r="AK258" s="10">
        <f t="shared" si="111"/>
        <v>20.5101965027097</v>
      </c>
      <c r="AL258" s="10">
        <f t="shared" si="119"/>
        <v>0.30011027711572</v>
      </c>
      <c r="AM258" s="10">
        <f t="shared" si="120"/>
        <v>0.311073956814059</v>
      </c>
      <c r="AN258" s="10">
        <f t="shared" si="117"/>
        <v>1.85933720367683</v>
      </c>
    </row>
    <row r="259" ht="16" spans="1:40">
      <c r="A259" s="14">
        <v>2020</v>
      </c>
      <c r="B259" s="15">
        <v>120000</v>
      </c>
      <c r="C259" s="16" t="s">
        <v>66</v>
      </c>
      <c r="D259" s="24">
        <v>14008</v>
      </c>
      <c r="E259" s="25">
        <v>1387</v>
      </c>
      <c r="F259" s="26">
        <v>1.2</v>
      </c>
      <c r="G259" s="27">
        <v>1175</v>
      </c>
      <c r="H259" s="10">
        <v>608866</v>
      </c>
      <c r="I259" s="30">
        <v>12414.3566873664</v>
      </c>
      <c r="J259" s="31">
        <v>3098.48</v>
      </c>
      <c r="K259" s="24">
        <v>4850115.6</v>
      </c>
      <c r="L259" s="10">
        <v>647</v>
      </c>
      <c r="M259" s="10">
        <v>7333.6536</v>
      </c>
      <c r="N259" s="10">
        <v>1089.56</v>
      </c>
      <c r="O259" s="10">
        <v>1779.1417</v>
      </c>
      <c r="P259" s="19">
        <v>16411</v>
      </c>
      <c r="Q259" s="19">
        <v>52519.2</v>
      </c>
      <c r="R259" s="38">
        <v>37690.44</v>
      </c>
      <c r="S259" s="20">
        <v>3582.9</v>
      </c>
      <c r="T259" s="39">
        <v>4296.4</v>
      </c>
      <c r="U259" s="22">
        <v>25691</v>
      </c>
      <c r="V259" s="22">
        <v>47659</v>
      </c>
      <c r="W259" s="32">
        <v>101067.82</v>
      </c>
      <c r="X259" s="10">
        <v>101614.21</v>
      </c>
      <c r="Y259" s="10">
        <f t="shared" si="113"/>
        <v>0.886233344329412</v>
      </c>
      <c r="Z259" s="10">
        <f t="shared" si="103"/>
        <v>89505.0950783446</v>
      </c>
      <c r="AA259" s="10">
        <f t="shared" si="116"/>
        <v>0.847152126892574</v>
      </c>
      <c r="AB259" s="10">
        <f t="shared" si="118"/>
        <v>0.0438980533525595</v>
      </c>
      <c r="AC259" s="10">
        <f t="shared" ref="AC259:AC291" si="121">J259/D259</f>
        <v>0.221193603655054</v>
      </c>
      <c r="AD259" s="10">
        <f t="shared" si="112"/>
        <v>0.0346238977727013</v>
      </c>
      <c r="AE259" s="10">
        <f t="shared" si="105"/>
        <v>6.4723462945009</v>
      </c>
      <c r="AF259" s="10">
        <f t="shared" si="115"/>
        <v>0.523533238149629</v>
      </c>
      <c r="AG259" s="10">
        <f t="shared" si="107"/>
        <v>0.0777812678469446</v>
      </c>
      <c r="AH259" s="10">
        <f t="shared" ref="AH259:AH311" si="122">O259/D259</f>
        <v>0.127008973443746</v>
      </c>
      <c r="AI259" s="10">
        <f t="shared" ref="AI259:AI311" si="123">E259/F259</f>
        <v>1155.83333333333</v>
      </c>
      <c r="AJ259" s="10">
        <f t="shared" si="114"/>
        <v>2.69063677898344</v>
      </c>
      <c r="AK259" s="10">
        <f t="shared" si="111"/>
        <v>20.5746412166879</v>
      </c>
      <c r="AL259" s="10">
        <f t="shared" si="119"/>
        <v>0.255775271273558</v>
      </c>
      <c r="AM259" s="10">
        <f t="shared" si="120"/>
        <v>0.30671045117076</v>
      </c>
      <c r="AN259" s="10">
        <f t="shared" si="117"/>
        <v>1.8550854384804</v>
      </c>
    </row>
    <row r="260" ht="16" spans="1:40">
      <c r="A260" s="14">
        <v>2021</v>
      </c>
      <c r="B260" s="15">
        <v>120000</v>
      </c>
      <c r="C260" s="16" t="s">
        <v>66</v>
      </c>
      <c r="D260" s="24">
        <v>15685.1</v>
      </c>
      <c r="E260" s="25">
        <v>1373</v>
      </c>
      <c r="F260" s="26">
        <v>1.2</v>
      </c>
      <c r="G260" s="27">
        <v>1165</v>
      </c>
      <c r="H260" s="10">
        <v>583353</v>
      </c>
      <c r="I260" s="30">
        <v>13010.24580836</v>
      </c>
      <c r="J260" s="31">
        <v>3102.46</v>
      </c>
      <c r="K260" s="24">
        <v>5743281.6</v>
      </c>
      <c r="L260" s="10">
        <v>641</v>
      </c>
      <c r="M260" s="10">
        <v>8552.7535</v>
      </c>
      <c r="N260" s="10">
        <v>1256.83</v>
      </c>
      <c r="O260" s="10">
        <v>346.46</v>
      </c>
      <c r="P260" s="19">
        <v>15307</v>
      </c>
      <c r="Q260" s="19">
        <v>56435</v>
      </c>
      <c r="R260" s="38">
        <v>40043.39</v>
      </c>
      <c r="S260" s="20">
        <v>3769.8</v>
      </c>
      <c r="T260" s="39">
        <v>5056.5</v>
      </c>
      <c r="U260" s="22">
        <v>27955</v>
      </c>
      <c r="V260" s="22">
        <v>51486</v>
      </c>
      <c r="W260" s="32">
        <v>113660</v>
      </c>
      <c r="X260" s="10">
        <v>113732</v>
      </c>
      <c r="Y260" s="10">
        <f t="shared" si="113"/>
        <v>0.829465276495528</v>
      </c>
      <c r="Z260" s="10">
        <f t="shared" si="103"/>
        <v>94757.7990412236</v>
      </c>
      <c r="AA260" s="10">
        <f t="shared" si="116"/>
        <v>0.848506919155135</v>
      </c>
      <c r="AB260" s="10">
        <f t="shared" si="118"/>
        <v>0.0424874726875455</v>
      </c>
      <c r="AC260" s="10">
        <f t="shared" si="121"/>
        <v>0.197796635023047</v>
      </c>
      <c r="AD260" s="10">
        <f t="shared" si="112"/>
        <v>0.0366161618351174</v>
      </c>
      <c r="AE260" s="10">
        <f t="shared" si="105"/>
        <v>6.46302945692067</v>
      </c>
      <c r="AF260" s="10">
        <f t="shared" si="115"/>
        <v>0.545278863379896</v>
      </c>
      <c r="AG260" s="10">
        <f t="shared" si="107"/>
        <v>0.0801289121522974</v>
      </c>
      <c r="AH260" s="10">
        <f t="shared" si="122"/>
        <v>0.0220884788748558</v>
      </c>
      <c r="AI260" s="10">
        <f t="shared" si="123"/>
        <v>1144.16666666667</v>
      </c>
      <c r="AJ260" s="10">
        <f t="shared" si="114"/>
        <v>2.55295726517523</v>
      </c>
      <c r="AK260" s="10">
        <f t="shared" si="111"/>
        <v>20.5769103314814</v>
      </c>
      <c r="AL260" s="10">
        <f t="shared" si="119"/>
        <v>0.240342745663082</v>
      </c>
      <c r="AM260" s="10">
        <f t="shared" si="120"/>
        <v>0.322376012903966</v>
      </c>
      <c r="AN260" s="10">
        <f t="shared" si="117"/>
        <v>1.84174566267215</v>
      </c>
    </row>
    <row r="261" ht="16" spans="1:40">
      <c r="A261" s="14">
        <v>2022</v>
      </c>
      <c r="B261" s="15">
        <v>120000</v>
      </c>
      <c r="C261" s="16" t="s">
        <v>66</v>
      </c>
      <c r="D261" s="24">
        <v>16132.2</v>
      </c>
      <c r="E261" s="25">
        <v>1363</v>
      </c>
      <c r="F261" s="26">
        <v>1.2</v>
      </c>
      <c r="G261" s="27">
        <v>1160</v>
      </c>
      <c r="H261" s="10">
        <v>594505</v>
      </c>
      <c r="I261" s="30">
        <v>11722.2314733323</v>
      </c>
      <c r="J261" s="31">
        <v>2683.01</v>
      </c>
      <c r="K261" s="24">
        <v>5686600</v>
      </c>
      <c r="L261" s="10">
        <v>621</v>
      </c>
      <c r="M261" s="10">
        <v>8381.3932</v>
      </c>
      <c r="N261" s="10">
        <v>1650.87</v>
      </c>
      <c r="O261" s="10">
        <v>341.6188</v>
      </c>
      <c r="P261" s="35">
        <v>15230</v>
      </c>
      <c r="Q261" s="35">
        <v>52898</v>
      </c>
      <c r="R261" s="38">
        <v>41650.32</v>
      </c>
      <c r="S261" s="20">
        <v>3572</v>
      </c>
      <c r="T261" s="39">
        <v>5329</v>
      </c>
      <c r="U261" s="22">
        <v>29018</v>
      </c>
      <c r="V261" s="22">
        <v>53003</v>
      </c>
      <c r="W261" s="32">
        <v>117925</v>
      </c>
      <c r="X261" s="10">
        <v>119235</v>
      </c>
      <c r="Y261" s="10">
        <f t="shared" si="113"/>
        <v>0.726635640106886</v>
      </c>
      <c r="Z261" s="10">
        <f t="shared" si="103"/>
        <v>86003.1656150572</v>
      </c>
      <c r="AA261" s="10">
        <f t="shared" si="116"/>
        <v>0.851063829787234</v>
      </c>
      <c r="AB261" s="10">
        <f t="shared" si="118"/>
        <v>0.0436173881144534</v>
      </c>
      <c r="AC261" s="10">
        <f t="shared" si="121"/>
        <v>0.166313955939054</v>
      </c>
      <c r="AD261" s="10">
        <f t="shared" si="112"/>
        <v>0.0352499969006087</v>
      </c>
      <c r="AE261" s="10">
        <f t="shared" si="105"/>
        <v>6.43133108193348</v>
      </c>
      <c r="AF261" s="10">
        <f t="shared" si="115"/>
        <v>0.519544339891645</v>
      </c>
      <c r="AG261" s="10">
        <f t="shared" si="107"/>
        <v>0.102333841633503</v>
      </c>
      <c r="AH261" s="10">
        <f t="shared" si="122"/>
        <v>0.0211762065930251</v>
      </c>
      <c r="AI261" s="10">
        <f t="shared" si="123"/>
        <v>1135.83333333333</v>
      </c>
      <c r="AJ261" s="10">
        <f t="shared" si="114"/>
        <v>2.58181277197158</v>
      </c>
      <c r="AK261" s="10">
        <f t="shared" si="111"/>
        <v>20.5071432558375</v>
      </c>
      <c r="AL261" s="10">
        <f t="shared" si="119"/>
        <v>0.221420513011245</v>
      </c>
      <c r="AM261" s="10">
        <f t="shared" si="120"/>
        <v>0.330333122574726</v>
      </c>
      <c r="AN261" s="10">
        <f t="shared" si="117"/>
        <v>1.82655593080157</v>
      </c>
    </row>
    <row r="262" ht="31" spans="1:40">
      <c r="A262" s="14">
        <v>2013</v>
      </c>
      <c r="B262" s="15">
        <v>540000</v>
      </c>
      <c r="C262" s="16" t="s">
        <v>67</v>
      </c>
      <c r="D262" s="24">
        <v>828.2</v>
      </c>
      <c r="E262" s="25">
        <v>317</v>
      </c>
      <c r="F262" s="26">
        <v>122.84</v>
      </c>
      <c r="G262" s="27">
        <v>76</v>
      </c>
      <c r="H262" s="10">
        <v>33562</v>
      </c>
      <c r="I262" s="30">
        <v>876</v>
      </c>
      <c r="J262" s="31">
        <v>1014.31</v>
      </c>
      <c r="K262" s="24">
        <v>23032.5</v>
      </c>
      <c r="L262" s="10">
        <v>175</v>
      </c>
      <c r="M262" s="10">
        <v>205.57764</v>
      </c>
      <c r="N262" s="10">
        <v>0.02</v>
      </c>
      <c r="O262" s="10">
        <v>41.7375</v>
      </c>
      <c r="P262" s="19">
        <v>70591</v>
      </c>
      <c r="Q262" s="19">
        <v>1850.11</v>
      </c>
      <c r="R262" s="38">
        <v>1076.69</v>
      </c>
      <c r="S262" s="20">
        <v>322.2</v>
      </c>
      <c r="T262" s="39">
        <v>63.9</v>
      </c>
      <c r="U262" s="22">
        <v>6553</v>
      </c>
      <c r="V262" s="22">
        <v>20394</v>
      </c>
      <c r="W262" s="32">
        <v>26209</v>
      </c>
      <c r="X262" s="10">
        <v>26326</v>
      </c>
      <c r="Y262" s="10">
        <f t="shared" ref="Y262:Y311" si="124">I262/D262</f>
        <v>1.05771552765033</v>
      </c>
      <c r="Z262" s="10">
        <f t="shared" ref="Z262:Z293" si="125">(I262/E262)*10000</f>
        <v>27634.0694006309</v>
      </c>
      <c r="AA262" s="10">
        <f t="shared" si="116"/>
        <v>0.239747634069401</v>
      </c>
      <c r="AB262" s="10">
        <f t="shared" si="118"/>
        <v>0.01058738170347</v>
      </c>
      <c r="AC262" s="10">
        <f t="shared" si="121"/>
        <v>1.22471625211302</v>
      </c>
      <c r="AD262" s="10">
        <f t="shared" si="112"/>
        <v>0.00278103115189568</v>
      </c>
      <c r="AE262" s="10">
        <f t="shared" si="105"/>
        <v>5.16478597392351</v>
      </c>
      <c r="AF262" s="10">
        <f t="shared" si="115"/>
        <v>0.248222216855832</v>
      </c>
      <c r="AG262" s="10">
        <f t="shared" si="107"/>
        <v>2.41487563390485e-5</v>
      </c>
      <c r="AH262" s="10">
        <f t="shared" si="122"/>
        <v>0.0503954358850519</v>
      </c>
      <c r="AI262" s="10">
        <f t="shared" si="123"/>
        <v>2.5805926408336</v>
      </c>
      <c r="AJ262" s="10">
        <f t="shared" si="114"/>
        <v>1.30003622313451</v>
      </c>
      <c r="AK262" s="10">
        <f t="shared" si="111"/>
        <v>18.6876583123659</v>
      </c>
      <c r="AL262" s="10">
        <f t="shared" si="119"/>
        <v>0.389036464622072</v>
      </c>
      <c r="AM262" s="10">
        <f t="shared" si="120"/>
        <v>0.0771552765032601</v>
      </c>
      <c r="AN262" s="10">
        <f t="shared" si="117"/>
        <v>3.11216236838089</v>
      </c>
    </row>
    <row r="263" ht="31" spans="1:40">
      <c r="A263" s="14">
        <v>2014</v>
      </c>
      <c r="B263" s="15">
        <v>540000</v>
      </c>
      <c r="C263" s="16" t="s">
        <v>67</v>
      </c>
      <c r="D263" s="24">
        <v>939.7</v>
      </c>
      <c r="E263" s="25">
        <v>325</v>
      </c>
      <c r="F263" s="26">
        <v>122.84</v>
      </c>
      <c r="G263" s="27">
        <v>85</v>
      </c>
      <c r="H263" s="10">
        <v>33474</v>
      </c>
      <c r="I263" s="30">
        <v>1069.23</v>
      </c>
      <c r="J263" s="31">
        <v>1185.46</v>
      </c>
      <c r="K263" s="24">
        <v>23519.3</v>
      </c>
      <c r="L263" s="10">
        <v>176</v>
      </c>
      <c r="M263" s="10">
        <v>138.51688</v>
      </c>
      <c r="N263" s="10">
        <v>0.02</v>
      </c>
      <c r="O263" s="10">
        <v>47.8254</v>
      </c>
      <c r="P263" s="19">
        <v>75470</v>
      </c>
      <c r="Q263" s="19">
        <v>1914.35</v>
      </c>
      <c r="R263" s="38">
        <v>1618.72</v>
      </c>
      <c r="S263" s="20">
        <v>364.5</v>
      </c>
      <c r="T263" s="39">
        <v>69.7</v>
      </c>
      <c r="U263" s="22">
        <v>7359</v>
      </c>
      <c r="V263" s="22">
        <v>22016</v>
      </c>
      <c r="W263" s="32">
        <v>29275</v>
      </c>
      <c r="X263" s="10">
        <v>29252</v>
      </c>
      <c r="Y263" s="10">
        <f t="shared" si="124"/>
        <v>1.13784186442482</v>
      </c>
      <c r="Z263" s="10">
        <f t="shared" si="125"/>
        <v>32899.3846153846</v>
      </c>
      <c r="AA263" s="10">
        <f t="shared" si="116"/>
        <v>0.261538461538462</v>
      </c>
      <c r="AB263" s="10">
        <f t="shared" si="118"/>
        <v>0.0102996923076923</v>
      </c>
      <c r="AC263" s="10">
        <f t="shared" si="121"/>
        <v>1.26153027561988</v>
      </c>
      <c r="AD263" s="10">
        <f t="shared" si="112"/>
        <v>0.00250285197403427</v>
      </c>
      <c r="AE263" s="10">
        <f t="shared" si="105"/>
        <v>5.17048399503815</v>
      </c>
      <c r="AF263" s="10">
        <f t="shared" si="115"/>
        <v>0.14740542726402</v>
      </c>
      <c r="AG263" s="10">
        <f t="shared" si="107"/>
        <v>2.12833883154198e-5</v>
      </c>
      <c r="AH263" s="10">
        <f t="shared" si="122"/>
        <v>0.0508943279770139</v>
      </c>
      <c r="AI263" s="10">
        <f t="shared" si="123"/>
        <v>2.64571800716379</v>
      </c>
      <c r="AJ263" s="10">
        <f t="shared" si="114"/>
        <v>1.72259231669682</v>
      </c>
      <c r="AK263" s="10">
        <f t="shared" si="111"/>
        <v>18.7886239236883</v>
      </c>
      <c r="AL263" s="10">
        <f t="shared" si="119"/>
        <v>0.387889752048526</v>
      </c>
      <c r="AM263" s="10">
        <f t="shared" si="120"/>
        <v>0.0741726082792381</v>
      </c>
      <c r="AN263" s="10">
        <f t="shared" si="117"/>
        <v>2.99171083027585</v>
      </c>
    </row>
    <row r="264" ht="31" spans="1:40">
      <c r="A264" s="14">
        <v>2015</v>
      </c>
      <c r="B264" s="15">
        <v>540000</v>
      </c>
      <c r="C264" s="16" t="s">
        <v>67</v>
      </c>
      <c r="D264" s="24">
        <v>1043</v>
      </c>
      <c r="E264" s="25">
        <v>330</v>
      </c>
      <c r="F264" s="26">
        <v>122.84</v>
      </c>
      <c r="G264" s="27">
        <v>95</v>
      </c>
      <c r="H264" s="10">
        <v>34203</v>
      </c>
      <c r="I264" s="30">
        <v>1295.68</v>
      </c>
      <c r="J264" s="31">
        <v>1381.5</v>
      </c>
      <c r="K264" s="24">
        <v>31241.9</v>
      </c>
      <c r="L264" s="10">
        <v>181</v>
      </c>
      <c r="M264" s="10">
        <v>56.917548</v>
      </c>
      <c r="N264" s="10">
        <v>0.03</v>
      </c>
      <c r="O264" s="10">
        <v>56.3824</v>
      </c>
      <c r="P264" s="19">
        <v>78348</v>
      </c>
      <c r="Q264" s="19">
        <v>2125</v>
      </c>
      <c r="R264" s="38">
        <v>2120.33</v>
      </c>
      <c r="S264" s="20">
        <v>477.1</v>
      </c>
      <c r="T264" s="39">
        <v>73.5</v>
      </c>
      <c r="U264" s="22">
        <v>8244</v>
      </c>
      <c r="V264" s="22">
        <v>25457</v>
      </c>
      <c r="W264" s="32">
        <v>31847</v>
      </c>
      <c r="X264" s="10">
        <v>31999</v>
      </c>
      <c r="Y264" s="10">
        <f t="shared" si="124"/>
        <v>1.24226270373921</v>
      </c>
      <c r="Z264" s="10">
        <f t="shared" si="125"/>
        <v>39263.0303030303</v>
      </c>
      <c r="AA264" s="10">
        <f t="shared" si="116"/>
        <v>0.287878787878788</v>
      </c>
      <c r="AB264" s="10">
        <f t="shared" si="118"/>
        <v>0.0103645454545455</v>
      </c>
      <c r="AC264" s="10">
        <f t="shared" si="121"/>
        <v>1.32454458293384</v>
      </c>
      <c r="AD264" s="10">
        <f t="shared" si="112"/>
        <v>0.0029953883029722</v>
      </c>
      <c r="AE264" s="10">
        <f t="shared" si="105"/>
        <v>5.19849703126583</v>
      </c>
      <c r="AF264" s="10">
        <f t="shared" si="115"/>
        <v>0.0545709952061361</v>
      </c>
      <c r="AG264" s="10">
        <f t="shared" si="107"/>
        <v>2.87631831255992e-5</v>
      </c>
      <c r="AH264" s="10">
        <f t="shared" si="122"/>
        <v>0.0540579098753595</v>
      </c>
      <c r="AI264" s="10">
        <f t="shared" si="123"/>
        <v>2.68642136112016</v>
      </c>
      <c r="AJ264" s="10">
        <f t="shared" si="114"/>
        <v>2.03291466922339</v>
      </c>
      <c r="AK264" s="10">
        <f t="shared" si="111"/>
        <v>18.9304428023332</v>
      </c>
      <c r="AL264" s="10">
        <f t="shared" si="119"/>
        <v>0.457430488974113</v>
      </c>
      <c r="AM264" s="10">
        <f t="shared" si="120"/>
        <v>0.0704697986577181</v>
      </c>
      <c r="AN264" s="10">
        <f t="shared" si="117"/>
        <v>3.08794274623969</v>
      </c>
    </row>
    <row r="265" ht="31" spans="1:40">
      <c r="A265" s="14">
        <v>2016</v>
      </c>
      <c r="B265" s="15">
        <v>540000</v>
      </c>
      <c r="C265" s="16" t="s">
        <v>67</v>
      </c>
      <c r="D265" s="24">
        <v>1173</v>
      </c>
      <c r="E265" s="25">
        <v>340</v>
      </c>
      <c r="F265" s="26">
        <v>122.84</v>
      </c>
      <c r="G265" s="27">
        <v>107</v>
      </c>
      <c r="H265" s="10">
        <v>35034</v>
      </c>
      <c r="I265" s="30">
        <v>1596.05</v>
      </c>
      <c r="J265" s="31">
        <v>1587.97</v>
      </c>
      <c r="K265" s="24">
        <v>22183.6</v>
      </c>
      <c r="L265" s="10">
        <v>185</v>
      </c>
      <c r="M265" s="10">
        <v>51.937605</v>
      </c>
      <c r="N265" s="10">
        <v>0.04</v>
      </c>
      <c r="O265" s="10">
        <v>36.0733</v>
      </c>
      <c r="P265" s="19">
        <v>82096</v>
      </c>
      <c r="Q265" s="19">
        <v>1970.63</v>
      </c>
      <c r="R265" s="38">
        <v>3045.77</v>
      </c>
      <c r="S265" s="20">
        <v>539.1</v>
      </c>
      <c r="T265" s="39">
        <v>91.6</v>
      </c>
      <c r="U265" s="22">
        <v>9094</v>
      </c>
      <c r="V265" s="22">
        <v>27802</v>
      </c>
      <c r="W265" s="32">
        <v>35015</v>
      </c>
      <c r="X265" s="10">
        <v>35184</v>
      </c>
      <c r="Y265" s="10">
        <f t="shared" si="124"/>
        <v>1.36065643648764</v>
      </c>
      <c r="Z265" s="10">
        <f t="shared" si="125"/>
        <v>46942.6470588235</v>
      </c>
      <c r="AA265" s="10">
        <f t="shared" si="116"/>
        <v>0.314705882352941</v>
      </c>
      <c r="AB265" s="10">
        <f t="shared" si="118"/>
        <v>0.0103041176470588</v>
      </c>
      <c r="AC265" s="10">
        <f t="shared" si="121"/>
        <v>1.35376811594203</v>
      </c>
      <c r="AD265" s="10">
        <f t="shared" si="112"/>
        <v>0.00189118499573743</v>
      </c>
      <c r="AE265" s="10">
        <f t="shared" si="105"/>
        <v>5.22035582507832</v>
      </c>
      <c r="AF265" s="10">
        <f t="shared" si="115"/>
        <v>0.0442775831202046</v>
      </c>
      <c r="AG265" s="10">
        <f t="shared" si="107"/>
        <v>3.41005967604433e-5</v>
      </c>
      <c r="AH265" s="10">
        <f t="shared" si="122"/>
        <v>0.0307530264279625</v>
      </c>
      <c r="AI265" s="10">
        <f t="shared" si="123"/>
        <v>2.76782806903289</v>
      </c>
      <c r="AJ265" s="10">
        <f t="shared" si="114"/>
        <v>2.59656436487639</v>
      </c>
      <c r="AK265" s="10">
        <f t="shared" ref="AK265:AK288" si="126">LN(P265)+LN(Q265)</f>
        <v>18.9017531407439</v>
      </c>
      <c r="AL265" s="10">
        <f t="shared" si="119"/>
        <v>0.459590792838875</v>
      </c>
      <c r="AM265" s="10">
        <f t="shared" si="120"/>
        <v>0.0780903665814152</v>
      </c>
      <c r="AN265" s="10">
        <f t="shared" si="117"/>
        <v>3.05718055861007</v>
      </c>
    </row>
    <row r="266" ht="31" spans="1:40">
      <c r="A266" s="14">
        <v>2017</v>
      </c>
      <c r="B266" s="15">
        <v>540000</v>
      </c>
      <c r="C266" s="16" t="s">
        <v>67</v>
      </c>
      <c r="D266" s="24">
        <v>1349</v>
      </c>
      <c r="E266" s="25">
        <v>349</v>
      </c>
      <c r="F266" s="26">
        <v>122.84</v>
      </c>
      <c r="G266" s="27">
        <v>116</v>
      </c>
      <c r="H266" s="10">
        <v>35643</v>
      </c>
      <c r="I266" s="30">
        <v>1975.6</v>
      </c>
      <c r="J266" s="31">
        <v>1681.86</v>
      </c>
      <c r="K266" s="24">
        <v>28648.1</v>
      </c>
      <c r="L266" s="10">
        <v>187</v>
      </c>
      <c r="M266" s="10">
        <v>58.298417</v>
      </c>
      <c r="N266" s="10">
        <v>0.04</v>
      </c>
      <c r="O266" s="10">
        <v>48.6495</v>
      </c>
      <c r="P266" s="19">
        <v>89343.3</v>
      </c>
      <c r="Q266" s="19">
        <v>2203.43</v>
      </c>
      <c r="R266" s="38">
        <v>4041.44</v>
      </c>
      <c r="S266" s="20">
        <v>618.8</v>
      </c>
      <c r="T266" s="39">
        <v>110.1</v>
      </c>
      <c r="U266" s="22">
        <v>10330</v>
      </c>
      <c r="V266" s="22">
        <v>30671</v>
      </c>
      <c r="W266" s="32">
        <v>39158</v>
      </c>
      <c r="X266" s="10">
        <v>39267</v>
      </c>
      <c r="Y266" s="10">
        <f t="shared" si="124"/>
        <v>1.46449221645663</v>
      </c>
      <c r="Z266" s="10">
        <f t="shared" si="125"/>
        <v>56607.4498567335</v>
      </c>
      <c r="AA266" s="10">
        <f t="shared" si="116"/>
        <v>0.332378223495702</v>
      </c>
      <c r="AB266" s="10">
        <f t="shared" si="118"/>
        <v>0.010212893982808</v>
      </c>
      <c r="AC266" s="10">
        <f t="shared" si="121"/>
        <v>1.2467457375834</v>
      </c>
      <c r="AD266" s="10">
        <f t="shared" si="112"/>
        <v>0.00212365455893254</v>
      </c>
      <c r="AE266" s="10">
        <f t="shared" si="105"/>
        <v>5.23110861685459</v>
      </c>
      <c r="AF266" s="10">
        <f t="shared" si="115"/>
        <v>0.0432160244625649</v>
      </c>
      <c r="AG266" s="10">
        <f t="shared" si="107"/>
        <v>2.96515937731653e-5</v>
      </c>
      <c r="AH266" s="10">
        <f t="shared" si="122"/>
        <v>0.0360633802816901</v>
      </c>
      <c r="AI266" s="10">
        <f t="shared" si="123"/>
        <v>2.84109410615435</v>
      </c>
      <c r="AJ266" s="10">
        <f t="shared" si="114"/>
        <v>2.99587842846553</v>
      </c>
      <c r="AK266" s="10">
        <f t="shared" si="126"/>
        <v>19.098012047901</v>
      </c>
      <c r="AL266" s="10">
        <f t="shared" si="119"/>
        <v>0.458710155670867</v>
      </c>
      <c r="AM266" s="10">
        <f t="shared" si="120"/>
        <v>0.0816160118606375</v>
      </c>
      <c r="AN266" s="10">
        <f t="shared" si="117"/>
        <v>2.96911907066796</v>
      </c>
    </row>
    <row r="267" ht="31" spans="1:40">
      <c r="A267" s="14">
        <v>2018</v>
      </c>
      <c r="B267" s="15">
        <v>540000</v>
      </c>
      <c r="C267" s="16" t="s">
        <v>67</v>
      </c>
      <c r="D267" s="24">
        <v>1548.4</v>
      </c>
      <c r="E267" s="25">
        <v>354</v>
      </c>
      <c r="F267" s="26">
        <v>122.84</v>
      </c>
      <c r="G267" s="27">
        <v>120</v>
      </c>
      <c r="H267" s="10">
        <v>35717</v>
      </c>
      <c r="I267" s="30">
        <v>2169.2088</v>
      </c>
      <c r="J267" s="31">
        <v>1970.64</v>
      </c>
      <c r="K267" s="24">
        <v>37064.4</v>
      </c>
      <c r="L267" s="10">
        <v>187</v>
      </c>
      <c r="M267" s="10">
        <v>47.855581</v>
      </c>
      <c r="N267" s="10">
        <v>0.04</v>
      </c>
      <c r="O267" s="10">
        <v>116.6786</v>
      </c>
      <c r="P267" s="19">
        <v>97785</v>
      </c>
      <c r="Q267" s="19">
        <v>2432.86</v>
      </c>
      <c r="R267" s="38">
        <v>4555.5</v>
      </c>
      <c r="S267" s="20">
        <v>711.8</v>
      </c>
      <c r="T267" s="39">
        <v>127</v>
      </c>
      <c r="U267" s="22">
        <v>11450</v>
      </c>
      <c r="V267" s="22">
        <v>33797</v>
      </c>
      <c r="W267" s="32">
        <v>44051</v>
      </c>
      <c r="X267" s="10">
        <v>43398</v>
      </c>
      <c r="Y267" s="10">
        <f t="shared" si="124"/>
        <v>1.40093567553604</v>
      </c>
      <c r="Z267" s="10">
        <f t="shared" si="125"/>
        <v>61277.0847457627</v>
      </c>
      <c r="AA267" s="10">
        <f t="shared" si="116"/>
        <v>0.338983050847458</v>
      </c>
      <c r="AB267" s="10">
        <f t="shared" si="118"/>
        <v>0.0100895480225989</v>
      </c>
      <c r="AC267" s="10">
        <f t="shared" si="121"/>
        <v>1.27269439421338</v>
      </c>
      <c r="AD267" s="10">
        <f t="shared" ref="AD267:AD297" si="127">K267/(D267*10000)</f>
        <v>0.00239372255231206</v>
      </c>
      <c r="AE267" s="10">
        <f t="shared" ref="AE267:AE295" si="128">LN(L267)</f>
        <v>5.23110861685459</v>
      </c>
      <c r="AF267" s="10">
        <f t="shared" si="115"/>
        <v>0.0309064718419013</v>
      </c>
      <c r="AG267" s="10">
        <f t="shared" si="107"/>
        <v>2.58331180573495e-5</v>
      </c>
      <c r="AH267" s="10">
        <f t="shared" si="122"/>
        <v>0.0753543012141566</v>
      </c>
      <c r="AI267" s="10">
        <f t="shared" si="123"/>
        <v>2.88179746011071</v>
      </c>
      <c r="AJ267" s="10">
        <f t="shared" si="114"/>
        <v>2.94206923275639</v>
      </c>
      <c r="AK267" s="10">
        <f t="shared" si="126"/>
        <v>19.2873492690256</v>
      </c>
      <c r="AL267" s="10">
        <f t="shared" si="119"/>
        <v>0.459700335830535</v>
      </c>
      <c r="AM267" s="10">
        <f t="shared" si="120"/>
        <v>0.0820201498320847</v>
      </c>
      <c r="AN267" s="10">
        <f t="shared" si="117"/>
        <v>2.95170305676856</v>
      </c>
    </row>
    <row r="268" ht="31" spans="1:40">
      <c r="A268" s="14">
        <v>2019</v>
      </c>
      <c r="B268" s="15">
        <v>540000</v>
      </c>
      <c r="C268" s="16" t="s">
        <v>67</v>
      </c>
      <c r="D268" s="24">
        <v>1697.8</v>
      </c>
      <c r="E268" s="25">
        <v>361</v>
      </c>
      <c r="F268" s="26">
        <v>122.84</v>
      </c>
      <c r="G268" s="27">
        <v>125</v>
      </c>
      <c r="H268" s="10">
        <v>36226</v>
      </c>
      <c r="I268" s="30">
        <v>2121.4862064</v>
      </c>
      <c r="J268" s="31">
        <v>2178.45</v>
      </c>
      <c r="K268" s="24">
        <v>43345.1</v>
      </c>
      <c r="L268" s="10">
        <v>190</v>
      </c>
      <c r="M268" s="10">
        <v>48.487004</v>
      </c>
      <c r="N268" s="10">
        <v>0.96</v>
      </c>
      <c r="O268" s="10">
        <v>306.1666</v>
      </c>
      <c r="P268" s="19">
        <v>103951</v>
      </c>
      <c r="Q268" s="19">
        <v>4024.69</v>
      </c>
      <c r="R268" s="38">
        <v>4695.22</v>
      </c>
      <c r="S268" s="20">
        <v>773.4</v>
      </c>
      <c r="T268" s="39">
        <v>131.7</v>
      </c>
      <c r="U268" s="22">
        <v>12951</v>
      </c>
      <c r="V268" s="22">
        <v>37410</v>
      </c>
      <c r="W268" s="32">
        <v>47491</v>
      </c>
      <c r="X268" s="10">
        <v>48902</v>
      </c>
      <c r="Y268" s="10">
        <f t="shared" si="124"/>
        <v>1.24955012745906</v>
      </c>
      <c r="Z268" s="10">
        <f t="shared" si="125"/>
        <v>58766.9309252078</v>
      </c>
      <c r="AA268" s="10">
        <f t="shared" si="116"/>
        <v>0.346260387811634</v>
      </c>
      <c r="AB268" s="10">
        <f t="shared" si="118"/>
        <v>0.0100349030470914</v>
      </c>
      <c r="AC268" s="10">
        <f t="shared" si="121"/>
        <v>1.28310166097302</v>
      </c>
      <c r="AD268" s="10">
        <f t="shared" si="127"/>
        <v>0.0025530156673342</v>
      </c>
      <c r="AE268" s="10">
        <f t="shared" si="128"/>
        <v>5.24702407216049</v>
      </c>
      <c r="AF268" s="10">
        <f t="shared" si="115"/>
        <v>0.0285587254093533</v>
      </c>
      <c r="AG268" s="10">
        <f t="shared" si="107"/>
        <v>0.000565437625161974</v>
      </c>
      <c r="AH268" s="10">
        <f t="shared" si="122"/>
        <v>0.180331370008246</v>
      </c>
      <c r="AI268" s="10">
        <f t="shared" si="123"/>
        <v>2.93878215564963</v>
      </c>
      <c r="AJ268" s="10">
        <f t="shared" si="114"/>
        <v>2.76547296501355</v>
      </c>
      <c r="AK268" s="10">
        <f t="shared" si="126"/>
        <v>19.8518780815025</v>
      </c>
      <c r="AL268" s="10">
        <f t="shared" si="119"/>
        <v>0.455530686771116</v>
      </c>
      <c r="AM268" s="10">
        <f t="shared" si="120"/>
        <v>0.0775709742019084</v>
      </c>
      <c r="AN268" s="10">
        <f t="shared" si="117"/>
        <v>2.88858003242993</v>
      </c>
    </row>
    <row r="269" ht="31" spans="1:40">
      <c r="A269" s="14">
        <v>2020</v>
      </c>
      <c r="B269" s="15">
        <v>540000</v>
      </c>
      <c r="C269" s="16" t="s">
        <v>67</v>
      </c>
      <c r="D269" s="24">
        <v>1902.7</v>
      </c>
      <c r="E269" s="25">
        <v>366</v>
      </c>
      <c r="F269" s="26">
        <v>122.84</v>
      </c>
      <c r="G269" s="27">
        <v>131</v>
      </c>
      <c r="H269" s="10">
        <v>38556</v>
      </c>
      <c r="I269" s="30">
        <v>2236.0464615456</v>
      </c>
      <c r="J269" s="31">
        <v>2189.23</v>
      </c>
      <c r="K269" s="24">
        <v>43691.7</v>
      </c>
      <c r="L269" s="10">
        <v>193</v>
      </c>
      <c r="M269" s="10">
        <v>21.419255</v>
      </c>
      <c r="N269" s="10">
        <v>0.78</v>
      </c>
      <c r="O269" s="10">
        <v>434.0815</v>
      </c>
      <c r="P269" s="19">
        <v>118238</v>
      </c>
      <c r="Q269" s="19">
        <v>4090.99</v>
      </c>
      <c r="R269" s="38">
        <v>4956.89</v>
      </c>
      <c r="S269" s="20">
        <v>745.8</v>
      </c>
      <c r="T269" s="39">
        <v>158.6</v>
      </c>
      <c r="U269" s="22">
        <v>14598</v>
      </c>
      <c r="V269" s="22">
        <v>41156</v>
      </c>
      <c r="W269" s="32">
        <v>52280</v>
      </c>
      <c r="X269" s="10">
        <v>52344.98</v>
      </c>
      <c r="Y269" s="10">
        <f t="shared" si="124"/>
        <v>1.17519654256877</v>
      </c>
      <c r="Z269" s="10">
        <f t="shared" si="125"/>
        <v>61094.165616</v>
      </c>
      <c r="AA269" s="10">
        <f t="shared" si="116"/>
        <v>0.35792349726776</v>
      </c>
      <c r="AB269" s="10">
        <f t="shared" si="118"/>
        <v>0.0105344262295082</v>
      </c>
      <c r="AC269" s="10">
        <f t="shared" si="121"/>
        <v>1.15059126504441</v>
      </c>
      <c r="AD269" s="10">
        <f t="shared" si="127"/>
        <v>0.00229629999474431</v>
      </c>
      <c r="AE269" s="10">
        <f t="shared" si="128"/>
        <v>5.26269018890489</v>
      </c>
      <c r="AF269" s="10">
        <f t="shared" ref="AF269:AF311" si="129">M269/D269</f>
        <v>0.0112572948967257</v>
      </c>
      <c r="AG269" s="10">
        <f t="shared" si="107"/>
        <v>0.000409943764124665</v>
      </c>
      <c r="AH269" s="10">
        <f t="shared" si="122"/>
        <v>0.228139748778052</v>
      </c>
      <c r="AI269" s="10">
        <f t="shared" si="123"/>
        <v>2.97948550960599</v>
      </c>
      <c r="AJ269" s="10">
        <f t="shared" si="114"/>
        <v>2.60518736532296</v>
      </c>
      <c r="AK269" s="10">
        <f t="shared" si="126"/>
        <v>19.9969970948256</v>
      </c>
      <c r="AL269" s="10">
        <f t="shared" si="119"/>
        <v>0.391969306774583</v>
      </c>
      <c r="AM269" s="10">
        <f t="shared" si="120"/>
        <v>0.0833552320386819</v>
      </c>
      <c r="AN269" s="10">
        <f t="shared" si="117"/>
        <v>2.81929031374161</v>
      </c>
    </row>
    <row r="270" ht="31" spans="1:40">
      <c r="A270" s="14">
        <v>2021</v>
      </c>
      <c r="B270" s="15">
        <v>540000</v>
      </c>
      <c r="C270" s="16" t="s">
        <v>67</v>
      </c>
      <c r="D270" s="24">
        <v>2080.2</v>
      </c>
      <c r="E270" s="25">
        <v>366</v>
      </c>
      <c r="F270" s="26">
        <v>122.84</v>
      </c>
      <c r="G270" s="27">
        <v>134</v>
      </c>
      <c r="H270" s="10">
        <v>41304</v>
      </c>
      <c r="I270" s="30">
        <v>1918.52786400612</v>
      </c>
      <c r="J270" s="31">
        <v>2011.71</v>
      </c>
      <c r="K270" s="24">
        <v>59989</v>
      </c>
      <c r="L270" s="10">
        <v>196</v>
      </c>
      <c r="M270" s="10">
        <v>39.9993</v>
      </c>
      <c r="N270" s="10">
        <v>1.7269</v>
      </c>
      <c r="O270" s="10">
        <v>67.01</v>
      </c>
      <c r="P270" s="19">
        <v>120132</v>
      </c>
      <c r="Q270" s="19">
        <v>4583</v>
      </c>
      <c r="R270" s="38">
        <v>5135.13</v>
      </c>
      <c r="S270" s="20">
        <v>810.3</v>
      </c>
      <c r="T270" s="39">
        <v>189.9</v>
      </c>
      <c r="U270" s="22">
        <v>16932</v>
      </c>
      <c r="V270" s="22">
        <v>46503</v>
      </c>
      <c r="W270" s="32">
        <v>56831</v>
      </c>
      <c r="X270" s="10">
        <v>56831</v>
      </c>
      <c r="Y270" s="10">
        <f t="shared" si="124"/>
        <v>0.922280484571734</v>
      </c>
      <c r="Z270" s="10">
        <f t="shared" si="125"/>
        <v>52418.7940985279</v>
      </c>
      <c r="AA270" s="10">
        <f t="shared" si="116"/>
        <v>0.366120218579235</v>
      </c>
      <c r="AB270" s="10">
        <f t="shared" si="118"/>
        <v>0.0112852459016393</v>
      </c>
      <c r="AC270" s="10">
        <f t="shared" si="121"/>
        <v>0.967075281222959</v>
      </c>
      <c r="AD270" s="10">
        <f t="shared" si="127"/>
        <v>0.00288380924911066</v>
      </c>
      <c r="AE270" s="10">
        <f t="shared" si="128"/>
        <v>5.27811465923052</v>
      </c>
      <c r="AF270" s="10">
        <f t="shared" si="129"/>
        <v>0.0192285837900202</v>
      </c>
      <c r="AG270" s="10">
        <f t="shared" si="107"/>
        <v>0.000830160561484473</v>
      </c>
      <c r="AH270" s="10">
        <f t="shared" si="122"/>
        <v>0.032213248726084</v>
      </c>
      <c r="AI270" s="10">
        <f t="shared" si="123"/>
        <v>2.97948550960599</v>
      </c>
      <c r="AJ270" s="10">
        <f t="shared" si="114"/>
        <v>2.46857513700606</v>
      </c>
      <c r="AK270" s="10">
        <f t="shared" si="126"/>
        <v>20.1264555017166</v>
      </c>
      <c r="AL270" s="10">
        <f t="shared" si="119"/>
        <v>0.38952985289876</v>
      </c>
      <c r="AM270" s="10">
        <f t="shared" si="120"/>
        <v>0.0912892991058552</v>
      </c>
      <c r="AN270" s="10">
        <f t="shared" si="117"/>
        <v>2.74645641389086</v>
      </c>
    </row>
    <row r="271" ht="31" spans="1:40">
      <c r="A271" s="14">
        <v>2022</v>
      </c>
      <c r="B271" s="15">
        <v>540000</v>
      </c>
      <c r="C271" s="16" t="s">
        <v>67</v>
      </c>
      <c r="D271" s="24">
        <v>2150.2</v>
      </c>
      <c r="E271" s="25">
        <v>364</v>
      </c>
      <c r="F271" s="26">
        <v>122.84</v>
      </c>
      <c r="G271" s="27">
        <v>136</v>
      </c>
      <c r="H271" s="10">
        <v>42518</v>
      </c>
      <c r="I271" s="30">
        <v>1573.19284848502</v>
      </c>
      <c r="J271" s="31">
        <v>2574.66</v>
      </c>
      <c r="K271" s="24">
        <v>69590.1</v>
      </c>
      <c r="L271" s="10">
        <v>192</v>
      </c>
      <c r="M271" s="10">
        <v>46.41009</v>
      </c>
      <c r="N271" s="10">
        <v>6.21</v>
      </c>
      <c r="O271" s="10">
        <v>64.8886</v>
      </c>
      <c r="P271" s="35">
        <v>120852</v>
      </c>
      <c r="Q271" s="35">
        <v>4024</v>
      </c>
      <c r="R271" s="38">
        <v>5416.17</v>
      </c>
      <c r="S271" s="20">
        <v>726.5</v>
      </c>
      <c r="T271" s="39">
        <v>214.9</v>
      </c>
      <c r="U271" s="22">
        <v>18209</v>
      </c>
      <c r="V271" s="22">
        <v>48753</v>
      </c>
      <c r="W271" s="32">
        <v>58908</v>
      </c>
      <c r="X271" s="10">
        <v>58438</v>
      </c>
      <c r="Y271" s="10">
        <f t="shared" si="124"/>
        <v>0.731649543523868</v>
      </c>
      <c r="Z271" s="10">
        <f t="shared" si="125"/>
        <v>43219.5837495885</v>
      </c>
      <c r="AA271" s="10">
        <f t="shared" si="116"/>
        <v>0.373626373626374</v>
      </c>
      <c r="AB271" s="10">
        <f t="shared" si="118"/>
        <v>0.0116807692307692</v>
      </c>
      <c r="AC271" s="10">
        <f t="shared" si="121"/>
        <v>1.19740489256813</v>
      </c>
      <c r="AD271" s="10">
        <f t="shared" si="127"/>
        <v>0.00323644777230025</v>
      </c>
      <c r="AE271" s="10">
        <f t="shared" si="128"/>
        <v>5.25749537202778</v>
      </c>
      <c r="AF271" s="10">
        <f t="shared" si="129"/>
        <v>0.0215840805506465</v>
      </c>
      <c r="AG271" s="10">
        <f t="shared" si="107"/>
        <v>0.00288810343223886</v>
      </c>
      <c r="AH271" s="10">
        <f t="shared" si="122"/>
        <v>0.030177936936099</v>
      </c>
      <c r="AI271" s="10">
        <f t="shared" si="123"/>
        <v>2.96320416802344</v>
      </c>
      <c r="AJ271" s="10">
        <f t="shared" si="114"/>
        <v>2.51891451957957</v>
      </c>
      <c r="AK271" s="10">
        <f t="shared" si="126"/>
        <v>20.0023536472157</v>
      </c>
      <c r="AL271" s="10">
        <f t="shared" si="119"/>
        <v>0.337875546460794</v>
      </c>
      <c r="AM271" s="10">
        <f t="shared" si="120"/>
        <v>0.0999441912380244</v>
      </c>
      <c r="AN271" s="10">
        <f t="shared" si="117"/>
        <v>2.67741226865836</v>
      </c>
    </row>
    <row r="272" ht="31" spans="1:40">
      <c r="A272" s="14">
        <v>2013</v>
      </c>
      <c r="B272" s="15">
        <v>650000</v>
      </c>
      <c r="C272" s="16" t="s">
        <v>68</v>
      </c>
      <c r="D272" s="24">
        <v>8392.6</v>
      </c>
      <c r="E272" s="25">
        <v>2285</v>
      </c>
      <c r="F272" s="26">
        <v>163.15</v>
      </c>
      <c r="G272" s="27">
        <v>1027</v>
      </c>
      <c r="H272" s="10">
        <v>278425</v>
      </c>
      <c r="I272" s="30">
        <v>7732.3</v>
      </c>
      <c r="J272" s="31">
        <v>3067.06</v>
      </c>
      <c r="K272" s="24">
        <v>454597.9</v>
      </c>
      <c r="L272" s="10">
        <v>1260</v>
      </c>
      <c r="M272" s="10">
        <v>1706.9321</v>
      </c>
      <c r="N272" s="10">
        <v>3</v>
      </c>
      <c r="O272" s="10">
        <v>317.0682</v>
      </c>
      <c r="P272" s="19">
        <v>170155</v>
      </c>
      <c r="Q272" s="19">
        <v>66907.7</v>
      </c>
      <c r="R272" s="38">
        <v>9840.46</v>
      </c>
      <c r="S272" s="20">
        <v>2179.5</v>
      </c>
      <c r="T272" s="39">
        <v>2951.6</v>
      </c>
      <c r="U272" s="22">
        <v>7847</v>
      </c>
      <c r="V272" s="22">
        <v>21091</v>
      </c>
      <c r="W272" s="32">
        <v>36988</v>
      </c>
      <c r="X272" s="10">
        <v>37552.5452</v>
      </c>
      <c r="Y272" s="10">
        <f t="shared" si="124"/>
        <v>0.921323546934204</v>
      </c>
      <c r="Z272" s="10">
        <f t="shared" si="125"/>
        <v>33839.3873085339</v>
      </c>
      <c r="AA272" s="10">
        <f t="shared" ref="AA272:AA295" si="130">G272/E272</f>
        <v>0.44945295404814</v>
      </c>
      <c r="AB272" s="10">
        <f t="shared" si="118"/>
        <v>0.0121849015317287</v>
      </c>
      <c r="AC272" s="10">
        <f t="shared" si="121"/>
        <v>0.365448132878965</v>
      </c>
      <c r="AD272" s="10">
        <f t="shared" si="127"/>
        <v>0.00541665157400567</v>
      </c>
      <c r="AE272" s="10">
        <f t="shared" si="128"/>
        <v>7.13886699994552</v>
      </c>
      <c r="AF272" s="10">
        <f t="shared" si="129"/>
        <v>0.203385375211496</v>
      </c>
      <c r="AG272" s="10">
        <f t="shared" si="107"/>
        <v>0.000357457760407978</v>
      </c>
      <c r="AH272" s="10">
        <f t="shared" si="122"/>
        <v>0.037779496222863</v>
      </c>
      <c r="AI272" s="10">
        <f t="shared" si="123"/>
        <v>14.0055163959546</v>
      </c>
      <c r="AJ272" s="10">
        <f t="shared" si="114"/>
        <v>1.1725162643281</v>
      </c>
      <c r="AK272" s="10">
        <f t="shared" si="126"/>
        <v>23.1555344019864</v>
      </c>
      <c r="AL272" s="10">
        <f t="shared" si="119"/>
        <v>0.259693062936396</v>
      </c>
      <c r="AM272" s="10">
        <f t="shared" si="120"/>
        <v>0.35169077520673</v>
      </c>
      <c r="AN272" s="10">
        <f t="shared" si="117"/>
        <v>2.68777876895629</v>
      </c>
    </row>
    <row r="273" ht="31" spans="1:40">
      <c r="A273" s="14">
        <v>2014</v>
      </c>
      <c r="B273" s="15">
        <v>650000</v>
      </c>
      <c r="C273" s="16" t="s">
        <v>68</v>
      </c>
      <c r="D273" s="24">
        <v>9264.5</v>
      </c>
      <c r="E273" s="25">
        <v>2325</v>
      </c>
      <c r="F273" s="26">
        <v>163.15</v>
      </c>
      <c r="G273" s="27">
        <v>1088</v>
      </c>
      <c r="H273" s="10">
        <v>290418</v>
      </c>
      <c r="I273" s="30">
        <v>9447.74</v>
      </c>
      <c r="J273" s="31">
        <v>3317.23</v>
      </c>
      <c r="K273" s="24">
        <v>491587.3</v>
      </c>
      <c r="L273" s="10">
        <v>1265</v>
      </c>
      <c r="M273" s="10">
        <v>1699.855</v>
      </c>
      <c r="N273" s="10">
        <v>2.82</v>
      </c>
      <c r="O273" s="10">
        <v>349.258</v>
      </c>
      <c r="P273" s="19">
        <v>175468</v>
      </c>
      <c r="Q273" s="19">
        <v>72168.2</v>
      </c>
      <c r="R273" s="38">
        <v>11671.39</v>
      </c>
      <c r="S273" s="20">
        <v>2436.5</v>
      </c>
      <c r="T273" s="39">
        <v>3211.2</v>
      </c>
      <c r="U273" s="22">
        <v>8724</v>
      </c>
      <c r="V273" s="22">
        <v>23214</v>
      </c>
      <c r="W273" s="32">
        <v>40193</v>
      </c>
      <c r="X273" s="10">
        <v>40648</v>
      </c>
      <c r="Y273" s="10">
        <f t="shared" si="124"/>
        <v>1.01977872524151</v>
      </c>
      <c r="Z273" s="10">
        <f t="shared" si="125"/>
        <v>40635.4408602151</v>
      </c>
      <c r="AA273" s="10">
        <f t="shared" si="130"/>
        <v>0.467956989247312</v>
      </c>
      <c r="AB273" s="10">
        <f t="shared" si="118"/>
        <v>0.0124910967741935</v>
      </c>
      <c r="AC273" s="10">
        <f t="shared" si="121"/>
        <v>0.358058179070646</v>
      </c>
      <c r="AD273" s="10">
        <f t="shared" si="127"/>
        <v>0.00530613956500621</v>
      </c>
      <c r="AE273" s="10">
        <f t="shared" si="128"/>
        <v>7.14282740116162</v>
      </c>
      <c r="AF273" s="10">
        <f t="shared" si="129"/>
        <v>0.183480490042636</v>
      </c>
      <c r="AG273" s="10">
        <f t="shared" si="107"/>
        <v>0.000304387716552431</v>
      </c>
      <c r="AH273" s="10">
        <f t="shared" si="122"/>
        <v>0.0376985266339252</v>
      </c>
      <c r="AI273" s="10">
        <f t="shared" si="123"/>
        <v>14.2506895494943</v>
      </c>
      <c r="AJ273" s="10">
        <f t="shared" si="114"/>
        <v>1.25979707485563</v>
      </c>
      <c r="AK273" s="10">
        <f t="shared" si="126"/>
        <v>23.2619667537245</v>
      </c>
      <c r="AL273" s="10">
        <f t="shared" ref="AL273:AL301" si="131">S273/D273</f>
        <v>0.262993145879432</v>
      </c>
      <c r="AM273" s="10">
        <f t="shared" si="120"/>
        <v>0.346613416806088</v>
      </c>
      <c r="AN273" s="10">
        <f t="shared" si="117"/>
        <v>2.66093535075653</v>
      </c>
    </row>
    <row r="274" ht="31" spans="1:40">
      <c r="A274" s="14">
        <v>2015</v>
      </c>
      <c r="B274" s="15">
        <v>650000</v>
      </c>
      <c r="C274" s="16" t="s">
        <v>68</v>
      </c>
      <c r="D274" s="24">
        <v>9306.9</v>
      </c>
      <c r="E274" s="25">
        <v>2385</v>
      </c>
      <c r="F274" s="26">
        <v>163.15</v>
      </c>
      <c r="G274" s="27">
        <v>1163</v>
      </c>
      <c r="H274" s="10">
        <v>304682</v>
      </c>
      <c r="I274" s="30">
        <v>10813.03</v>
      </c>
      <c r="J274" s="31">
        <v>3804.3</v>
      </c>
      <c r="K274" s="24">
        <v>520009.7</v>
      </c>
      <c r="L274" s="10">
        <v>1292</v>
      </c>
      <c r="M274" s="10">
        <v>1225.0887</v>
      </c>
      <c r="N274" s="10">
        <v>3.03</v>
      </c>
      <c r="O274" s="10">
        <v>404.8002</v>
      </c>
      <c r="P274" s="19">
        <v>178263</v>
      </c>
      <c r="Q274" s="19">
        <v>70673</v>
      </c>
      <c r="R274" s="38">
        <v>13041</v>
      </c>
      <c r="S274" s="20">
        <v>2769.6</v>
      </c>
      <c r="T274" s="39">
        <v>2770.9</v>
      </c>
      <c r="U274" s="22">
        <v>9425</v>
      </c>
      <c r="V274" s="22">
        <v>26275</v>
      </c>
      <c r="W274" s="32">
        <v>39520</v>
      </c>
      <c r="X274" s="10">
        <v>40036</v>
      </c>
      <c r="Y274" s="10">
        <f t="shared" si="124"/>
        <v>1.16182939539481</v>
      </c>
      <c r="Z274" s="10">
        <f t="shared" si="125"/>
        <v>45337.6519916143</v>
      </c>
      <c r="AA274" s="10">
        <f t="shared" si="130"/>
        <v>0.487631027253669</v>
      </c>
      <c r="AB274" s="10">
        <f t="shared" si="118"/>
        <v>0.0127749266247379</v>
      </c>
      <c r="AC274" s="10">
        <f t="shared" si="121"/>
        <v>0.408761241659414</v>
      </c>
      <c r="AD274" s="10">
        <f t="shared" si="127"/>
        <v>0.00558735669234654</v>
      </c>
      <c r="AE274" s="10">
        <f t="shared" si="128"/>
        <v>7.16394668434255</v>
      </c>
      <c r="AF274" s="10">
        <f t="shared" si="129"/>
        <v>0.131632305063985</v>
      </c>
      <c r="AG274" s="10">
        <f t="shared" si="107"/>
        <v>0.000325564903458724</v>
      </c>
      <c r="AH274" s="10">
        <f t="shared" si="122"/>
        <v>0.0434946330142153</v>
      </c>
      <c r="AI274" s="10">
        <f t="shared" si="123"/>
        <v>14.6184492798039</v>
      </c>
      <c r="AJ274" s="10">
        <f t="shared" si="114"/>
        <v>1.40121845082681</v>
      </c>
      <c r="AK274" s="10">
        <f t="shared" si="126"/>
        <v>23.2568341505052</v>
      </c>
      <c r="AL274" s="10">
        <f t="shared" si="131"/>
        <v>0.297585662250588</v>
      </c>
      <c r="AM274" s="10">
        <f t="shared" si="120"/>
        <v>0.297725343562303</v>
      </c>
      <c r="AN274" s="10">
        <f t="shared" si="117"/>
        <v>2.78779840848806</v>
      </c>
    </row>
    <row r="275" ht="31" spans="1:40">
      <c r="A275" s="14">
        <v>2016</v>
      </c>
      <c r="B275" s="15">
        <v>650000</v>
      </c>
      <c r="C275" s="16" t="s">
        <v>68</v>
      </c>
      <c r="D275" s="24">
        <v>9630.8</v>
      </c>
      <c r="E275" s="25">
        <v>2428</v>
      </c>
      <c r="F275" s="26">
        <v>163.15</v>
      </c>
      <c r="G275" s="27">
        <v>1224</v>
      </c>
      <c r="H275" s="10">
        <v>319875</v>
      </c>
      <c r="I275" s="30">
        <v>10287.53</v>
      </c>
      <c r="J275" s="31">
        <v>4137.47</v>
      </c>
      <c r="K275" s="24">
        <v>566301.3</v>
      </c>
      <c r="L275" s="10">
        <v>1320</v>
      </c>
      <c r="M275" s="10">
        <v>1171.5519</v>
      </c>
      <c r="N275" s="10">
        <v>4.28</v>
      </c>
      <c r="O275" s="10">
        <v>280.3497</v>
      </c>
      <c r="P275" s="19">
        <v>182085</v>
      </c>
      <c r="Q275" s="19">
        <v>71961.3</v>
      </c>
      <c r="R275" s="38">
        <v>14552.71</v>
      </c>
      <c r="S275" s="20">
        <v>3005.2</v>
      </c>
      <c r="T275" s="39">
        <v>2686.8</v>
      </c>
      <c r="U275" s="22">
        <v>10183</v>
      </c>
      <c r="V275" s="22">
        <v>28463</v>
      </c>
      <c r="W275" s="32">
        <v>40020</v>
      </c>
      <c r="X275" s="10">
        <v>40564</v>
      </c>
      <c r="Y275" s="10">
        <f t="shared" si="124"/>
        <v>1.06819059683515</v>
      </c>
      <c r="Z275" s="10">
        <f t="shared" si="125"/>
        <v>42370.3871499176</v>
      </c>
      <c r="AA275" s="10">
        <f t="shared" si="130"/>
        <v>0.504118616144975</v>
      </c>
      <c r="AB275" s="10">
        <f t="shared" si="118"/>
        <v>0.0131744233937397</v>
      </c>
      <c r="AC275" s="10">
        <f t="shared" si="121"/>
        <v>0.429608132242389</v>
      </c>
      <c r="AD275" s="10">
        <f t="shared" si="127"/>
        <v>0.00588010653320597</v>
      </c>
      <c r="AE275" s="10">
        <f t="shared" si="128"/>
        <v>7.18538701558042</v>
      </c>
      <c r="AF275" s="10">
        <f t="shared" si="129"/>
        <v>0.12164637413299</v>
      </c>
      <c r="AG275" s="10">
        <f t="shared" si="107"/>
        <v>0.00044440752585455</v>
      </c>
      <c r="AH275" s="10">
        <f t="shared" si="122"/>
        <v>0.0291097001287536</v>
      </c>
      <c r="AI275" s="10">
        <f t="shared" si="123"/>
        <v>14.882010419859</v>
      </c>
      <c r="AJ275" s="10">
        <f t="shared" si="114"/>
        <v>1.51105930971467</v>
      </c>
      <c r="AK275" s="10">
        <f t="shared" si="126"/>
        <v>23.2961126434933</v>
      </c>
      <c r="AL275" s="10">
        <f t="shared" si="131"/>
        <v>0.312040536611704</v>
      </c>
      <c r="AM275" s="10">
        <f t="shared" si="120"/>
        <v>0.278979939361216</v>
      </c>
      <c r="AN275" s="10">
        <f t="shared" ref="AN275:AN311" si="132">V275/U275</f>
        <v>2.79514877737405</v>
      </c>
    </row>
    <row r="276" ht="31" spans="1:40">
      <c r="A276" s="14">
        <v>2017</v>
      </c>
      <c r="B276" s="15">
        <v>650000</v>
      </c>
      <c r="C276" s="16" t="s">
        <v>68</v>
      </c>
      <c r="D276" s="24">
        <v>11159.9</v>
      </c>
      <c r="E276" s="25">
        <v>2480</v>
      </c>
      <c r="F276" s="26">
        <v>163.15</v>
      </c>
      <c r="G276" s="27">
        <v>1287</v>
      </c>
      <c r="H276" s="10">
        <v>346044</v>
      </c>
      <c r="I276" s="30">
        <v>12089.12</v>
      </c>
      <c r="J276" s="31">
        <v>4636.33</v>
      </c>
      <c r="K276" s="24">
        <v>569519.3</v>
      </c>
      <c r="L276" s="10">
        <v>1336</v>
      </c>
      <c r="M276" s="10">
        <v>1388.746</v>
      </c>
      <c r="N276" s="10">
        <v>5.76</v>
      </c>
      <c r="O276" s="10">
        <v>365.7955</v>
      </c>
      <c r="P276" s="19">
        <v>185338</v>
      </c>
      <c r="Q276" s="19">
        <v>84395.1</v>
      </c>
      <c r="R276" s="38">
        <v>16871</v>
      </c>
      <c r="S276" s="20">
        <v>3249.8</v>
      </c>
      <c r="T276" s="39">
        <v>3266.1</v>
      </c>
      <c r="U276" s="22">
        <v>11045</v>
      </c>
      <c r="V276" s="22">
        <v>30775</v>
      </c>
      <c r="W276" s="32">
        <v>45476</v>
      </c>
      <c r="X276" s="10">
        <v>44941</v>
      </c>
      <c r="Y276" s="10">
        <f t="shared" si="124"/>
        <v>1.08326418695508</v>
      </c>
      <c r="Z276" s="10">
        <f t="shared" si="125"/>
        <v>48746.4516129032</v>
      </c>
      <c r="AA276" s="10">
        <f t="shared" si="130"/>
        <v>0.518951612903226</v>
      </c>
      <c r="AB276" s="10">
        <f t="shared" si="118"/>
        <v>0.0139533870967742</v>
      </c>
      <c r="AC276" s="10">
        <f t="shared" si="121"/>
        <v>0.415445478902141</v>
      </c>
      <c r="AD276" s="10">
        <f t="shared" si="127"/>
        <v>0.00510326526223353</v>
      </c>
      <c r="AE276" s="10">
        <f t="shared" si="128"/>
        <v>7.19743535409659</v>
      </c>
      <c r="AF276" s="10">
        <f t="shared" si="129"/>
        <v>0.124440720794989</v>
      </c>
      <c r="AG276" s="10">
        <f t="shared" si="107"/>
        <v>0.000516133657111623</v>
      </c>
      <c r="AH276" s="10">
        <f t="shared" si="122"/>
        <v>0.0327776682586762</v>
      </c>
      <c r="AI276" s="10">
        <f t="shared" si="123"/>
        <v>15.2007355194606</v>
      </c>
      <c r="AJ276" s="10">
        <f t="shared" si="114"/>
        <v>1.51175189741844</v>
      </c>
      <c r="AK276" s="10">
        <f t="shared" si="126"/>
        <v>23.4732010861304</v>
      </c>
      <c r="AL276" s="10">
        <f t="shared" si="131"/>
        <v>0.291203326194679</v>
      </c>
      <c r="AM276" s="10">
        <f t="shared" si="120"/>
        <v>0.292663912759075</v>
      </c>
      <c r="AN276" s="10">
        <f t="shared" si="132"/>
        <v>2.78632865550023</v>
      </c>
    </row>
    <row r="277" ht="31" spans="1:40">
      <c r="A277" s="14">
        <v>2018</v>
      </c>
      <c r="B277" s="15">
        <v>650000</v>
      </c>
      <c r="C277" s="16" t="s">
        <v>68</v>
      </c>
      <c r="D277" s="24">
        <v>12809.4</v>
      </c>
      <c r="E277" s="25">
        <v>2520</v>
      </c>
      <c r="F277" s="26">
        <v>163.15</v>
      </c>
      <c r="G277" s="27">
        <v>1361</v>
      </c>
      <c r="H277" s="10">
        <v>374944</v>
      </c>
      <c r="I277" s="30">
        <v>9042.66176</v>
      </c>
      <c r="J277" s="31">
        <v>5011.78</v>
      </c>
      <c r="K277" s="24">
        <v>643134.9</v>
      </c>
      <c r="L277" s="10">
        <v>1331</v>
      </c>
      <c r="M277" s="10">
        <v>1323.4633</v>
      </c>
      <c r="N277" s="10">
        <v>3.92</v>
      </c>
      <c r="O277" s="10">
        <v>894.2054</v>
      </c>
      <c r="P277" s="19">
        <v>189050</v>
      </c>
      <c r="Q277" s="19">
        <v>97498</v>
      </c>
      <c r="R277" s="38">
        <v>18203.14</v>
      </c>
      <c r="S277" s="20">
        <v>3429.1</v>
      </c>
      <c r="T277" s="39">
        <v>3758.5</v>
      </c>
      <c r="U277" s="22">
        <v>11975</v>
      </c>
      <c r="V277" s="22">
        <v>32764</v>
      </c>
      <c r="W277" s="32">
        <v>51238</v>
      </c>
      <c r="X277" s="10">
        <v>49474.7173</v>
      </c>
      <c r="Y277" s="10">
        <f t="shared" si="124"/>
        <v>0.705939525660843</v>
      </c>
      <c r="Z277" s="10">
        <f t="shared" si="125"/>
        <v>35883.5784126984</v>
      </c>
      <c r="AA277" s="10">
        <f t="shared" si="130"/>
        <v>0.540079365079365</v>
      </c>
      <c r="AB277" s="10">
        <f t="shared" si="118"/>
        <v>0.0148787301587302</v>
      </c>
      <c r="AC277" s="10">
        <f t="shared" si="121"/>
        <v>0.391257982419161</v>
      </c>
      <c r="AD277" s="10">
        <f t="shared" si="127"/>
        <v>0.00502080425312661</v>
      </c>
      <c r="AE277" s="10">
        <f t="shared" si="128"/>
        <v>7.19368581839511</v>
      </c>
      <c r="AF277" s="10">
        <f t="shared" si="129"/>
        <v>0.103319694911549</v>
      </c>
      <c r="AG277" s="10">
        <f t="shared" si="107"/>
        <v>0.000306025262697706</v>
      </c>
      <c r="AH277" s="10">
        <f t="shared" si="122"/>
        <v>0.0698085312348744</v>
      </c>
      <c r="AI277" s="10">
        <f t="shared" si="123"/>
        <v>15.4459086730003</v>
      </c>
      <c r="AJ277" s="10">
        <f t="shared" si="114"/>
        <v>1.42107670929161</v>
      </c>
      <c r="AK277" s="10">
        <f t="shared" si="126"/>
        <v>23.6373539532741</v>
      </c>
      <c r="AL277" s="10">
        <f t="shared" si="131"/>
        <v>0.267701843958343</v>
      </c>
      <c r="AM277" s="10">
        <f t="shared" si="120"/>
        <v>0.293417334145237</v>
      </c>
      <c r="AN277" s="10">
        <f t="shared" si="132"/>
        <v>2.73603340292276</v>
      </c>
    </row>
    <row r="278" ht="31" spans="1:40">
      <c r="A278" s="14">
        <v>2019</v>
      </c>
      <c r="B278" s="15">
        <v>650000</v>
      </c>
      <c r="C278" s="16" t="s">
        <v>68</v>
      </c>
      <c r="D278" s="24">
        <v>13597.1</v>
      </c>
      <c r="E278" s="25">
        <v>2559</v>
      </c>
      <c r="F278" s="26">
        <v>163.15</v>
      </c>
      <c r="G278" s="27">
        <v>1421</v>
      </c>
      <c r="H278" s="10">
        <v>426966</v>
      </c>
      <c r="I278" s="30">
        <v>9268.728304</v>
      </c>
      <c r="J278" s="31">
        <v>5296.24</v>
      </c>
      <c r="K278" s="24">
        <v>641033.1</v>
      </c>
      <c r="L278" s="10">
        <v>1343</v>
      </c>
      <c r="M278" s="10">
        <v>1635.4514</v>
      </c>
      <c r="N278" s="10">
        <v>7.82</v>
      </c>
      <c r="O278" s="10">
        <v>2049.026</v>
      </c>
      <c r="P278" s="19">
        <v>194222</v>
      </c>
      <c r="Q278" s="19">
        <v>84422.8</v>
      </c>
      <c r="R278" s="38">
        <v>19960.11</v>
      </c>
      <c r="S278" s="20">
        <v>3617</v>
      </c>
      <c r="T278" s="39">
        <v>3831</v>
      </c>
      <c r="U278" s="22">
        <v>13122</v>
      </c>
      <c r="V278" s="22">
        <v>34664</v>
      </c>
      <c r="W278" s="32">
        <v>53542</v>
      </c>
      <c r="X278" s="10">
        <v>54280</v>
      </c>
      <c r="Y278" s="10">
        <f t="shared" si="124"/>
        <v>0.68166949599547</v>
      </c>
      <c r="Z278" s="10">
        <f t="shared" si="125"/>
        <v>36220.1184212583</v>
      </c>
      <c r="AA278" s="10">
        <f t="shared" si="130"/>
        <v>0.555295037123877</v>
      </c>
      <c r="AB278" s="10">
        <f t="shared" si="118"/>
        <v>0.016684876905041</v>
      </c>
      <c r="AC278" s="10">
        <f t="shared" si="121"/>
        <v>0.389512469570717</v>
      </c>
      <c r="AD278" s="10">
        <f t="shared" si="127"/>
        <v>0.00471448397084672</v>
      </c>
      <c r="AE278" s="10">
        <f t="shared" si="128"/>
        <v>7.20266119652324</v>
      </c>
      <c r="AF278" s="10">
        <f t="shared" si="129"/>
        <v>0.120279427230807</v>
      </c>
      <c r="AG278" s="10">
        <f t="shared" si="107"/>
        <v>0.000575122636444536</v>
      </c>
      <c r="AH278" s="10">
        <f t="shared" si="122"/>
        <v>0.150695810135985</v>
      </c>
      <c r="AI278" s="10">
        <f t="shared" si="123"/>
        <v>15.6849524977015</v>
      </c>
      <c r="AJ278" s="10">
        <f t="shared" si="114"/>
        <v>1.46796816968324</v>
      </c>
      <c r="AK278" s="10">
        <f t="shared" si="126"/>
        <v>23.5203498999783</v>
      </c>
      <c r="AL278" s="10">
        <f t="shared" si="131"/>
        <v>0.266012605629141</v>
      </c>
      <c r="AM278" s="10">
        <f t="shared" si="120"/>
        <v>0.281751255782483</v>
      </c>
      <c r="AN278" s="10">
        <f t="shared" si="132"/>
        <v>2.64167047706142</v>
      </c>
    </row>
    <row r="279" ht="31" spans="1:40">
      <c r="A279" s="14">
        <v>2020</v>
      </c>
      <c r="B279" s="15">
        <v>650000</v>
      </c>
      <c r="C279" s="16" t="s">
        <v>68</v>
      </c>
      <c r="D279" s="24">
        <v>13800.7</v>
      </c>
      <c r="E279" s="25">
        <v>2590</v>
      </c>
      <c r="F279" s="26">
        <v>163.15</v>
      </c>
      <c r="G279" s="27">
        <v>1464</v>
      </c>
      <c r="H279" s="10">
        <v>486680</v>
      </c>
      <c r="I279" s="30">
        <v>10770.262289248</v>
      </c>
      <c r="J279" s="31">
        <v>5510.97</v>
      </c>
      <c r="K279" s="24">
        <v>615662.3</v>
      </c>
      <c r="L279" s="10">
        <v>1356</v>
      </c>
      <c r="M279" s="10">
        <v>1474.28</v>
      </c>
      <c r="N279" s="10">
        <v>15.11</v>
      </c>
      <c r="O279" s="10">
        <v>3138.0183</v>
      </c>
      <c r="P279" s="19">
        <v>209220</v>
      </c>
      <c r="Q279" s="19">
        <v>57813.9</v>
      </c>
      <c r="R279" s="38">
        <v>22377.6</v>
      </c>
      <c r="S279" s="20">
        <v>3062.5</v>
      </c>
      <c r="T279" s="39">
        <v>3683</v>
      </c>
      <c r="U279" s="22">
        <v>14056</v>
      </c>
      <c r="V279" s="22">
        <v>34838</v>
      </c>
      <c r="W279" s="32">
        <v>53606</v>
      </c>
      <c r="X279" s="10">
        <v>53593.24</v>
      </c>
      <c r="Y279" s="10">
        <f t="shared" si="124"/>
        <v>0.780414202848261</v>
      </c>
      <c r="Z279" s="10">
        <f t="shared" si="125"/>
        <v>41584.0242828108</v>
      </c>
      <c r="AA279" s="10">
        <f t="shared" si="130"/>
        <v>0.565250965250965</v>
      </c>
      <c r="AB279" s="10">
        <f t="shared" si="118"/>
        <v>0.0187907335907336</v>
      </c>
      <c r="AC279" s="10">
        <f t="shared" si="121"/>
        <v>0.399325396537857</v>
      </c>
      <c r="AD279" s="10">
        <f t="shared" si="127"/>
        <v>0.00446109472707906</v>
      </c>
      <c r="AE279" s="10">
        <f t="shared" si="128"/>
        <v>7.21229446850034</v>
      </c>
      <c r="AF279" s="10">
        <f t="shared" si="129"/>
        <v>0.106826465324223</v>
      </c>
      <c r="AG279" s="10">
        <f t="shared" si="107"/>
        <v>0.00109487199924641</v>
      </c>
      <c r="AH279" s="10">
        <f t="shared" si="122"/>
        <v>0.227381096611041</v>
      </c>
      <c r="AI279" s="10">
        <f t="shared" si="123"/>
        <v>15.8749616916948</v>
      </c>
      <c r="AJ279" s="10">
        <f t="shared" ref="AJ279:AJ311" si="133">R279/D279</f>
        <v>1.62148296825523</v>
      </c>
      <c r="AK279" s="10">
        <f t="shared" si="126"/>
        <v>23.2161261190755</v>
      </c>
      <c r="AL279" s="10">
        <f t="shared" si="131"/>
        <v>0.221909033599745</v>
      </c>
      <c r="AM279" s="10">
        <f t="shared" si="120"/>
        <v>0.266870521060526</v>
      </c>
      <c r="AN279" s="10">
        <f t="shared" si="132"/>
        <v>2.47851451337507</v>
      </c>
    </row>
    <row r="280" ht="31" spans="1:40">
      <c r="A280" s="14">
        <v>2021</v>
      </c>
      <c r="B280" s="15">
        <v>650000</v>
      </c>
      <c r="C280" s="16" t="s">
        <v>68</v>
      </c>
      <c r="D280" s="24">
        <v>16311.6</v>
      </c>
      <c r="E280" s="25">
        <v>2589</v>
      </c>
      <c r="F280" s="26">
        <v>163.15</v>
      </c>
      <c r="G280" s="27">
        <v>1482</v>
      </c>
      <c r="H280" s="10">
        <v>555553</v>
      </c>
      <c r="I280" s="30">
        <v>12385.8016326352</v>
      </c>
      <c r="J280" s="31">
        <v>5353.55</v>
      </c>
      <c r="K280" s="24">
        <v>783117.8</v>
      </c>
      <c r="L280" s="10">
        <v>1360</v>
      </c>
      <c r="M280" s="10">
        <v>1567.7145</v>
      </c>
      <c r="N280" s="10">
        <v>18.8537</v>
      </c>
      <c r="O280" s="10">
        <v>417.61</v>
      </c>
      <c r="P280" s="19">
        <v>217326</v>
      </c>
      <c r="Q280" s="19">
        <v>73508</v>
      </c>
      <c r="R280" s="38">
        <v>25074</v>
      </c>
      <c r="S280" s="20">
        <v>3584.6</v>
      </c>
      <c r="T280" s="39">
        <v>5057.9</v>
      </c>
      <c r="U280" s="22">
        <v>15575</v>
      </c>
      <c r="V280" s="22">
        <v>37642</v>
      </c>
      <c r="W280" s="32">
        <v>62991</v>
      </c>
      <c r="X280" s="10">
        <v>61725</v>
      </c>
      <c r="Y280" s="10">
        <f t="shared" si="124"/>
        <v>0.759324752485054</v>
      </c>
      <c r="Z280" s="10">
        <f t="shared" si="125"/>
        <v>47840.0990059297</v>
      </c>
      <c r="AA280" s="10">
        <f t="shared" si="130"/>
        <v>0.572421784472769</v>
      </c>
      <c r="AB280" s="10">
        <f t="shared" si="118"/>
        <v>0.0214582078022402</v>
      </c>
      <c r="AC280" s="10">
        <f t="shared" si="121"/>
        <v>0.328205081046617</v>
      </c>
      <c r="AD280" s="10">
        <f t="shared" si="127"/>
        <v>0.00480098702763677</v>
      </c>
      <c r="AE280" s="10">
        <f t="shared" si="128"/>
        <v>7.2152399787301</v>
      </c>
      <c r="AF280" s="10">
        <f t="shared" si="129"/>
        <v>0.0961104060913706</v>
      </c>
      <c r="AG280" s="10">
        <f t="shared" si="107"/>
        <v>0.00115584614630079</v>
      </c>
      <c r="AH280" s="10">
        <f t="shared" si="122"/>
        <v>0.0256020255523676</v>
      </c>
      <c r="AI280" s="10">
        <f t="shared" si="123"/>
        <v>15.8688323628563</v>
      </c>
      <c r="AJ280" s="10">
        <f t="shared" si="133"/>
        <v>1.53718825866255</v>
      </c>
      <c r="AK280" s="10">
        <f t="shared" si="126"/>
        <v>23.4943033321554</v>
      </c>
      <c r="AL280" s="10">
        <f t="shared" si="131"/>
        <v>0.219757718433507</v>
      </c>
      <c r="AM280" s="10">
        <f t="shared" si="120"/>
        <v>0.310079943107972</v>
      </c>
      <c r="AN280" s="10">
        <f t="shared" si="132"/>
        <v>2.41682182985554</v>
      </c>
    </row>
    <row r="281" ht="31" spans="1:40">
      <c r="A281" s="14">
        <v>2022</v>
      </c>
      <c r="B281" s="15">
        <v>650000</v>
      </c>
      <c r="C281" s="16" t="s">
        <v>68</v>
      </c>
      <c r="D281" s="24">
        <v>18042.7</v>
      </c>
      <c r="E281" s="25">
        <v>2587</v>
      </c>
      <c r="F281" s="26">
        <v>163.15</v>
      </c>
      <c r="G281" s="27">
        <v>1498</v>
      </c>
      <c r="H281" s="10">
        <v>611403</v>
      </c>
      <c r="I281" s="30">
        <v>13327.1225567155</v>
      </c>
      <c r="J281" s="31">
        <v>6808.47</v>
      </c>
      <c r="K281" s="24">
        <v>909849.1</v>
      </c>
      <c r="L281" s="10">
        <v>1273</v>
      </c>
      <c r="M281" s="10">
        <v>2461.7526</v>
      </c>
      <c r="N281" s="10">
        <v>31.18</v>
      </c>
      <c r="O281" s="10">
        <v>417.4419</v>
      </c>
      <c r="P281" s="35">
        <v>223118</v>
      </c>
      <c r="Q281" s="35">
        <v>88293</v>
      </c>
      <c r="R281" s="38">
        <v>27413.92</v>
      </c>
      <c r="S281" s="20">
        <v>3240.5</v>
      </c>
      <c r="T281" s="39">
        <v>6228.2</v>
      </c>
      <c r="U281" s="22">
        <v>16550</v>
      </c>
      <c r="V281" s="22">
        <v>38410</v>
      </c>
      <c r="W281" s="32">
        <v>69717</v>
      </c>
      <c r="X281" s="10">
        <v>68552</v>
      </c>
      <c r="Y281" s="10">
        <f t="shared" si="124"/>
        <v>0.738643471138771</v>
      </c>
      <c r="Z281" s="10">
        <f t="shared" si="125"/>
        <v>51515.7423916332</v>
      </c>
      <c r="AA281" s="10">
        <f t="shared" si="130"/>
        <v>0.579049091611906</v>
      </c>
      <c r="AB281" s="10">
        <f t="shared" ref="AB281:AB311" si="134">H281/(E281*10000)</f>
        <v>0.0236336683417085</v>
      </c>
      <c r="AC281" s="10">
        <f t="shared" si="121"/>
        <v>0.37735316776314</v>
      </c>
      <c r="AD281" s="10">
        <f t="shared" si="127"/>
        <v>0.00504275468749134</v>
      </c>
      <c r="AE281" s="10">
        <f t="shared" si="128"/>
        <v>7.14913159855741</v>
      </c>
      <c r="AF281" s="10">
        <f t="shared" si="129"/>
        <v>0.136440366463999</v>
      </c>
      <c r="AG281" s="10">
        <f t="shared" si="107"/>
        <v>0.00172812273107683</v>
      </c>
      <c r="AH281" s="10">
        <f t="shared" si="122"/>
        <v>0.0231363321454106</v>
      </c>
      <c r="AI281" s="10">
        <f t="shared" si="123"/>
        <v>15.8565737051793</v>
      </c>
      <c r="AJ281" s="10">
        <f t="shared" si="133"/>
        <v>1.51939122193463</v>
      </c>
      <c r="AK281" s="10">
        <f t="shared" si="126"/>
        <v>23.7038721667263</v>
      </c>
      <c r="AL281" s="10">
        <f t="shared" si="131"/>
        <v>0.179601722580323</v>
      </c>
      <c r="AM281" s="10">
        <f t="shared" si="120"/>
        <v>0.345192238412211</v>
      </c>
      <c r="AN281" s="10">
        <f t="shared" si="132"/>
        <v>2.32084592145015</v>
      </c>
    </row>
    <row r="282" ht="16" spans="1:40">
      <c r="A282" s="14">
        <v>2013</v>
      </c>
      <c r="B282" s="15">
        <v>530000</v>
      </c>
      <c r="C282" s="16" t="s">
        <v>69</v>
      </c>
      <c r="D282" s="24">
        <v>12825.5</v>
      </c>
      <c r="E282" s="25">
        <v>4641</v>
      </c>
      <c r="F282" s="26">
        <v>38.32</v>
      </c>
      <c r="G282" s="27">
        <v>1856</v>
      </c>
      <c r="H282" s="10">
        <v>548577</v>
      </c>
      <c r="I282" s="30">
        <v>9968.3</v>
      </c>
      <c r="J282" s="31">
        <v>4096.48</v>
      </c>
      <c r="K282" s="24">
        <v>798371.4</v>
      </c>
      <c r="L282" s="10">
        <v>2835</v>
      </c>
      <c r="M282" s="10">
        <v>1567.1</v>
      </c>
      <c r="N282" s="10">
        <v>42</v>
      </c>
      <c r="O282" s="10">
        <v>452.7549</v>
      </c>
      <c r="P282" s="19">
        <v>222940</v>
      </c>
      <c r="Q282" s="19">
        <v>104329</v>
      </c>
      <c r="R282" s="38">
        <v>15782.46</v>
      </c>
      <c r="S282" s="20">
        <v>4112.6</v>
      </c>
      <c r="T282" s="39">
        <v>3903.4</v>
      </c>
      <c r="U282" s="22">
        <v>6724</v>
      </c>
      <c r="V282" s="22">
        <v>22460</v>
      </c>
      <c r="W282" s="32">
        <v>27664.93</v>
      </c>
      <c r="X282" s="10">
        <v>25322</v>
      </c>
      <c r="Y282" s="10">
        <f t="shared" si="124"/>
        <v>0.777225059451873</v>
      </c>
      <c r="Z282" s="10">
        <f t="shared" si="125"/>
        <v>21478.7761258349</v>
      </c>
      <c r="AA282" s="10">
        <f t="shared" si="130"/>
        <v>0.399913811678518</v>
      </c>
      <c r="AB282" s="10">
        <f t="shared" si="134"/>
        <v>0.011820232708468</v>
      </c>
      <c r="AC282" s="10">
        <f t="shared" si="121"/>
        <v>0.319401192935948</v>
      </c>
      <c r="AD282" s="10">
        <f t="shared" si="127"/>
        <v>0.0062248754434525</v>
      </c>
      <c r="AE282" s="10">
        <f t="shared" si="128"/>
        <v>7.94979721616185</v>
      </c>
      <c r="AF282" s="10">
        <f t="shared" si="129"/>
        <v>0.122186269541148</v>
      </c>
      <c r="AG282" s="10">
        <f t="shared" si="107"/>
        <v>0.00327472613153483</v>
      </c>
      <c r="AH282" s="10">
        <f t="shared" si="122"/>
        <v>0.0353011500526295</v>
      </c>
      <c r="AI282" s="10">
        <f t="shared" si="123"/>
        <v>121.111691022965</v>
      </c>
      <c r="AJ282" s="10">
        <f t="shared" si="133"/>
        <v>1.23055319480722</v>
      </c>
      <c r="AK282" s="10">
        <f t="shared" si="126"/>
        <v>23.8699626023889</v>
      </c>
      <c r="AL282" s="10">
        <f t="shared" si="131"/>
        <v>0.320658064013099</v>
      </c>
      <c r="AM282" s="10">
        <f t="shared" si="120"/>
        <v>0.304346809091263</v>
      </c>
      <c r="AN282" s="10">
        <f t="shared" si="132"/>
        <v>3.34027364663891</v>
      </c>
    </row>
    <row r="283" ht="16" spans="1:40">
      <c r="A283" s="14">
        <v>2014</v>
      </c>
      <c r="B283" s="15">
        <v>530000</v>
      </c>
      <c r="C283" s="16" t="s">
        <v>69</v>
      </c>
      <c r="D283" s="24">
        <v>14041.7</v>
      </c>
      <c r="E283" s="25">
        <v>4653</v>
      </c>
      <c r="F283" s="26">
        <v>38.32</v>
      </c>
      <c r="G283" s="27">
        <v>1918</v>
      </c>
      <c r="H283" s="10">
        <v>577044</v>
      </c>
      <c r="I283" s="30">
        <v>11498.53</v>
      </c>
      <c r="J283" s="31">
        <v>4437.91</v>
      </c>
      <c r="K283" s="24">
        <v>859296.8</v>
      </c>
      <c r="L283" s="10">
        <v>2859</v>
      </c>
      <c r="M283" s="10">
        <v>1818.7247</v>
      </c>
      <c r="N283" s="10">
        <v>47.92</v>
      </c>
      <c r="O283" s="10">
        <v>566.8485</v>
      </c>
      <c r="P283" s="19">
        <v>230398</v>
      </c>
      <c r="Q283" s="19">
        <v>108544</v>
      </c>
      <c r="R283" s="38">
        <v>17978.74</v>
      </c>
      <c r="S283" s="20">
        <v>4632.9</v>
      </c>
      <c r="T283" s="39">
        <v>4085</v>
      </c>
      <c r="U283" s="22">
        <v>7456</v>
      </c>
      <c r="V283" s="22">
        <v>24299</v>
      </c>
      <c r="W283" s="32">
        <v>30216.59</v>
      </c>
      <c r="X283" s="10">
        <v>27263.6349</v>
      </c>
      <c r="Y283" s="10">
        <f t="shared" si="124"/>
        <v>0.818884465556165</v>
      </c>
      <c r="Z283" s="10">
        <f t="shared" si="125"/>
        <v>24712.0782290995</v>
      </c>
      <c r="AA283" s="10">
        <f t="shared" si="130"/>
        <v>0.412207178164625</v>
      </c>
      <c r="AB283" s="10">
        <f t="shared" si="134"/>
        <v>0.0124015473887814</v>
      </c>
      <c r="AC283" s="10">
        <f t="shared" si="121"/>
        <v>0.316052187413205</v>
      </c>
      <c r="AD283" s="10">
        <f t="shared" si="127"/>
        <v>0.00611960660034042</v>
      </c>
      <c r="AE283" s="10">
        <f t="shared" si="128"/>
        <v>7.95822719232231</v>
      </c>
      <c r="AF283" s="10">
        <f t="shared" si="129"/>
        <v>0.129523113298247</v>
      </c>
      <c r="AG283" s="10">
        <f t="shared" si="107"/>
        <v>0.00341269219538945</v>
      </c>
      <c r="AH283" s="10">
        <f t="shared" si="122"/>
        <v>0.0403689368096456</v>
      </c>
      <c r="AI283" s="10">
        <f t="shared" si="123"/>
        <v>121.4248434238</v>
      </c>
      <c r="AJ283" s="10">
        <f t="shared" si="133"/>
        <v>1.28038200502788</v>
      </c>
      <c r="AK283" s="10">
        <f t="shared" si="126"/>
        <v>23.9424744269222</v>
      </c>
      <c r="AL283" s="10">
        <f t="shared" si="131"/>
        <v>0.329938682638142</v>
      </c>
      <c r="AM283" s="10">
        <f t="shared" si="120"/>
        <v>0.290919190696283</v>
      </c>
      <c r="AN283" s="10">
        <f t="shared" si="132"/>
        <v>3.25898605150215</v>
      </c>
    </row>
    <row r="284" ht="16" spans="1:40">
      <c r="A284" s="14">
        <v>2015</v>
      </c>
      <c r="B284" s="15">
        <v>530000</v>
      </c>
      <c r="C284" s="16" t="s">
        <v>69</v>
      </c>
      <c r="D284" s="24">
        <v>14960</v>
      </c>
      <c r="E284" s="25">
        <v>4663</v>
      </c>
      <c r="F284" s="26">
        <v>38.32</v>
      </c>
      <c r="G284" s="27">
        <v>2002</v>
      </c>
      <c r="H284" s="10">
        <v>614569</v>
      </c>
      <c r="I284" s="30">
        <v>13500.62</v>
      </c>
      <c r="J284" s="31">
        <v>4711.94</v>
      </c>
      <c r="K284" s="24">
        <v>1093569.6</v>
      </c>
      <c r="L284" s="10">
        <v>2823</v>
      </c>
      <c r="M284" s="10">
        <v>1525.4148</v>
      </c>
      <c r="N284" s="10">
        <v>51.84</v>
      </c>
      <c r="O284" s="10">
        <v>792.5754</v>
      </c>
      <c r="P284" s="19">
        <v>236007</v>
      </c>
      <c r="Q284" s="19">
        <v>107608</v>
      </c>
      <c r="R284" s="38">
        <v>20842.86</v>
      </c>
      <c r="S284" s="20">
        <v>6390.8</v>
      </c>
      <c r="T284" s="39">
        <v>4044.5</v>
      </c>
      <c r="U284" s="22">
        <v>8242</v>
      </c>
      <c r="V284" s="22">
        <v>26373</v>
      </c>
      <c r="W284" s="32">
        <v>32116.79</v>
      </c>
      <c r="X284" s="10">
        <v>28806</v>
      </c>
      <c r="Y284" s="10">
        <f t="shared" si="124"/>
        <v>0.902447860962567</v>
      </c>
      <c r="Z284" s="10">
        <f t="shared" si="125"/>
        <v>28952.6485095432</v>
      </c>
      <c r="AA284" s="10">
        <f t="shared" si="130"/>
        <v>0.429337336478662</v>
      </c>
      <c r="AB284" s="10">
        <f t="shared" si="134"/>
        <v>0.0131796911859318</v>
      </c>
      <c r="AC284" s="10">
        <f t="shared" si="121"/>
        <v>0.314969251336898</v>
      </c>
      <c r="AD284" s="10">
        <f t="shared" si="127"/>
        <v>0.00730995721925134</v>
      </c>
      <c r="AE284" s="10">
        <f t="shared" si="128"/>
        <v>7.94555542825349</v>
      </c>
      <c r="AF284" s="10">
        <f t="shared" si="129"/>
        <v>0.101966229946524</v>
      </c>
      <c r="AG284" s="10">
        <f t="shared" si="107"/>
        <v>0.00346524064171123</v>
      </c>
      <c r="AH284" s="10">
        <f t="shared" si="122"/>
        <v>0.0529796390374331</v>
      </c>
      <c r="AI284" s="10">
        <f t="shared" si="123"/>
        <v>121.685803757829</v>
      </c>
      <c r="AJ284" s="10">
        <f t="shared" si="133"/>
        <v>1.39323930481283</v>
      </c>
      <c r="AK284" s="10">
        <f t="shared" si="126"/>
        <v>23.9578670179732</v>
      </c>
      <c r="AL284" s="10">
        <f t="shared" si="131"/>
        <v>0.427192513368984</v>
      </c>
      <c r="AM284" s="10">
        <f t="shared" si="120"/>
        <v>0.270354278074866</v>
      </c>
      <c r="AN284" s="10">
        <f t="shared" si="132"/>
        <v>3.19983013831594</v>
      </c>
    </row>
    <row r="285" ht="16" spans="1:40">
      <c r="A285" s="14">
        <v>2016</v>
      </c>
      <c r="B285" s="15">
        <v>530000</v>
      </c>
      <c r="C285" s="16" t="s">
        <v>69</v>
      </c>
      <c r="D285" s="24">
        <v>16369</v>
      </c>
      <c r="E285" s="25">
        <v>4677</v>
      </c>
      <c r="F285" s="26">
        <v>38.32</v>
      </c>
      <c r="G285" s="27">
        <v>2088</v>
      </c>
      <c r="H285" s="10">
        <v>656594</v>
      </c>
      <c r="I285" s="30">
        <v>16119.4</v>
      </c>
      <c r="J285" s="31">
        <v>5017.59</v>
      </c>
      <c r="K285" s="24">
        <v>1327615.5</v>
      </c>
      <c r="L285" s="10">
        <v>2855</v>
      </c>
      <c r="M285" s="10">
        <v>1321.9745</v>
      </c>
      <c r="N285" s="10">
        <v>58.26</v>
      </c>
      <c r="O285" s="10">
        <v>551.0252</v>
      </c>
      <c r="P285" s="19">
        <v>238052</v>
      </c>
      <c r="Q285" s="19">
        <v>115505</v>
      </c>
      <c r="R285" s="38">
        <v>23056.28</v>
      </c>
      <c r="S285" s="20">
        <v>7222.7</v>
      </c>
      <c r="T285" s="39">
        <v>4087.5</v>
      </c>
      <c r="U285" s="22">
        <v>9020</v>
      </c>
      <c r="V285" s="22">
        <v>28611</v>
      </c>
      <c r="W285" s="32">
        <v>35051.39</v>
      </c>
      <c r="X285" s="10">
        <v>31093</v>
      </c>
      <c r="Y285" s="10">
        <f t="shared" si="124"/>
        <v>0.984751664732116</v>
      </c>
      <c r="Z285" s="10">
        <f t="shared" si="125"/>
        <v>34465.255505666</v>
      </c>
      <c r="AA285" s="10">
        <f t="shared" si="130"/>
        <v>0.446440025657473</v>
      </c>
      <c r="AB285" s="10">
        <f t="shared" si="134"/>
        <v>0.0140387855462904</v>
      </c>
      <c r="AC285" s="10">
        <f t="shared" si="121"/>
        <v>0.306530026269167</v>
      </c>
      <c r="AD285" s="10">
        <f t="shared" si="127"/>
        <v>0.00811054737613782</v>
      </c>
      <c r="AE285" s="10">
        <f t="shared" si="128"/>
        <v>7.95682712209011</v>
      </c>
      <c r="AF285" s="10">
        <f t="shared" si="129"/>
        <v>0.0807608589406806</v>
      </c>
      <c r="AG285" s="10">
        <f t="shared" si="107"/>
        <v>0.00355916671757591</v>
      </c>
      <c r="AH285" s="10">
        <f t="shared" si="122"/>
        <v>0.033662728327937</v>
      </c>
      <c r="AI285" s="10">
        <f t="shared" si="123"/>
        <v>122.05114822547</v>
      </c>
      <c r="AJ285" s="10">
        <f t="shared" si="133"/>
        <v>1.40853320300568</v>
      </c>
      <c r="AK285" s="10">
        <f t="shared" si="126"/>
        <v>24.037313514234</v>
      </c>
      <c r="AL285" s="10">
        <f t="shared" si="131"/>
        <v>0.441242592705724</v>
      </c>
      <c r="AM285" s="10">
        <f t="shared" si="120"/>
        <v>0.24970981733765</v>
      </c>
      <c r="AN285" s="10">
        <f t="shared" si="132"/>
        <v>3.17195121951219</v>
      </c>
    </row>
    <row r="286" ht="16" spans="1:40">
      <c r="A286" s="14">
        <v>2017</v>
      </c>
      <c r="B286" s="15">
        <v>530000</v>
      </c>
      <c r="C286" s="16" t="s">
        <v>69</v>
      </c>
      <c r="D286" s="24">
        <v>18486</v>
      </c>
      <c r="E286" s="25">
        <v>4693</v>
      </c>
      <c r="F286" s="26">
        <v>38.32</v>
      </c>
      <c r="G286" s="27">
        <v>2172</v>
      </c>
      <c r="H286" s="10">
        <v>705854</v>
      </c>
      <c r="I286" s="30">
        <v>18935.99</v>
      </c>
      <c r="J286" s="31">
        <v>5711.5</v>
      </c>
      <c r="K286" s="24">
        <v>1577604.1</v>
      </c>
      <c r="L286" s="10">
        <v>2831</v>
      </c>
      <c r="M286" s="10">
        <v>1583.372</v>
      </c>
      <c r="N286" s="10">
        <v>84.76</v>
      </c>
      <c r="O286" s="10">
        <v>1209.7078</v>
      </c>
      <c r="P286" s="19">
        <v>242546</v>
      </c>
      <c r="Q286" s="19">
        <v>129298</v>
      </c>
      <c r="R286" s="38">
        <v>25398.93</v>
      </c>
      <c r="S286" s="20">
        <v>8194.8</v>
      </c>
      <c r="T286" s="39">
        <v>4347.8</v>
      </c>
      <c r="U286" s="22">
        <v>9862</v>
      </c>
      <c r="V286" s="22">
        <v>30996</v>
      </c>
      <c r="W286" s="32">
        <v>39457.84</v>
      </c>
      <c r="X286" s="10">
        <v>34221</v>
      </c>
      <c r="Y286" s="10">
        <f t="shared" si="124"/>
        <v>1.02434220491183</v>
      </c>
      <c r="Z286" s="10">
        <f t="shared" si="125"/>
        <v>40349.4353292137</v>
      </c>
      <c r="AA286" s="10">
        <f t="shared" si="130"/>
        <v>0.46281696143192</v>
      </c>
      <c r="AB286" s="10">
        <f t="shared" si="134"/>
        <v>0.0150405710632857</v>
      </c>
      <c r="AC286" s="10">
        <f t="shared" si="121"/>
        <v>0.308963539976198</v>
      </c>
      <c r="AD286" s="10">
        <f t="shared" si="127"/>
        <v>0.00853404792816185</v>
      </c>
      <c r="AE286" s="10">
        <f t="shared" si="128"/>
        <v>7.9483852851119</v>
      </c>
      <c r="AF286" s="10">
        <f t="shared" si="129"/>
        <v>0.0856524937790761</v>
      </c>
      <c r="AG286" s="10">
        <f t="shared" ref="AG286:AG311" si="135">N286/D286</f>
        <v>0.00458509142053446</v>
      </c>
      <c r="AH286" s="10">
        <f t="shared" si="122"/>
        <v>0.0654391323163475</v>
      </c>
      <c r="AI286" s="10">
        <f t="shared" si="123"/>
        <v>122.468684759916</v>
      </c>
      <c r="AJ286" s="10">
        <f t="shared" si="133"/>
        <v>1.37395488477767</v>
      </c>
      <c r="AK286" s="10">
        <f t="shared" si="126"/>
        <v>24.1688217588285</v>
      </c>
      <c r="AL286" s="10">
        <f t="shared" si="131"/>
        <v>0.443297630639403</v>
      </c>
      <c r="AM286" s="10">
        <f t="shared" si="120"/>
        <v>0.235194201016986</v>
      </c>
      <c r="AN286" s="10">
        <f t="shared" si="132"/>
        <v>3.14297302778341</v>
      </c>
    </row>
    <row r="287" ht="16" spans="1:40">
      <c r="A287" s="14">
        <v>2018</v>
      </c>
      <c r="B287" s="15">
        <v>530000</v>
      </c>
      <c r="C287" s="16" t="s">
        <v>69</v>
      </c>
      <c r="D287" s="24">
        <v>20880.6</v>
      </c>
      <c r="E287" s="25">
        <v>4703</v>
      </c>
      <c r="F287" s="26">
        <v>38.32</v>
      </c>
      <c r="G287" s="27">
        <v>2231</v>
      </c>
      <c r="H287" s="10">
        <v>764659</v>
      </c>
      <c r="I287" s="30">
        <v>21132.56484</v>
      </c>
      <c r="J287" s="31">
        <v>6074.27</v>
      </c>
      <c r="K287" s="24">
        <v>1872976.4</v>
      </c>
      <c r="L287" s="10">
        <v>2822</v>
      </c>
      <c r="M287" s="10">
        <v>1975.821</v>
      </c>
      <c r="N287" s="10">
        <v>89.49</v>
      </c>
      <c r="O287" s="10">
        <v>2569.162</v>
      </c>
      <c r="P287" s="19">
        <v>252929</v>
      </c>
      <c r="Q287" s="19">
        <v>140670</v>
      </c>
      <c r="R287" s="38">
        <v>28042.02</v>
      </c>
      <c r="S287" s="20">
        <v>9197.3</v>
      </c>
      <c r="T287" s="39">
        <v>4911.7</v>
      </c>
      <c r="U287" s="22">
        <v>10768</v>
      </c>
      <c r="V287" s="22">
        <v>33488</v>
      </c>
      <c r="W287" s="32">
        <v>44445.79</v>
      </c>
      <c r="X287" s="10">
        <v>37136.2825</v>
      </c>
      <c r="Y287" s="10">
        <f t="shared" si="124"/>
        <v>1.01206693485819</v>
      </c>
      <c r="Z287" s="10">
        <f t="shared" si="125"/>
        <v>44934.222496279</v>
      </c>
      <c r="AA287" s="10">
        <f t="shared" si="130"/>
        <v>0.474378056559643</v>
      </c>
      <c r="AB287" s="10">
        <f t="shared" si="134"/>
        <v>0.0162589623644482</v>
      </c>
      <c r="AC287" s="10">
        <f t="shared" si="121"/>
        <v>0.290904954838463</v>
      </c>
      <c r="AD287" s="10">
        <f t="shared" si="127"/>
        <v>0.00896993572981619</v>
      </c>
      <c r="AE287" s="10">
        <f t="shared" si="128"/>
        <v>7.94520113241276</v>
      </c>
      <c r="AF287" s="10">
        <f t="shared" si="129"/>
        <v>0.0946247234274877</v>
      </c>
      <c r="AG287" s="10">
        <f t="shared" si="135"/>
        <v>0.00428579638516135</v>
      </c>
      <c r="AH287" s="10">
        <f t="shared" si="122"/>
        <v>0.123040621438081</v>
      </c>
      <c r="AI287" s="10">
        <f t="shared" si="123"/>
        <v>122.729645093946</v>
      </c>
      <c r="AJ287" s="10">
        <f t="shared" si="133"/>
        <v>1.34297002959685</v>
      </c>
      <c r="AK287" s="10">
        <f t="shared" si="126"/>
        <v>24.2950360966657</v>
      </c>
      <c r="AL287" s="10">
        <f t="shared" si="131"/>
        <v>0.440471059260749</v>
      </c>
      <c r="AM287" s="10">
        <f t="shared" ref="AM287:AM313" si="136">T287/D287</f>
        <v>0.23522791490666</v>
      </c>
      <c r="AN287" s="10">
        <f t="shared" si="132"/>
        <v>3.10995542347697</v>
      </c>
    </row>
    <row r="288" ht="16" spans="1:40">
      <c r="A288" s="14">
        <v>2019</v>
      </c>
      <c r="B288" s="15">
        <v>530000</v>
      </c>
      <c r="C288" s="16" t="s">
        <v>69</v>
      </c>
      <c r="D288" s="24">
        <v>23223.8</v>
      </c>
      <c r="E288" s="25">
        <v>4714</v>
      </c>
      <c r="F288" s="26">
        <v>38.32</v>
      </c>
      <c r="G288" s="27">
        <v>2294</v>
      </c>
      <c r="H288" s="10">
        <v>864035</v>
      </c>
      <c r="I288" s="30">
        <v>22928.8328514</v>
      </c>
      <c r="J288" s="31">
        <v>6725.86</v>
      </c>
      <c r="K288" s="24">
        <v>2200452.4</v>
      </c>
      <c r="L288" s="10">
        <v>2812</v>
      </c>
      <c r="M288" s="10">
        <v>2324.2728</v>
      </c>
      <c r="N288" s="10">
        <v>82.7</v>
      </c>
      <c r="O288" s="10">
        <v>4303.5442</v>
      </c>
      <c r="P288" s="19">
        <v>262409</v>
      </c>
      <c r="Q288" s="19">
        <v>122727</v>
      </c>
      <c r="R288" s="38">
        <v>31140.08</v>
      </c>
      <c r="S288" s="20">
        <v>10158.2</v>
      </c>
      <c r="T288" s="39">
        <v>5400.5</v>
      </c>
      <c r="U288" s="22">
        <v>11902</v>
      </c>
      <c r="V288" s="22">
        <v>36238</v>
      </c>
      <c r="W288" s="32">
        <v>49323.03</v>
      </c>
      <c r="X288" s="10">
        <v>47944</v>
      </c>
      <c r="Y288" s="10">
        <f t="shared" si="124"/>
        <v>0.987298928314918</v>
      </c>
      <c r="Z288" s="10">
        <f t="shared" si="125"/>
        <v>48639.8660403055</v>
      </c>
      <c r="AA288" s="10">
        <f t="shared" si="130"/>
        <v>0.486635553669919</v>
      </c>
      <c r="AB288" s="10">
        <f t="shared" si="134"/>
        <v>0.0183291260076368</v>
      </c>
      <c r="AC288" s="10">
        <f t="shared" si="121"/>
        <v>0.289610658031847</v>
      </c>
      <c r="AD288" s="10">
        <f t="shared" si="127"/>
        <v>0.00947498858929202</v>
      </c>
      <c r="AE288" s="10">
        <f t="shared" si="128"/>
        <v>7.94165125293056</v>
      </c>
      <c r="AF288" s="10">
        <f t="shared" si="129"/>
        <v>0.100081502596474</v>
      </c>
      <c r="AG288" s="10">
        <f t="shared" si="135"/>
        <v>0.00356100207545707</v>
      </c>
      <c r="AH288" s="10">
        <f t="shared" si="122"/>
        <v>0.185307494897476</v>
      </c>
      <c r="AI288" s="10">
        <f t="shared" si="123"/>
        <v>123.016701461378</v>
      </c>
      <c r="AJ288" s="10">
        <f t="shared" si="133"/>
        <v>1.34086928065175</v>
      </c>
      <c r="AK288" s="10">
        <f t="shared" si="126"/>
        <v>24.1953772896359</v>
      </c>
      <c r="AL288" s="10">
        <f t="shared" si="131"/>
        <v>0.437404731353181</v>
      </c>
      <c r="AM288" s="10">
        <f t="shared" si="136"/>
        <v>0.232541616789673</v>
      </c>
      <c r="AN288" s="10">
        <f t="shared" si="132"/>
        <v>3.04469837002184</v>
      </c>
    </row>
    <row r="289" ht="16" spans="1:40">
      <c r="A289" s="14">
        <v>2020</v>
      </c>
      <c r="B289" s="15">
        <v>530000</v>
      </c>
      <c r="C289" s="16" t="s">
        <v>69</v>
      </c>
      <c r="D289" s="24">
        <v>24555.7</v>
      </c>
      <c r="E289" s="25">
        <v>4722</v>
      </c>
      <c r="F289" s="26">
        <v>38.32</v>
      </c>
      <c r="G289" s="27">
        <v>2363</v>
      </c>
      <c r="H289" s="10">
        <v>964205</v>
      </c>
      <c r="I289" s="30">
        <v>24694.3529809578</v>
      </c>
      <c r="J289" s="31">
        <v>6919.34</v>
      </c>
      <c r="K289" s="24">
        <v>2459861.6</v>
      </c>
      <c r="L289" s="10">
        <v>2806</v>
      </c>
      <c r="M289" s="10">
        <v>2698.9193</v>
      </c>
      <c r="N289" s="10">
        <v>49.95</v>
      </c>
      <c r="O289" s="10">
        <v>5805.9355</v>
      </c>
      <c r="P289" s="19">
        <v>292479</v>
      </c>
      <c r="Q289" s="19">
        <v>121058</v>
      </c>
      <c r="R289" s="38">
        <v>34717.96</v>
      </c>
      <c r="S289" s="20">
        <v>9792.9</v>
      </c>
      <c r="T289" s="39">
        <v>5579.4</v>
      </c>
      <c r="U289" s="22">
        <v>12842</v>
      </c>
      <c r="V289" s="22">
        <v>37500</v>
      </c>
      <c r="W289" s="32">
        <v>52047</v>
      </c>
      <c r="X289" s="10">
        <v>51975.2</v>
      </c>
      <c r="Y289" s="10">
        <f t="shared" si="124"/>
        <v>1.00564646827245</v>
      </c>
      <c r="Z289" s="10">
        <f t="shared" si="125"/>
        <v>52296.3849660267</v>
      </c>
      <c r="AA289" s="10">
        <f t="shared" si="130"/>
        <v>0.500423549343499</v>
      </c>
      <c r="AB289" s="10">
        <f t="shared" si="134"/>
        <v>0.0204194197373994</v>
      </c>
      <c r="AC289" s="10">
        <f t="shared" si="121"/>
        <v>0.281781419385316</v>
      </c>
      <c r="AD289" s="10">
        <f t="shared" si="127"/>
        <v>0.0100174770012665</v>
      </c>
      <c r="AE289" s="10">
        <f t="shared" si="128"/>
        <v>7.93951526066241</v>
      </c>
      <c r="AF289" s="10">
        <f t="shared" si="129"/>
        <v>0.109910094194016</v>
      </c>
      <c r="AG289" s="10">
        <f t="shared" si="135"/>
        <v>0.00203415093033389</v>
      </c>
      <c r="AH289" s="10">
        <f t="shared" si="122"/>
        <v>0.236439421397069</v>
      </c>
      <c r="AI289" s="10">
        <f t="shared" si="123"/>
        <v>123.225469728601</v>
      </c>
      <c r="AJ289" s="10">
        <f t="shared" si="133"/>
        <v>1.41384525792382</v>
      </c>
      <c r="AK289" s="10">
        <f t="shared" ref="AK289:AK311" si="137">LN(P289)+LN(Q289)</f>
        <v>24.2901731967806</v>
      </c>
      <c r="AL289" s="10">
        <f t="shared" si="131"/>
        <v>0.398803536449786</v>
      </c>
      <c r="AM289" s="10">
        <f t="shared" si="136"/>
        <v>0.227214048062161</v>
      </c>
      <c r="AN289" s="10">
        <f t="shared" si="132"/>
        <v>2.9201059025074</v>
      </c>
    </row>
    <row r="290" ht="16" spans="1:40">
      <c r="A290" s="14">
        <v>2021</v>
      </c>
      <c r="B290" s="15">
        <v>530000</v>
      </c>
      <c r="C290" s="16" t="s">
        <v>69</v>
      </c>
      <c r="D290" s="24">
        <v>27161.6</v>
      </c>
      <c r="E290" s="25">
        <v>4690</v>
      </c>
      <c r="F290" s="26">
        <v>38.32</v>
      </c>
      <c r="G290" s="27">
        <v>2394</v>
      </c>
      <c r="H290" s="10">
        <v>1044081</v>
      </c>
      <c r="I290" s="30">
        <v>25682.1271001961</v>
      </c>
      <c r="J290" s="31">
        <v>6580.86</v>
      </c>
      <c r="K290" s="24">
        <v>2819391.5</v>
      </c>
      <c r="L290" s="10">
        <v>2774</v>
      </c>
      <c r="M290" s="10">
        <v>3140.5902</v>
      </c>
      <c r="N290" s="10">
        <v>106.095</v>
      </c>
      <c r="O290" s="10">
        <v>648.88</v>
      </c>
      <c r="P290" s="19">
        <v>300890</v>
      </c>
      <c r="Q290" s="19">
        <v>135007</v>
      </c>
      <c r="R290" s="38">
        <v>38646.5</v>
      </c>
      <c r="S290" s="20">
        <v>10731.8</v>
      </c>
      <c r="T290" s="39">
        <v>6555.8</v>
      </c>
      <c r="U290" s="22">
        <v>14197</v>
      </c>
      <c r="V290" s="22">
        <v>40905</v>
      </c>
      <c r="W290" s="32">
        <v>57717</v>
      </c>
      <c r="X290" s="10">
        <v>57686</v>
      </c>
      <c r="Y290" s="10">
        <f t="shared" si="124"/>
        <v>0.945530716165325</v>
      </c>
      <c r="Z290" s="10">
        <f t="shared" si="125"/>
        <v>54759.332836239</v>
      </c>
      <c r="AA290" s="10">
        <f t="shared" si="130"/>
        <v>0.51044776119403</v>
      </c>
      <c r="AB290" s="10">
        <f t="shared" si="134"/>
        <v>0.022261855010661</v>
      </c>
      <c r="AC290" s="10">
        <f t="shared" si="121"/>
        <v>0.242285432375118</v>
      </c>
      <c r="AD290" s="10">
        <f t="shared" si="127"/>
        <v>0.0103800641346607</v>
      </c>
      <c r="AE290" s="10">
        <f t="shared" si="128"/>
        <v>7.92804560087478</v>
      </c>
      <c r="AF290" s="10">
        <f t="shared" si="129"/>
        <v>0.115626111863808</v>
      </c>
      <c r="AG290" s="10">
        <f t="shared" si="135"/>
        <v>0.00390606591658812</v>
      </c>
      <c r="AH290" s="10">
        <f t="shared" si="122"/>
        <v>0.0238896088595664</v>
      </c>
      <c r="AI290" s="10">
        <f t="shared" si="123"/>
        <v>122.390396659708</v>
      </c>
      <c r="AJ290" s="10">
        <f t="shared" si="133"/>
        <v>1.42283591540999</v>
      </c>
      <c r="AK290" s="10">
        <f t="shared" si="137"/>
        <v>24.4275819363616</v>
      </c>
      <c r="AL290" s="10">
        <f t="shared" si="131"/>
        <v>0.395109271913289</v>
      </c>
      <c r="AM290" s="10">
        <f t="shared" si="136"/>
        <v>0.241362806314797</v>
      </c>
      <c r="AN290" s="10">
        <f t="shared" si="132"/>
        <v>2.88124251602451</v>
      </c>
    </row>
    <row r="291" ht="16" spans="1:40">
      <c r="A291" s="14">
        <v>2022</v>
      </c>
      <c r="B291" s="15">
        <v>530000</v>
      </c>
      <c r="C291" s="16" t="s">
        <v>69</v>
      </c>
      <c r="D291" s="24">
        <v>28556.1</v>
      </c>
      <c r="E291" s="25">
        <v>4693</v>
      </c>
      <c r="F291" s="26">
        <v>38.32</v>
      </c>
      <c r="G291" s="27">
        <v>2427</v>
      </c>
      <c r="H291" s="10">
        <v>1100290</v>
      </c>
      <c r="I291" s="30">
        <v>27608.2866327108</v>
      </c>
      <c r="J291" s="31">
        <v>6636.12</v>
      </c>
      <c r="K291" s="24">
        <v>3135272.4</v>
      </c>
      <c r="L291" s="10">
        <v>2735</v>
      </c>
      <c r="M291" s="10">
        <v>3266.8668</v>
      </c>
      <c r="N291" s="10">
        <v>218.95</v>
      </c>
      <c r="O291" s="10">
        <v>635.0619</v>
      </c>
      <c r="P291" s="35">
        <v>316091</v>
      </c>
      <c r="Q291" s="35">
        <v>145857</v>
      </c>
      <c r="R291" s="38">
        <v>42255.68</v>
      </c>
      <c r="S291" s="20">
        <v>10838.8</v>
      </c>
      <c r="T291" s="39">
        <v>6959</v>
      </c>
      <c r="U291" s="22">
        <v>15147</v>
      </c>
      <c r="V291" s="22">
        <v>42168</v>
      </c>
      <c r="W291" s="32">
        <v>60868</v>
      </c>
      <c r="X291" s="10">
        <v>61716</v>
      </c>
      <c r="Y291" s="10">
        <f t="shared" si="124"/>
        <v>0.966808725025854</v>
      </c>
      <c r="Z291" s="10">
        <f t="shared" si="125"/>
        <v>58828.6525308135</v>
      </c>
      <c r="AA291" s="10">
        <f t="shared" si="130"/>
        <v>0.517153206903899</v>
      </c>
      <c r="AB291" s="10">
        <f t="shared" si="134"/>
        <v>0.0234453441295547</v>
      </c>
      <c r="AC291" s="10">
        <f t="shared" si="121"/>
        <v>0.232388876632313</v>
      </c>
      <c r="AD291" s="10">
        <f t="shared" si="127"/>
        <v>0.0109793438179583</v>
      </c>
      <c r="AE291" s="10">
        <f t="shared" si="128"/>
        <v>7.91388671485608</v>
      </c>
      <c r="AF291" s="10">
        <f t="shared" si="129"/>
        <v>0.11440171451984</v>
      </c>
      <c r="AG291" s="10">
        <f t="shared" si="135"/>
        <v>0.0076673635405395</v>
      </c>
      <c r="AH291" s="10">
        <f t="shared" si="122"/>
        <v>0.0222390977759568</v>
      </c>
      <c r="AI291" s="10">
        <f t="shared" si="123"/>
        <v>122.468684759916</v>
      </c>
      <c r="AJ291" s="10">
        <f t="shared" si="133"/>
        <v>1.47974268194887</v>
      </c>
      <c r="AK291" s="10">
        <f t="shared" si="137"/>
        <v>24.5541673944549</v>
      </c>
      <c r="AL291" s="10">
        <f t="shared" si="131"/>
        <v>0.379561634817079</v>
      </c>
      <c r="AM291" s="10">
        <f t="shared" si="136"/>
        <v>0.243695742765994</v>
      </c>
      <c r="AN291" s="10">
        <f t="shared" si="132"/>
        <v>2.78391760744702</v>
      </c>
    </row>
    <row r="292" ht="16" spans="1:40">
      <c r="A292" s="14">
        <v>2013</v>
      </c>
      <c r="B292" s="15">
        <v>330000</v>
      </c>
      <c r="C292" s="16" t="s">
        <v>70</v>
      </c>
      <c r="D292" s="24">
        <v>37334.6</v>
      </c>
      <c r="E292" s="25">
        <v>5784</v>
      </c>
      <c r="F292" s="26">
        <v>10.56</v>
      </c>
      <c r="G292" s="27">
        <v>3698</v>
      </c>
      <c r="H292" s="10">
        <v>959629</v>
      </c>
      <c r="I292" s="30">
        <v>20782.1</v>
      </c>
      <c r="J292" s="31">
        <v>4714.62</v>
      </c>
      <c r="K292" s="24">
        <v>8172674.5</v>
      </c>
      <c r="L292" s="10">
        <v>3436</v>
      </c>
      <c r="M292" s="10">
        <v>20796.066</v>
      </c>
      <c r="N292" s="10">
        <v>81.5</v>
      </c>
      <c r="O292" s="10">
        <v>1283.5203</v>
      </c>
      <c r="P292" s="19">
        <v>115426</v>
      </c>
      <c r="Q292" s="19">
        <v>188679</v>
      </c>
      <c r="R292" s="38">
        <v>62597.56</v>
      </c>
      <c r="S292" s="20">
        <v>15970.8</v>
      </c>
      <c r="T292" s="39">
        <v>15835.8</v>
      </c>
      <c r="U292" s="22">
        <v>17494</v>
      </c>
      <c r="V292" s="22">
        <v>37080</v>
      </c>
      <c r="W292" s="32">
        <v>65105</v>
      </c>
      <c r="X292" s="10">
        <v>68804.7198</v>
      </c>
      <c r="Y292" s="10">
        <f t="shared" si="124"/>
        <v>0.556644506704237</v>
      </c>
      <c r="Z292" s="10">
        <f t="shared" si="125"/>
        <v>35930.3250345781</v>
      </c>
      <c r="AA292" s="10">
        <f t="shared" si="130"/>
        <v>0.639349930843707</v>
      </c>
      <c r="AB292" s="10">
        <f t="shared" si="134"/>
        <v>0.0165910961272476</v>
      </c>
      <c r="AC292" s="10">
        <f t="shared" ref="AC292:AC311" si="138">J292/D292</f>
        <v>0.126280179779615</v>
      </c>
      <c r="AD292" s="10">
        <f t="shared" si="127"/>
        <v>0.0218903497024208</v>
      </c>
      <c r="AE292" s="10">
        <f t="shared" si="128"/>
        <v>8.14206328310414</v>
      </c>
      <c r="AF292" s="10">
        <f t="shared" si="129"/>
        <v>0.557018583298067</v>
      </c>
      <c r="AG292" s="10">
        <f t="shared" si="135"/>
        <v>0.00218296164951546</v>
      </c>
      <c r="AH292" s="10">
        <f t="shared" si="122"/>
        <v>0.0343788416107311</v>
      </c>
      <c r="AI292" s="10">
        <f t="shared" si="123"/>
        <v>547.727272727273</v>
      </c>
      <c r="AJ292" s="10">
        <f t="shared" si="133"/>
        <v>1.67666347034654</v>
      </c>
      <c r="AK292" s="10">
        <f t="shared" si="137"/>
        <v>23.8041873483774</v>
      </c>
      <c r="AL292" s="10">
        <f t="shared" si="131"/>
        <v>0.427774771927381</v>
      </c>
      <c r="AM292" s="10">
        <f t="shared" si="136"/>
        <v>0.424158823182785</v>
      </c>
      <c r="AN292" s="10">
        <f t="shared" si="132"/>
        <v>2.11958385732251</v>
      </c>
    </row>
    <row r="293" ht="16" spans="1:40">
      <c r="A293" s="14">
        <v>2014</v>
      </c>
      <c r="B293" s="15">
        <v>330000</v>
      </c>
      <c r="C293" s="16" t="s">
        <v>70</v>
      </c>
      <c r="D293" s="24">
        <v>40023.5</v>
      </c>
      <c r="E293" s="25">
        <v>5890</v>
      </c>
      <c r="F293" s="26">
        <v>10.56</v>
      </c>
      <c r="G293" s="27">
        <v>3826</v>
      </c>
      <c r="H293" s="10">
        <v>978216</v>
      </c>
      <c r="I293" s="30">
        <v>24262.77</v>
      </c>
      <c r="J293" s="31">
        <v>5140.37</v>
      </c>
      <c r="K293" s="24">
        <v>9078500</v>
      </c>
      <c r="L293" s="10">
        <v>3459</v>
      </c>
      <c r="M293" s="10">
        <v>21809.383</v>
      </c>
      <c r="N293" s="10">
        <v>87.25</v>
      </c>
      <c r="O293" s="10">
        <v>1682.6242</v>
      </c>
      <c r="P293" s="19">
        <v>116367</v>
      </c>
      <c r="Q293" s="19">
        <v>194250</v>
      </c>
      <c r="R293" s="38">
        <v>68566.32</v>
      </c>
      <c r="S293" s="20">
        <v>17835.3</v>
      </c>
      <c r="T293" s="39">
        <v>16955.3</v>
      </c>
      <c r="U293" s="22">
        <v>19373</v>
      </c>
      <c r="V293" s="22">
        <v>40393</v>
      </c>
      <c r="W293" s="32">
        <v>68569</v>
      </c>
      <c r="X293" s="10">
        <v>73002.0534</v>
      </c>
      <c r="Y293" s="10">
        <f t="shared" si="124"/>
        <v>0.606213099803865</v>
      </c>
      <c r="Z293" s="10">
        <f t="shared" si="125"/>
        <v>41193.1578947368</v>
      </c>
      <c r="AA293" s="10">
        <f t="shared" si="130"/>
        <v>0.649575551782683</v>
      </c>
      <c r="AB293" s="10">
        <f t="shared" si="134"/>
        <v>0.0166080814940577</v>
      </c>
      <c r="AC293" s="10">
        <f t="shared" si="138"/>
        <v>0.128433795145352</v>
      </c>
      <c r="AD293" s="10">
        <f t="shared" si="127"/>
        <v>0.0226829237822779</v>
      </c>
      <c r="AE293" s="10">
        <f t="shared" si="128"/>
        <v>8.14873480893717</v>
      </c>
      <c r="AF293" s="10">
        <f t="shared" si="129"/>
        <v>0.544914437767811</v>
      </c>
      <c r="AG293" s="10">
        <f t="shared" si="135"/>
        <v>0.00217996926805502</v>
      </c>
      <c r="AH293" s="10">
        <f t="shared" si="122"/>
        <v>0.042040905967744</v>
      </c>
      <c r="AI293" s="10">
        <f t="shared" si="123"/>
        <v>557.765151515152</v>
      </c>
      <c r="AJ293" s="10">
        <f t="shared" si="133"/>
        <v>1.71315152347996</v>
      </c>
      <c r="AK293" s="10">
        <f t="shared" si="137"/>
        <v>23.8414055371595</v>
      </c>
      <c r="AL293" s="10">
        <f t="shared" si="131"/>
        <v>0.445620697840019</v>
      </c>
      <c r="AM293" s="10">
        <f t="shared" si="136"/>
        <v>0.42363361525104</v>
      </c>
      <c r="AN293" s="10">
        <f t="shared" si="132"/>
        <v>2.08501522737831</v>
      </c>
    </row>
    <row r="294" ht="16" spans="1:40">
      <c r="A294" s="14">
        <v>2015</v>
      </c>
      <c r="B294" s="15">
        <v>330000</v>
      </c>
      <c r="C294" s="16" t="s">
        <v>70</v>
      </c>
      <c r="D294" s="24">
        <v>43507.7</v>
      </c>
      <c r="E294" s="25">
        <v>5985</v>
      </c>
      <c r="F294" s="26">
        <v>10.56</v>
      </c>
      <c r="G294" s="27">
        <v>3969</v>
      </c>
      <c r="H294" s="10">
        <v>991149</v>
      </c>
      <c r="I294" s="30">
        <v>27323.32</v>
      </c>
      <c r="J294" s="31">
        <v>6622.56</v>
      </c>
      <c r="K294" s="24">
        <v>10111792</v>
      </c>
      <c r="L294" s="10">
        <v>3505</v>
      </c>
      <c r="M294" s="10">
        <v>21599.084</v>
      </c>
      <c r="N294" s="10">
        <v>98.1</v>
      </c>
      <c r="O294" s="10">
        <v>2424.5514</v>
      </c>
      <c r="P294" s="19">
        <v>118015</v>
      </c>
      <c r="Q294" s="19">
        <v>201231</v>
      </c>
      <c r="R294" s="38">
        <v>74070.2</v>
      </c>
      <c r="S294" s="20">
        <v>18910.7</v>
      </c>
      <c r="T294" s="39">
        <v>17803.3</v>
      </c>
      <c r="U294" s="22">
        <v>21125</v>
      </c>
      <c r="V294" s="22">
        <v>43714</v>
      </c>
      <c r="W294" s="32">
        <v>73276</v>
      </c>
      <c r="X294" s="10">
        <v>77643.6861</v>
      </c>
      <c r="Y294" s="10">
        <f t="shared" si="124"/>
        <v>0.628011133661398</v>
      </c>
      <c r="Z294" s="10">
        <f t="shared" ref="Z294:Z311" si="139">(I294/E294)*10000</f>
        <v>45652.9991645781</v>
      </c>
      <c r="AA294" s="10">
        <f t="shared" si="130"/>
        <v>0.663157894736842</v>
      </c>
      <c r="AB294" s="10">
        <f t="shared" si="134"/>
        <v>0.0165605513784461</v>
      </c>
      <c r="AC294" s="10">
        <f t="shared" si="138"/>
        <v>0.152215814671886</v>
      </c>
      <c r="AD294" s="10">
        <f t="shared" si="127"/>
        <v>0.0232413848583124</v>
      </c>
      <c r="AE294" s="10">
        <f t="shared" si="128"/>
        <v>8.16194579946869</v>
      </c>
      <c r="AF294" s="10">
        <f t="shared" si="129"/>
        <v>0.496442790586494</v>
      </c>
      <c r="AG294" s="10">
        <f t="shared" si="135"/>
        <v>0.00225477329300331</v>
      </c>
      <c r="AH294" s="10">
        <f t="shared" si="122"/>
        <v>0.0557269494825054</v>
      </c>
      <c r="AI294" s="10">
        <f t="shared" si="123"/>
        <v>566.761363636364</v>
      </c>
      <c r="AJ294" s="10">
        <f t="shared" si="133"/>
        <v>1.70246186307251</v>
      </c>
      <c r="AK294" s="10">
        <f t="shared" si="137"/>
        <v>23.890775794899</v>
      </c>
      <c r="AL294" s="10">
        <f t="shared" si="131"/>
        <v>0.43465179726807</v>
      </c>
      <c r="AM294" s="10">
        <f t="shared" si="136"/>
        <v>0.409198831471211</v>
      </c>
      <c r="AN294" s="10">
        <f t="shared" si="132"/>
        <v>2.06930177514793</v>
      </c>
    </row>
    <row r="295" ht="16" spans="1:40">
      <c r="A295" s="14">
        <v>2016</v>
      </c>
      <c r="B295" s="15">
        <v>330000</v>
      </c>
      <c r="C295" s="16" t="s">
        <v>70</v>
      </c>
      <c r="D295" s="24">
        <v>47254</v>
      </c>
      <c r="E295" s="25">
        <v>6072</v>
      </c>
      <c r="F295" s="26">
        <v>10.56</v>
      </c>
      <c r="G295" s="27">
        <v>4112</v>
      </c>
      <c r="H295" s="10">
        <v>996143</v>
      </c>
      <c r="I295" s="30">
        <v>30276.07</v>
      </c>
      <c r="J295" s="31">
        <v>6949.17</v>
      </c>
      <c r="K295" s="24">
        <v>11306297.1</v>
      </c>
      <c r="L295" s="10">
        <v>3552</v>
      </c>
      <c r="M295" s="10">
        <v>22356.382</v>
      </c>
      <c r="N295" s="10">
        <v>198.37</v>
      </c>
      <c r="O295" s="10">
        <v>2367.2275</v>
      </c>
      <c r="P295" s="19">
        <v>119053</v>
      </c>
      <c r="Q295" s="19">
        <v>215558</v>
      </c>
      <c r="R295" s="38">
        <v>79926.05</v>
      </c>
      <c r="S295" s="20">
        <v>20916.7</v>
      </c>
      <c r="T295" s="39">
        <v>18661.5</v>
      </c>
      <c r="U295" s="22">
        <v>22866</v>
      </c>
      <c r="V295" s="22">
        <v>47237</v>
      </c>
      <c r="W295" s="32">
        <v>78384</v>
      </c>
      <c r="X295" s="10">
        <v>84916</v>
      </c>
      <c r="Y295" s="10">
        <f t="shared" si="124"/>
        <v>0.640709146315656</v>
      </c>
      <c r="Z295" s="10">
        <f t="shared" si="139"/>
        <v>49861.7753623188</v>
      </c>
      <c r="AA295" s="10">
        <f t="shared" si="130"/>
        <v>0.677206851119895</v>
      </c>
      <c r="AB295" s="10">
        <f t="shared" si="134"/>
        <v>0.0164055171277997</v>
      </c>
      <c r="AC295" s="10">
        <f t="shared" si="138"/>
        <v>0.147059931434376</v>
      </c>
      <c r="AD295" s="10">
        <f t="shared" si="127"/>
        <v>0.0239266455749778</v>
      </c>
      <c r="AE295" s="10">
        <f t="shared" si="128"/>
        <v>8.17526610411206</v>
      </c>
      <c r="AF295" s="10">
        <f t="shared" si="129"/>
        <v>0.473110890083379</v>
      </c>
      <c r="AG295" s="10">
        <f t="shared" si="135"/>
        <v>0.00419795149616964</v>
      </c>
      <c r="AH295" s="10">
        <f t="shared" si="122"/>
        <v>0.0500958119947518</v>
      </c>
      <c r="AI295" s="10">
        <f t="shared" si="123"/>
        <v>575</v>
      </c>
      <c r="AJ295" s="10">
        <f t="shared" si="133"/>
        <v>1.69141342531849</v>
      </c>
      <c r="AK295" s="10">
        <f t="shared" si="137"/>
        <v>23.9683093449387</v>
      </c>
      <c r="AL295" s="10">
        <f t="shared" si="131"/>
        <v>0.442644008972785</v>
      </c>
      <c r="AM295" s="10">
        <f t="shared" si="136"/>
        <v>0.394918948660431</v>
      </c>
      <c r="AN295" s="10">
        <f t="shared" si="132"/>
        <v>2.0658182454299</v>
      </c>
    </row>
    <row r="296" ht="16" spans="1:40">
      <c r="A296" s="14">
        <v>2017</v>
      </c>
      <c r="B296" s="15">
        <v>330000</v>
      </c>
      <c r="C296" s="16" t="s">
        <v>70</v>
      </c>
      <c r="D296" s="24">
        <v>52403.1</v>
      </c>
      <c r="E296" s="25">
        <v>6170</v>
      </c>
      <c r="F296" s="26">
        <v>10.56</v>
      </c>
      <c r="G296" s="27">
        <v>4252</v>
      </c>
      <c r="H296" s="10">
        <v>1002346</v>
      </c>
      <c r="I296" s="30">
        <v>31696.03</v>
      </c>
      <c r="J296" s="31">
        <v>7505.25</v>
      </c>
      <c r="K296" s="24">
        <v>12663398.2</v>
      </c>
      <c r="L296" s="10">
        <v>3613</v>
      </c>
      <c r="M296" s="10">
        <v>25515.557</v>
      </c>
      <c r="N296" s="10">
        <v>324.73</v>
      </c>
      <c r="O296" s="10">
        <v>3522.5861</v>
      </c>
      <c r="P296" s="19">
        <v>120101</v>
      </c>
      <c r="Q296" s="19">
        <v>242504</v>
      </c>
      <c r="R296" s="38">
        <v>88606.47</v>
      </c>
      <c r="S296" s="20">
        <v>23121.3</v>
      </c>
      <c r="T296" s="39">
        <v>20038.7</v>
      </c>
      <c r="U296" s="22">
        <v>24956</v>
      </c>
      <c r="V296" s="22">
        <v>51261</v>
      </c>
      <c r="W296" s="32">
        <v>85612</v>
      </c>
      <c r="X296" s="10">
        <v>92057.0108</v>
      </c>
      <c r="Y296" s="10">
        <f t="shared" si="124"/>
        <v>0.604850285574708</v>
      </c>
      <c r="Z296" s="10">
        <f t="shared" si="139"/>
        <v>51371.1993517018</v>
      </c>
      <c r="AA296" s="10">
        <f t="shared" ref="AA296:AA311" si="140">G296/E296</f>
        <v>0.689141004862237</v>
      </c>
      <c r="AB296" s="10">
        <f t="shared" si="134"/>
        <v>0.0162454781199352</v>
      </c>
      <c r="AC296" s="10">
        <f t="shared" si="138"/>
        <v>0.143221488805052</v>
      </c>
      <c r="AD296" s="10">
        <f t="shared" si="127"/>
        <v>0.02416536082789</v>
      </c>
      <c r="AE296" s="10">
        <f t="shared" ref="AE296:AE311" si="141">LN(L296)</f>
        <v>8.19229373114764</v>
      </c>
      <c r="AF296" s="10">
        <f t="shared" si="129"/>
        <v>0.486909304983865</v>
      </c>
      <c r="AG296" s="10">
        <f t="shared" si="135"/>
        <v>0.00619677080172738</v>
      </c>
      <c r="AH296" s="10">
        <f t="shared" si="122"/>
        <v>0.0672209487606649</v>
      </c>
      <c r="AI296" s="10">
        <f t="shared" si="123"/>
        <v>584.280303030303</v>
      </c>
      <c r="AJ296" s="10">
        <f t="shared" si="133"/>
        <v>1.69086313595951</v>
      </c>
      <c r="AK296" s="10">
        <f t="shared" si="137"/>
        <v>24.0948618184971</v>
      </c>
      <c r="AL296" s="10">
        <f t="shared" si="131"/>
        <v>0.441220080491421</v>
      </c>
      <c r="AM296" s="10">
        <f t="shared" si="136"/>
        <v>0.382395316307623</v>
      </c>
      <c r="AN296" s="10">
        <f t="shared" si="132"/>
        <v>2.05405513704119</v>
      </c>
    </row>
    <row r="297" ht="16" spans="1:40">
      <c r="A297" s="14">
        <v>2018</v>
      </c>
      <c r="B297" s="15">
        <v>330000</v>
      </c>
      <c r="C297" s="16" t="s">
        <v>70</v>
      </c>
      <c r="D297" s="24">
        <v>58002.8</v>
      </c>
      <c r="E297" s="25">
        <v>6273</v>
      </c>
      <c r="F297" s="26">
        <v>10.56</v>
      </c>
      <c r="G297" s="27">
        <v>4392</v>
      </c>
      <c r="H297" s="10">
        <v>1019449</v>
      </c>
      <c r="I297" s="30">
        <v>33946.44813</v>
      </c>
      <c r="J297" s="31">
        <v>8589.04</v>
      </c>
      <c r="K297" s="24">
        <v>14456892.9</v>
      </c>
      <c r="L297" s="10">
        <v>3691</v>
      </c>
      <c r="M297" s="10">
        <v>28610.997</v>
      </c>
      <c r="N297" s="10">
        <v>590.66</v>
      </c>
      <c r="O297" s="10">
        <v>6427.5553</v>
      </c>
      <c r="P297" s="19">
        <v>120662</v>
      </c>
      <c r="Q297" s="19">
        <v>269083</v>
      </c>
      <c r="R297" s="38">
        <v>104099.82</v>
      </c>
      <c r="S297" s="20">
        <v>25161.9</v>
      </c>
      <c r="T297" s="39">
        <v>21621.2</v>
      </c>
      <c r="U297" s="22">
        <v>27302</v>
      </c>
      <c r="V297" s="22">
        <v>55574</v>
      </c>
      <c r="W297" s="32">
        <v>93230</v>
      </c>
      <c r="X297" s="10">
        <v>98643.4088</v>
      </c>
      <c r="Y297" s="10">
        <f t="shared" si="124"/>
        <v>0.585255334742461</v>
      </c>
      <c r="Z297" s="10">
        <f t="shared" si="139"/>
        <v>54115.1731707317</v>
      </c>
      <c r="AA297" s="10">
        <f t="shared" si="140"/>
        <v>0.700143472022956</v>
      </c>
      <c r="AB297" s="10">
        <f t="shared" si="134"/>
        <v>0.016251378925554</v>
      </c>
      <c r="AC297" s="10">
        <f t="shared" si="138"/>
        <v>0.148079747874241</v>
      </c>
      <c r="AD297" s="10">
        <f t="shared" si="127"/>
        <v>0.0249244741633163</v>
      </c>
      <c r="AE297" s="10">
        <f t="shared" si="141"/>
        <v>8.21365270303</v>
      </c>
      <c r="AF297" s="10">
        <f t="shared" si="129"/>
        <v>0.493269238726406</v>
      </c>
      <c r="AG297" s="10">
        <f t="shared" si="135"/>
        <v>0.0101833014957899</v>
      </c>
      <c r="AH297" s="10">
        <f t="shared" si="122"/>
        <v>0.110814569296655</v>
      </c>
      <c r="AI297" s="10">
        <f t="shared" si="123"/>
        <v>594.034090909091</v>
      </c>
      <c r="AJ297" s="10">
        <f t="shared" si="133"/>
        <v>1.7947378402422</v>
      </c>
      <c r="AK297" s="10">
        <f t="shared" si="137"/>
        <v>24.2035236885368</v>
      </c>
      <c r="AL297" s="10">
        <f t="shared" si="131"/>
        <v>0.433804919762494</v>
      </c>
      <c r="AM297" s="10">
        <f t="shared" si="136"/>
        <v>0.372761314971001</v>
      </c>
      <c r="AN297" s="10">
        <f t="shared" si="132"/>
        <v>2.03552853270823</v>
      </c>
    </row>
    <row r="298" ht="16" spans="1:40">
      <c r="A298" s="14">
        <v>2019</v>
      </c>
      <c r="B298" s="15">
        <v>330000</v>
      </c>
      <c r="C298" s="16" t="s">
        <v>70</v>
      </c>
      <c r="D298" s="24">
        <v>62462</v>
      </c>
      <c r="E298" s="25">
        <v>6375</v>
      </c>
      <c r="F298" s="26">
        <v>10.56</v>
      </c>
      <c r="G298" s="27">
        <v>4563</v>
      </c>
      <c r="H298" s="10">
        <v>1074688</v>
      </c>
      <c r="I298" s="30">
        <v>37341.092943</v>
      </c>
      <c r="J298" s="31">
        <v>9956.56</v>
      </c>
      <c r="K298" s="24">
        <v>16697956.3</v>
      </c>
      <c r="L298" s="10">
        <v>3771</v>
      </c>
      <c r="M298" s="10">
        <v>30851.783</v>
      </c>
      <c r="N298" s="10">
        <v>888.01</v>
      </c>
      <c r="O298" s="10">
        <v>9894.6851</v>
      </c>
      <c r="P298" s="19">
        <v>121813</v>
      </c>
      <c r="Q298" s="19">
        <v>289011</v>
      </c>
      <c r="R298" s="38">
        <v>120289.29</v>
      </c>
      <c r="S298" s="20">
        <v>27343.8</v>
      </c>
      <c r="T298" s="39">
        <v>22520.9</v>
      </c>
      <c r="U298" s="22">
        <v>29876</v>
      </c>
      <c r="V298" s="22">
        <v>60182</v>
      </c>
      <c r="W298" s="32">
        <v>98770</v>
      </c>
      <c r="X298" s="10">
        <v>107623.61</v>
      </c>
      <c r="Y298" s="10">
        <f t="shared" si="124"/>
        <v>0.597820962233038</v>
      </c>
      <c r="Z298" s="10">
        <f t="shared" si="139"/>
        <v>58574.26344</v>
      </c>
      <c r="AA298" s="10">
        <f t="shared" si="140"/>
        <v>0.715764705882353</v>
      </c>
      <c r="AB298" s="10">
        <f t="shared" si="134"/>
        <v>0.0168578509803922</v>
      </c>
      <c r="AC298" s="10">
        <f t="shared" si="138"/>
        <v>0.159401876340815</v>
      </c>
      <c r="AD298" s="10">
        <f t="shared" ref="AD298:AD311" si="142">K298/(D298*10000)</f>
        <v>0.0267329837341103</v>
      </c>
      <c r="AE298" s="10">
        <f t="shared" si="141"/>
        <v>8.23509549725836</v>
      </c>
      <c r="AF298" s="10">
        <f t="shared" si="129"/>
        <v>0.493928836732733</v>
      </c>
      <c r="AG298" s="10">
        <f t="shared" si="135"/>
        <v>0.0142168038167206</v>
      </c>
      <c r="AH298" s="10">
        <f t="shared" si="122"/>
        <v>0.158411275655599</v>
      </c>
      <c r="AI298" s="10">
        <f t="shared" si="123"/>
        <v>603.693181818182</v>
      </c>
      <c r="AJ298" s="10">
        <f t="shared" si="133"/>
        <v>1.92579952611188</v>
      </c>
      <c r="AK298" s="10">
        <f t="shared" si="137"/>
        <v>24.2844623895645</v>
      </c>
      <c r="AL298" s="10">
        <f t="shared" si="131"/>
        <v>0.437766962313086</v>
      </c>
      <c r="AM298" s="10">
        <f t="shared" si="136"/>
        <v>0.360553616598892</v>
      </c>
      <c r="AN298" s="10">
        <f t="shared" si="132"/>
        <v>2.01439282367117</v>
      </c>
    </row>
    <row r="299" ht="16" spans="1:40">
      <c r="A299" s="14">
        <v>2020</v>
      </c>
      <c r="B299" s="15">
        <v>330000</v>
      </c>
      <c r="C299" s="16" t="s">
        <v>70</v>
      </c>
      <c r="D299" s="24">
        <v>64689.1</v>
      </c>
      <c r="E299" s="25">
        <v>6468</v>
      </c>
      <c r="F299" s="26">
        <v>10.56</v>
      </c>
      <c r="G299" s="27">
        <v>4668</v>
      </c>
      <c r="H299" s="10">
        <v>2014698</v>
      </c>
      <c r="I299" s="30">
        <v>39357.511961922</v>
      </c>
      <c r="J299" s="31">
        <v>9976.25</v>
      </c>
      <c r="K299" s="24">
        <v>18598951.4</v>
      </c>
      <c r="L299" s="10">
        <v>3857</v>
      </c>
      <c r="M299" s="10">
        <v>33697.729</v>
      </c>
      <c r="N299" s="10">
        <v>1403.32</v>
      </c>
      <c r="O299" s="10">
        <v>12620.9293</v>
      </c>
      <c r="P299" s="19">
        <v>123080</v>
      </c>
      <c r="Q299" s="19">
        <v>300276</v>
      </c>
      <c r="R299" s="38">
        <v>142126.03</v>
      </c>
      <c r="S299" s="20">
        <v>26629.8</v>
      </c>
      <c r="T299" s="39">
        <v>22627.8</v>
      </c>
      <c r="U299" s="22">
        <v>31930</v>
      </c>
      <c r="V299" s="22">
        <v>62699</v>
      </c>
      <c r="W299" s="32">
        <v>100738</v>
      </c>
      <c r="X299" s="10">
        <v>100620.32</v>
      </c>
      <c r="Y299" s="10">
        <f t="shared" si="124"/>
        <v>0.60841025709002</v>
      </c>
      <c r="Z299" s="10">
        <f t="shared" si="139"/>
        <v>60849.5855935714</v>
      </c>
      <c r="AA299" s="10">
        <f t="shared" si="140"/>
        <v>0.721706864564007</v>
      </c>
      <c r="AB299" s="10">
        <f t="shared" si="134"/>
        <v>0.0311487012987013</v>
      </c>
      <c r="AC299" s="10">
        <f t="shared" si="138"/>
        <v>0.154218407737934</v>
      </c>
      <c r="AD299" s="10">
        <f t="shared" si="142"/>
        <v>0.0287512910212076</v>
      </c>
      <c r="AE299" s="10">
        <f t="shared" si="141"/>
        <v>8.25764495820823</v>
      </c>
      <c r="AF299" s="10">
        <f t="shared" si="129"/>
        <v>0.520918191781923</v>
      </c>
      <c r="AG299" s="10">
        <f t="shared" si="135"/>
        <v>0.0216932991802328</v>
      </c>
      <c r="AH299" s="10">
        <f t="shared" si="122"/>
        <v>0.195101327735275</v>
      </c>
      <c r="AI299" s="10">
        <f t="shared" si="123"/>
        <v>612.5</v>
      </c>
      <c r="AJ299" s="10">
        <f t="shared" si="133"/>
        <v>2.19706302916566</v>
      </c>
      <c r="AK299" s="10">
        <f t="shared" si="137"/>
        <v>24.3330471601337</v>
      </c>
      <c r="AL299" s="10">
        <f t="shared" si="131"/>
        <v>0.411658223719297</v>
      </c>
      <c r="AM299" s="10">
        <f t="shared" si="136"/>
        <v>0.349793087243446</v>
      </c>
      <c r="AN299" s="10">
        <f t="shared" si="132"/>
        <v>1.96363921077357</v>
      </c>
    </row>
    <row r="300" ht="16" spans="1:40">
      <c r="A300" s="14">
        <v>2021</v>
      </c>
      <c r="B300" s="15">
        <v>330000</v>
      </c>
      <c r="C300" s="16" t="s">
        <v>70</v>
      </c>
      <c r="D300" s="24">
        <v>74040.8</v>
      </c>
      <c r="E300" s="25">
        <v>6540</v>
      </c>
      <c r="F300" s="26">
        <v>10.56</v>
      </c>
      <c r="G300" s="27">
        <v>4752</v>
      </c>
      <c r="H300" s="10">
        <v>1210296</v>
      </c>
      <c r="I300" s="30">
        <v>43608.1232538096</v>
      </c>
      <c r="J300" s="31">
        <v>10912.6</v>
      </c>
      <c r="K300" s="24">
        <v>21576903.6</v>
      </c>
      <c r="L300" s="10">
        <v>3897</v>
      </c>
      <c r="M300" s="10">
        <v>41349.599</v>
      </c>
      <c r="N300" s="10">
        <v>1855.78</v>
      </c>
      <c r="O300" s="10">
        <v>3336.85</v>
      </c>
      <c r="P300" s="19">
        <v>123885</v>
      </c>
      <c r="Q300" s="19">
        <v>328041</v>
      </c>
      <c r="R300" s="38">
        <v>164042.75</v>
      </c>
      <c r="S300" s="20">
        <v>29210.5</v>
      </c>
      <c r="T300" s="39">
        <v>26996</v>
      </c>
      <c r="U300" s="22">
        <v>35247</v>
      </c>
      <c r="V300" s="22">
        <v>68487</v>
      </c>
      <c r="W300" s="32">
        <v>113839</v>
      </c>
      <c r="X300" s="10">
        <v>113032</v>
      </c>
      <c r="Y300" s="10">
        <f t="shared" si="124"/>
        <v>0.588974231151063</v>
      </c>
      <c r="Z300" s="10">
        <f t="shared" si="139"/>
        <v>66679.0875440514</v>
      </c>
      <c r="AA300" s="10">
        <f t="shared" si="140"/>
        <v>0.726605504587156</v>
      </c>
      <c r="AB300" s="10">
        <f t="shared" si="134"/>
        <v>0.0185060550458716</v>
      </c>
      <c r="AC300" s="10">
        <f t="shared" si="138"/>
        <v>0.147386305928623</v>
      </c>
      <c r="AD300" s="10">
        <f t="shared" si="142"/>
        <v>0.0291419104061544</v>
      </c>
      <c r="AE300" s="10">
        <f t="shared" si="141"/>
        <v>8.26796230533871</v>
      </c>
      <c r="AF300" s="10">
        <f t="shared" si="129"/>
        <v>0.558470451426781</v>
      </c>
      <c r="AG300" s="10">
        <f t="shared" si="135"/>
        <v>0.0250642888785642</v>
      </c>
      <c r="AH300" s="10">
        <f t="shared" si="122"/>
        <v>0.0450677194195633</v>
      </c>
      <c r="AI300" s="10">
        <f t="shared" si="123"/>
        <v>619.318181818182</v>
      </c>
      <c r="AJ300" s="10">
        <f t="shared" si="133"/>
        <v>2.21557236010416</v>
      </c>
      <c r="AK300" s="10">
        <f t="shared" si="137"/>
        <v>24.4280028744674</v>
      </c>
      <c r="AL300" s="10">
        <f t="shared" si="131"/>
        <v>0.39451896792039</v>
      </c>
      <c r="AM300" s="10">
        <f t="shared" si="136"/>
        <v>0.364609782714395</v>
      </c>
      <c r="AN300" s="10">
        <f t="shared" si="132"/>
        <v>1.9430589837433</v>
      </c>
    </row>
    <row r="301" ht="16" spans="1:40">
      <c r="A301" s="14">
        <v>2022</v>
      </c>
      <c r="B301" s="15">
        <v>330000</v>
      </c>
      <c r="C301" s="16" t="s">
        <v>70</v>
      </c>
      <c r="D301" s="24">
        <v>78060.6</v>
      </c>
      <c r="E301" s="25">
        <v>6577</v>
      </c>
      <c r="F301" s="26">
        <v>10.56</v>
      </c>
      <c r="G301" s="27">
        <v>4826</v>
      </c>
      <c r="H301" s="10">
        <v>1253265</v>
      </c>
      <c r="I301" s="30">
        <v>47576.4624699063</v>
      </c>
      <c r="J301" s="31">
        <v>11905.27</v>
      </c>
      <c r="K301" s="24">
        <v>24167667.5</v>
      </c>
      <c r="L301" s="10">
        <v>3885</v>
      </c>
      <c r="M301" s="10">
        <v>47304.661</v>
      </c>
      <c r="N301" s="10">
        <v>2435.07</v>
      </c>
      <c r="O301" s="10">
        <v>3306.6579</v>
      </c>
      <c r="P301" s="35">
        <v>122918</v>
      </c>
      <c r="Q301" s="35">
        <v>321583</v>
      </c>
      <c r="R301" s="38">
        <v>188528.56</v>
      </c>
      <c r="S301" s="20">
        <v>30467.2</v>
      </c>
      <c r="T301" s="39">
        <v>28649.9</v>
      </c>
      <c r="U301" s="22">
        <v>37565</v>
      </c>
      <c r="V301" s="22">
        <v>71268</v>
      </c>
      <c r="W301" s="32">
        <v>119022</v>
      </c>
      <c r="X301" s="10">
        <v>118496</v>
      </c>
      <c r="Y301" s="10">
        <f t="shared" si="124"/>
        <v>0.60948112709749</v>
      </c>
      <c r="Z301" s="10">
        <f t="shared" si="139"/>
        <v>72337.6348941863</v>
      </c>
      <c r="AA301" s="10">
        <f t="shared" si="140"/>
        <v>0.733769195681922</v>
      </c>
      <c r="AB301" s="10">
        <f t="shared" si="134"/>
        <v>0.0190552683594344</v>
      </c>
      <c r="AC301" s="10">
        <f t="shared" si="138"/>
        <v>0.152513175660961</v>
      </c>
      <c r="AD301" s="10">
        <f t="shared" si="142"/>
        <v>0.0309601354588614</v>
      </c>
      <c r="AE301" s="10">
        <f t="shared" si="141"/>
        <v>8.26487826280175</v>
      </c>
      <c r="AF301" s="10">
        <f t="shared" si="129"/>
        <v>0.605999198058944</v>
      </c>
      <c r="AG301" s="10">
        <f t="shared" si="135"/>
        <v>0.0311946103411965</v>
      </c>
      <c r="AH301" s="10">
        <f t="shared" si="122"/>
        <v>0.0423601394301351</v>
      </c>
      <c r="AI301" s="10">
        <f t="shared" si="123"/>
        <v>622.82196969697</v>
      </c>
      <c r="AJ301" s="10">
        <f t="shared" si="133"/>
        <v>2.41515642974817</v>
      </c>
      <c r="AK301" s="10">
        <f t="shared" si="137"/>
        <v>24.4002836995601</v>
      </c>
      <c r="AL301" s="10">
        <f t="shared" si="131"/>
        <v>0.390301893656979</v>
      </c>
      <c r="AM301" s="10">
        <f t="shared" si="136"/>
        <v>0.367021262967489</v>
      </c>
      <c r="AN301" s="10">
        <f t="shared" si="132"/>
        <v>1.89719153467323</v>
      </c>
    </row>
    <row r="302" ht="16" spans="1:40">
      <c r="A302" s="14">
        <v>2013</v>
      </c>
      <c r="B302" s="15">
        <v>500000</v>
      </c>
      <c r="C302" s="16" t="s">
        <v>71</v>
      </c>
      <c r="D302" s="24">
        <v>13027.6</v>
      </c>
      <c r="E302" s="25">
        <v>3011</v>
      </c>
      <c r="F302" s="26">
        <v>8.24</v>
      </c>
      <c r="G302" s="27">
        <v>1755</v>
      </c>
      <c r="H302" s="10">
        <v>659400</v>
      </c>
      <c r="I302" s="30">
        <v>10435.2</v>
      </c>
      <c r="J302" s="31">
        <v>3056.78</v>
      </c>
      <c r="K302" s="24">
        <v>1764911.2</v>
      </c>
      <c r="L302" s="10">
        <v>1618.69</v>
      </c>
      <c r="M302" s="10">
        <v>4254.243</v>
      </c>
      <c r="N302" s="10">
        <v>90.28</v>
      </c>
      <c r="O302" s="10">
        <v>357.5896</v>
      </c>
      <c r="P302" s="19">
        <v>122846</v>
      </c>
      <c r="Q302" s="19">
        <v>87240.7</v>
      </c>
      <c r="R302" s="38">
        <v>17381.55</v>
      </c>
      <c r="S302" s="20">
        <v>5055.8</v>
      </c>
      <c r="T302" s="39">
        <v>4775.7</v>
      </c>
      <c r="U302" s="22">
        <v>8493</v>
      </c>
      <c r="V302" s="22">
        <v>23058</v>
      </c>
      <c r="W302" s="32">
        <v>43528</v>
      </c>
      <c r="X302" s="10">
        <v>43223</v>
      </c>
      <c r="Y302" s="10">
        <f t="shared" si="124"/>
        <v>0.8010070926341</v>
      </c>
      <c r="Z302" s="10">
        <f t="shared" si="139"/>
        <v>34656.9246097642</v>
      </c>
      <c r="AA302" s="10">
        <f t="shared" si="140"/>
        <v>0.582862836267021</v>
      </c>
      <c r="AB302" s="10">
        <f t="shared" si="134"/>
        <v>0.0218997010959814</v>
      </c>
      <c r="AC302" s="10">
        <f t="shared" si="138"/>
        <v>0.234638766925604</v>
      </c>
      <c r="AD302" s="10">
        <f t="shared" si="142"/>
        <v>0.0135474776628082</v>
      </c>
      <c r="AE302" s="10">
        <f t="shared" si="141"/>
        <v>7.38937245912383</v>
      </c>
      <c r="AF302" s="10">
        <f t="shared" si="129"/>
        <v>0.326556157695969</v>
      </c>
      <c r="AG302" s="10">
        <f t="shared" si="135"/>
        <v>0.0069299026681814</v>
      </c>
      <c r="AH302" s="10">
        <f t="shared" si="122"/>
        <v>0.0274486167828303</v>
      </c>
      <c r="AI302" s="10">
        <f t="shared" si="123"/>
        <v>365.412621359223</v>
      </c>
      <c r="AJ302" s="10">
        <f t="shared" si="133"/>
        <v>1.33420967791458</v>
      </c>
      <c r="AK302" s="10">
        <f t="shared" si="137"/>
        <v>23.0951130615123</v>
      </c>
      <c r="AL302" s="10">
        <f t="shared" ref="AL302:AL311" si="143">S302/D302</f>
        <v>0.388083760631275</v>
      </c>
      <c r="AM302" s="10">
        <f t="shared" si="136"/>
        <v>0.366583254014554</v>
      </c>
      <c r="AN302" s="10">
        <f t="shared" si="132"/>
        <v>2.71494171670788</v>
      </c>
    </row>
    <row r="303" ht="16" spans="1:40">
      <c r="A303" s="14">
        <v>2014</v>
      </c>
      <c r="B303" s="15">
        <v>500000</v>
      </c>
      <c r="C303" s="16" t="s">
        <v>71</v>
      </c>
      <c r="D303" s="24">
        <v>14623.8</v>
      </c>
      <c r="E303" s="25">
        <v>3043</v>
      </c>
      <c r="F303" s="26">
        <v>8.24</v>
      </c>
      <c r="G303" s="27">
        <v>1818</v>
      </c>
      <c r="H303" s="10">
        <v>691555</v>
      </c>
      <c r="I303" s="30">
        <v>12285.42</v>
      </c>
      <c r="J303" s="31">
        <v>3302.51</v>
      </c>
      <c r="K303" s="24">
        <v>2018528</v>
      </c>
      <c r="L303" s="10">
        <v>1632.12</v>
      </c>
      <c r="M303" s="10">
        <v>5862.171</v>
      </c>
      <c r="N303" s="10">
        <v>156.2</v>
      </c>
      <c r="O303" s="10">
        <v>417.9031</v>
      </c>
      <c r="P303" s="19">
        <v>127392</v>
      </c>
      <c r="Q303" s="19">
        <v>97376.8</v>
      </c>
      <c r="R303" s="38">
        <v>20011.5</v>
      </c>
      <c r="S303" s="20">
        <v>5710.7</v>
      </c>
      <c r="T303" s="39">
        <v>5369.9</v>
      </c>
      <c r="U303" s="22">
        <v>9490</v>
      </c>
      <c r="V303" s="22">
        <v>25147</v>
      </c>
      <c r="W303" s="32">
        <v>48311</v>
      </c>
      <c r="X303" s="10">
        <v>47850</v>
      </c>
      <c r="Y303" s="10">
        <f t="shared" si="124"/>
        <v>0.84009764903787</v>
      </c>
      <c r="Z303" s="10">
        <f t="shared" si="139"/>
        <v>40372.7242852448</v>
      </c>
      <c r="AA303" s="10">
        <f t="shared" si="140"/>
        <v>0.597436740059152</v>
      </c>
      <c r="AB303" s="10">
        <f t="shared" si="134"/>
        <v>0.0227260926717056</v>
      </c>
      <c r="AC303" s="10">
        <f t="shared" si="138"/>
        <v>0.225831179310439</v>
      </c>
      <c r="AD303" s="10">
        <f t="shared" si="142"/>
        <v>0.0138030334112884</v>
      </c>
      <c r="AE303" s="10">
        <f t="shared" si="141"/>
        <v>7.39763506223266</v>
      </c>
      <c r="AF303" s="10">
        <f t="shared" si="129"/>
        <v>0.400865096623313</v>
      </c>
      <c r="AG303" s="10">
        <f t="shared" si="135"/>
        <v>0.0106812182879963</v>
      </c>
      <c r="AH303" s="10">
        <f t="shared" si="122"/>
        <v>0.0285769157127422</v>
      </c>
      <c r="AI303" s="10">
        <f t="shared" si="123"/>
        <v>369.296116504854</v>
      </c>
      <c r="AJ303" s="10">
        <f t="shared" si="133"/>
        <v>1.36841997292086</v>
      </c>
      <c r="AK303" s="10">
        <f t="shared" si="137"/>
        <v>23.2413674940397</v>
      </c>
      <c r="AL303" s="10">
        <f t="shared" si="143"/>
        <v>0.390507255296161</v>
      </c>
      <c r="AM303" s="10">
        <f t="shared" si="136"/>
        <v>0.367202779031442</v>
      </c>
      <c r="AN303" s="10">
        <f t="shared" si="132"/>
        <v>2.64984193888303</v>
      </c>
    </row>
    <row r="304" ht="16" spans="1:40">
      <c r="A304" s="14">
        <v>2015</v>
      </c>
      <c r="B304" s="15">
        <v>500000</v>
      </c>
      <c r="C304" s="16" t="s">
        <v>71</v>
      </c>
      <c r="D304" s="24">
        <v>16040.5</v>
      </c>
      <c r="E304" s="25">
        <v>3070</v>
      </c>
      <c r="F304" s="26">
        <v>8.24</v>
      </c>
      <c r="G304" s="27">
        <v>1887</v>
      </c>
      <c r="H304" s="10">
        <v>716580</v>
      </c>
      <c r="I304" s="30">
        <v>14353.24</v>
      </c>
      <c r="J304" s="31">
        <v>3789.53</v>
      </c>
      <c r="K304" s="24">
        <v>2470011.6</v>
      </c>
      <c r="L304" s="10">
        <v>1647.41</v>
      </c>
      <c r="M304" s="10">
        <v>4638.093</v>
      </c>
      <c r="N304" s="10">
        <v>57.24</v>
      </c>
      <c r="O304" s="10">
        <v>554.5619</v>
      </c>
      <c r="P304" s="19">
        <v>140551</v>
      </c>
      <c r="Q304" s="19">
        <v>103833</v>
      </c>
      <c r="R304" s="38">
        <v>22393.93</v>
      </c>
      <c r="S304" s="20">
        <v>7667.6</v>
      </c>
      <c r="T304" s="39">
        <v>5621.5</v>
      </c>
      <c r="U304" s="22">
        <v>10505</v>
      </c>
      <c r="V304" s="22">
        <v>27239</v>
      </c>
      <c r="W304" s="32">
        <v>52476</v>
      </c>
      <c r="X304" s="10">
        <v>52321</v>
      </c>
      <c r="Y304" s="10">
        <f t="shared" si="124"/>
        <v>0.894812505844581</v>
      </c>
      <c r="Z304" s="10">
        <f t="shared" si="139"/>
        <v>46753.2247557003</v>
      </c>
      <c r="AA304" s="10">
        <f t="shared" si="140"/>
        <v>0.614657980456026</v>
      </c>
      <c r="AB304" s="10">
        <f t="shared" si="134"/>
        <v>0.0233413680781759</v>
      </c>
      <c r="AC304" s="10">
        <f t="shared" si="138"/>
        <v>0.236247623203765</v>
      </c>
      <c r="AD304" s="10">
        <f t="shared" si="142"/>
        <v>0.015398594806895</v>
      </c>
      <c r="AE304" s="10">
        <f t="shared" si="141"/>
        <v>7.4069596366599</v>
      </c>
      <c r="AF304" s="10">
        <f t="shared" si="129"/>
        <v>0.2891489043359</v>
      </c>
      <c r="AG304" s="10">
        <f t="shared" si="135"/>
        <v>0.00356846731710358</v>
      </c>
      <c r="AH304" s="10">
        <f t="shared" si="122"/>
        <v>0.0345726068389389</v>
      </c>
      <c r="AI304" s="10">
        <f t="shared" si="123"/>
        <v>372.572815533981</v>
      </c>
      <c r="AJ304" s="10">
        <f t="shared" si="133"/>
        <v>1.39608678033727</v>
      </c>
      <c r="AK304" s="10">
        <f t="shared" si="137"/>
        <v>23.4038648094786</v>
      </c>
      <c r="AL304" s="10">
        <f t="shared" si="143"/>
        <v>0.478015024469312</v>
      </c>
      <c r="AM304" s="10">
        <f t="shared" si="136"/>
        <v>0.350456656588012</v>
      </c>
      <c r="AN304" s="10">
        <f t="shared" si="132"/>
        <v>2.59295573536411</v>
      </c>
    </row>
    <row r="305" ht="16" spans="1:40">
      <c r="A305" s="14">
        <v>2016</v>
      </c>
      <c r="B305" s="15">
        <v>500000</v>
      </c>
      <c r="C305" s="16" t="s">
        <v>71</v>
      </c>
      <c r="D305" s="24">
        <v>18023</v>
      </c>
      <c r="E305" s="25">
        <v>3110</v>
      </c>
      <c r="F305" s="26">
        <v>8.24</v>
      </c>
      <c r="G305" s="27">
        <v>1970</v>
      </c>
      <c r="H305" s="10">
        <v>732475</v>
      </c>
      <c r="I305" s="30">
        <v>16048.1</v>
      </c>
      <c r="J305" s="31">
        <v>3999.48</v>
      </c>
      <c r="K305" s="24">
        <v>3021829.9</v>
      </c>
      <c r="L305" s="10">
        <v>1658.32</v>
      </c>
      <c r="M305" s="10">
        <v>4168.2848</v>
      </c>
      <c r="N305" s="10">
        <v>147.19</v>
      </c>
      <c r="O305" s="10">
        <v>428.2303</v>
      </c>
      <c r="P305" s="19">
        <v>142921</v>
      </c>
      <c r="Q305" s="19">
        <v>107966</v>
      </c>
      <c r="R305" s="38">
        <v>24785.19</v>
      </c>
      <c r="S305" s="20">
        <v>8728.4</v>
      </c>
      <c r="T305" s="39">
        <v>5896.2</v>
      </c>
      <c r="U305" s="22">
        <v>11549</v>
      </c>
      <c r="V305" s="22">
        <v>29610</v>
      </c>
      <c r="W305" s="32">
        <v>58327</v>
      </c>
      <c r="X305" s="10">
        <v>58502</v>
      </c>
      <c r="Y305" s="10">
        <f t="shared" si="124"/>
        <v>0.890423347944293</v>
      </c>
      <c r="Z305" s="10">
        <f t="shared" si="139"/>
        <v>51601.6077170418</v>
      </c>
      <c r="AA305" s="10">
        <f t="shared" si="140"/>
        <v>0.633440514469453</v>
      </c>
      <c r="AB305" s="10">
        <f t="shared" si="134"/>
        <v>0.0235522508038585</v>
      </c>
      <c r="AC305" s="10">
        <f t="shared" si="138"/>
        <v>0.221909781945292</v>
      </c>
      <c r="AD305" s="10">
        <f t="shared" si="142"/>
        <v>0.0167665200022194</v>
      </c>
      <c r="AE305" s="10">
        <f t="shared" si="141"/>
        <v>7.41356032069126</v>
      </c>
      <c r="AF305" s="10">
        <f t="shared" si="129"/>
        <v>0.23127585862509</v>
      </c>
      <c r="AG305" s="10">
        <f t="shared" si="135"/>
        <v>0.00816678688342673</v>
      </c>
      <c r="AH305" s="10">
        <f t="shared" si="122"/>
        <v>0.0237602119513954</v>
      </c>
      <c r="AI305" s="10">
        <f t="shared" si="123"/>
        <v>377.427184466019</v>
      </c>
      <c r="AJ305" s="10">
        <f t="shared" si="133"/>
        <v>1.37519780280752</v>
      </c>
      <c r="AK305" s="10">
        <f t="shared" si="137"/>
        <v>23.4596189507612</v>
      </c>
      <c r="AL305" s="10">
        <f t="shared" si="143"/>
        <v>0.484292293180935</v>
      </c>
      <c r="AM305" s="10">
        <f t="shared" si="136"/>
        <v>0.3271486434001</v>
      </c>
      <c r="AN305" s="10">
        <f t="shared" si="132"/>
        <v>2.56385834271365</v>
      </c>
    </row>
    <row r="306" ht="16" spans="1:40">
      <c r="A306" s="14">
        <v>2017</v>
      </c>
      <c r="B306" s="15">
        <v>500000</v>
      </c>
      <c r="C306" s="16" t="s">
        <v>71</v>
      </c>
      <c r="D306" s="24">
        <v>20066.3</v>
      </c>
      <c r="E306" s="25">
        <v>3144</v>
      </c>
      <c r="F306" s="26">
        <v>8.24</v>
      </c>
      <c r="G306" s="27">
        <v>2044</v>
      </c>
      <c r="H306" s="10">
        <v>746859</v>
      </c>
      <c r="I306" s="30">
        <v>17537.05</v>
      </c>
      <c r="J306" s="31">
        <v>4333.48</v>
      </c>
      <c r="K306" s="24">
        <v>3646308.9</v>
      </c>
      <c r="L306" s="10">
        <v>1659.33</v>
      </c>
      <c r="M306" s="10">
        <v>4496.7735</v>
      </c>
      <c r="N306" s="10">
        <v>51.36</v>
      </c>
      <c r="O306" s="10">
        <v>711.433</v>
      </c>
      <c r="P306" s="19">
        <v>147881</v>
      </c>
      <c r="Q306" s="19">
        <v>115536</v>
      </c>
      <c r="R306" s="38">
        <v>27871.89</v>
      </c>
      <c r="S306" s="20">
        <v>9769.4</v>
      </c>
      <c r="T306" s="39">
        <v>6202.4</v>
      </c>
      <c r="U306" s="22">
        <v>12638</v>
      </c>
      <c r="V306" s="22">
        <v>32193</v>
      </c>
      <c r="W306" s="32">
        <v>64171</v>
      </c>
      <c r="X306" s="10">
        <v>63442</v>
      </c>
      <c r="Y306" s="10">
        <f t="shared" si="124"/>
        <v>0.87395533805435</v>
      </c>
      <c r="Z306" s="10">
        <f t="shared" si="139"/>
        <v>55779.4211195929</v>
      </c>
      <c r="AA306" s="10">
        <f t="shared" si="140"/>
        <v>0.650127226463104</v>
      </c>
      <c r="AB306" s="10">
        <f t="shared" si="134"/>
        <v>0.0237550572519084</v>
      </c>
      <c r="AC306" s="10">
        <f t="shared" si="138"/>
        <v>0.215958098902139</v>
      </c>
      <c r="AD306" s="10">
        <f t="shared" si="142"/>
        <v>0.0181713066185595</v>
      </c>
      <c r="AE306" s="10">
        <f t="shared" si="141"/>
        <v>7.41416918541852</v>
      </c>
      <c r="AF306" s="10">
        <f t="shared" si="129"/>
        <v>0.224095797431515</v>
      </c>
      <c r="AG306" s="10">
        <f t="shared" si="135"/>
        <v>0.0025595152070885</v>
      </c>
      <c r="AH306" s="10">
        <f t="shared" si="122"/>
        <v>0.0354541195935474</v>
      </c>
      <c r="AI306" s="10">
        <f t="shared" si="123"/>
        <v>381.553398058252</v>
      </c>
      <c r="AJ306" s="10">
        <f t="shared" si="133"/>
        <v>1.38898999815611</v>
      </c>
      <c r="AK306" s="10">
        <f t="shared" si="137"/>
        <v>23.5615006239583</v>
      </c>
      <c r="AL306" s="10">
        <f t="shared" si="143"/>
        <v>0.486856072120919</v>
      </c>
      <c r="AM306" s="10">
        <f t="shared" si="136"/>
        <v>0.309095348918336</v>
      </c>
      <c r="AN306" s="10">
        <f t="shared" si="132"/>
        <v>2.54731761354645</v>
      </c>
    </row>
    <row r="307" ht="16" spans="1:40">
      <c r="A307" s="14">
        <v>2018</v>
      </c>
      <c r="B307" s="15">
        <v>500000</v>
      </c>
      <c r="C307" s="16" t="s">
        <v>71</v>
      </c>
      <c r="D307" s="24">
        <v>21588.8</v>
      </c>
      <c r="E307" s="25">
        <v>3163</v>
      </c>
      <c r="F307" s="26">
        <v>8.24</v>
      </c>
      <c r="G307" s="27">
        <v>2107</v>
      </c>
      <c r="H307" s="10">
        <v>762811</v>
      </c>
      <c r="I307" s="30">
        <v>18764.6435</v>
      </c>
      <c r="J307" s="31">
        <v>4538.99</v>
      </c>
      <c r="K307" s="24">
        <v>4102094</v>
      </c>
      <c r="L307" s="10">
        <v>1663.23</v>
      </c>
      <c r="M307" s="10">
        <v>5228.8652</v>
      </c>
      <c r="N307" s="10">
        <v>188.35</v>
      </c>
      <c r="O307" s="10">
        <v>1678.3524</v>
      </c>
      <c r="P307" s="19">
        <v>157483</v>
      </c>
      <c r="Q307" s="19">
        <v>128491</v>
      </c>
      <c r="R307" s="38">
        <v>31425.87</v>
      </c>
      <c r="S307" s="20">
        <v>10705.2</v>
      </c>
      <c r="T307" s="39">
        <v>6268.1</v>
      </c>
      <c r="U307" s="22">
        <v>13781</v>
      </c>
      <c r="V307" s="22">
        <v>34889</v>
      </c>
      <c r="W307" s="32">
        <v>68464</v>
      </c>
      <c r="X307" s="10">
        <v>65932.7242</v>
      </c>
      <c r="Y307" s="10">
        <f t="shared" si="124"/>
        <v>0.869184183465501</v>
      </c>
      <c r="Z307" s="10">
        <f t="shared" si="139"/>
        <v>59325.4615871008</v>
      </c>
      <c r="AA307" s="10">
        <f t="shared" si="140"/>
        <v>0.66613974075245</v>
      </c>
      <c r="AB307" s="10">
        <f t="shared" si="134"/>
        <v>0.0241166930129624</v>
      </c>
      <c r="AC307" s="10">
        <f t="shared" si="138"/>
        <v>0.210247443118654</v>
      </c>
      <c r="AD307" s="10">
        <f t="shared" si="142"/>
        <v>0.0190010283109761</v>
      </c>
      <c r="AE307" s="10">
        <f t="shared" si="141"/>
        <v>7.41651677389917</v>
      </c>
      <c r="AF307" s="10">
        <f t="shared" si="129"/>
        <v>0.242202679166975</v>
      </c>
      <c r="AG307" s="10">
        <f t="shared" si="135"/>
        <v>0.00872443118654117</v>
      </c>
      <c r="AH307" s="10">
        <f t="shared" si="122"/>
        <v>0.0777418105684429</v>
      </c>
      <c r="AI307" s="10">
        <f t="shared" si="123"/>
        <v>383.859223300971</v>
      </c>
      <c r="AJ307" s="10">
        <f t="shared" si="133"/>
        <v>1.45565617357148</v>
      </c>
      <c r="AK307" s="10">
        <f t="shared" si="137"/>
        <v>23.7306869368684</v>
      </c>
      <c r="AL307" s="10">
        <f t="shared" si="143"/>
        <v>0.495868227970059</v>
      </c>
      <c r="AM307" s="10">
        <f t="shared" si="136"/>
        <v>0.290340361669014</v>
      </c>
      <c r="AN307" s="10">
        <f t="shared" si="132"/>
        <v>2.53167404397359</v>
      </c>
    </row>
    <row r="308" ht="16" spans="1:40">
      <c r="A308" s="14">
        <v>2019</v>
      </c>
      <c r="B308" s="15">
        <v>500000</v>
      </c>
      <c r="C308" s="16" t="s">
        <v>71</v>
      </c>
      <c r="D308" s="24">
        <v>23605.8</v>
      </c>
      <c r="E308" s="25">
        <v>3188</v>
      </c>
      <c r="F308" s="26">
        <v>8.24</v>
      </c>
      <c r="G308" s="27">
        <v>2175</v>
      </c>
      <c r="H308" s="10">
        <v>834864</v>
      </c>
      <c r="I308" s="30">
        <v>19815.463536</v>
      </c>
      <c r="J308" s="31">
        <v>4818.48</v>
      </c>
      <c r="K308" s="24">
        <v>4695714</v>
      </c>
      <c r="L308" s="10">
        <v>1668.16</v>
      </c>
      <c r="M308" s="10">
        <v>5791.2621</v>
      </c>
      <c r="N308" s="10">
        <v>56.65</v>
      </c>
      <c r="O308" s="10">
        <v>2769.308</v>
      </c>
      <c r="P308" s="19">
        <v>174284</v>
      </c>
      <c r="Q308" s="19">
        <v>112970</v>
      </c>
      <c r="R308" s="38">
        <v>36233.2</v>
      </c>
      <c r="S308" s="20">
        <v>11631.7</v>
      </c>
      <c r="T308" s="39">
        <v>6551.8</v>
      </c>
      <c r="U308" s="22">
        <v>15133</v>
      </c>
      <c r="V308" s="22">
        <v>37939</v>
      </c>
      <c r="W308" s="32">
        <v>74337</v>
      </c>
      <c r="X308" s="10">
        <v>75828</v>
      </c>
      <c r="Y308" s="10">
        <f t="shared" si="124"/>
        <v>0.839431984342831</v>
      </c>
      <c r="Z308" s="10">
        <f t="shared" si="139"/>
        <v>62156.4100878294</v>
      </c>
      <c r="AA308" s="10">
        <f t="shared" si="140"/>
        <v>0.682245922208281</v>
      </c>
      <c r="AB308" s="10">
        <f t="shared" si="134"/>
        <v>0.0261877038895859</v>
      </c>
      <c r="AC308" s="10">
        <f t="shared" si="138"/>
        <v>0.204122715603792</v>
      </c>
      <c r="AD308" s="10">
        <f t="shared" si="142"/>
        <v>0.0198922044582264</v>
      </c>
      <c r="AE308" s="10">
        <f t="shared" si="141"/>
        <v>7.41947650157974</v>
      </c>
      <c r="AF308" s="10">
        <f t="shared" si="129"/>
        <v>0.245332168365402</v>
      </c>
      <c r="AG308" s="10">
        <f t="shared" si="135"/>
        <v>0.00239983393911666</v>
      </c>
      <c r="AH308" s="10">
        <f t="shared" si="122"/>
        <v>0.117314727736404</v>
      </c>
      <c r="AI308" s="10">
        <f t="shared" si="123"/>
        <v>386.893203883495</v>
      </c>
      <c r="AJ308" s="10">
        <f t="shared" si="133"/>
        <v>1.53492785671318</v>
      </c>
      <c r="AK308" s="10">
        <f t="shared" si="137"/>
        <v>23.7033190072612</v>
      </c>
      <c r="AL308" s="10">
        <f t="shared" si="143"/>
        <v>0.49274754509485</v>
      </c>
      <c r="AM308" s="10">
        <f t="shared" si="136"/>
        <v>0.277550432520821</v>
      </c>
      <c r="AN308" s="10">
        <f t="shared" si="132"/>
        <v>2.50703759994714</v>
      </c>
    </row>
    <row r="309" ht="16" spans="1:40">
      <c r="A309" s="14">
        <v>2020</v>
      </c>
      <c r="B309" s="15">
        <v>500000</v>
      </c>
      <c r="C309" s="16" t="s">
        <v>71</v>
      </c>
      <c r="D309" s="24">
        <v>25041.4</v>
      </c>
      <c r="E309" s="25">
        <v>3209</v>
      </c>
      <c r="F309" s="26">
        <v>8.24</v>
      </c>
      <c r="G309" s="27">
        <v>2229</v>
      </c>
      <c r="H309" s="10">
        <v>915556</v>
      </c>
      <c r="I309" s="30">
        <v>20588.266613904</v>
      </c>
      <c r="J309" s="31">
        <v>4842.22</v>
      </c>
      <c r="K309" s="24">
        <v>5267943.7</v>
      </c>
      <c r="L309" s="10">
        <v>1676.01</v>
      </c>
      <c r="M309" s="10">
        <v>6496.2358</v>
      </c>
      <c r="N309" s="10">
        <v>117.79</v>
      </c>
      <c r="O309" s="10">
        <v>3392.3313</v>
      </c>
      <c r="P309" s="19">
        <v>180796</v>
      </c>
      <c r="Q309" s="19">
        <v>121692</v>
      </c>
      <c r="R309" s="38">
        <v>40960.64</v>
      </c>
      <c r="S309" s="20">
        <v>11787.2</v>
      </c>
      <c r="T309" s="39">
        <v>6990.8</v>
      </c>
      <c r="U309" s="22">
        <v>16361</v>
      </c>
      <c r="V309" s="22">
        <v>40006</v>
      </c>
      <c r="W309" s="32">
        <v>78294</v>
      </c>
      <c r="X309" s="10">
        <v>78170.36</v>
      </c>
      <c r="Y309" s="10">
        <f t="shared" si="124"/>
        <v>0.82216915243972</v>
      </c>
      <c r="Z309" s="10">
        <f t="shared" si="139"/>
        <v>64157.8891053412</v>
      </c>
      <c r="AA309" s="10">
        <f t="shared" si="140"/>
        <v>0.69460891243378</v>
      </c>
      <c r="AB309" s="10">
        <f t="shared" si="134"/>
        <v>0.0285308818946712</v>
      </c>
      <c r="AC309" s="10">
        <f t="shared" si="138"/>
        <v>0.193368581628823</v>
      </c>
      <c r="AD309" s="10">
        <f t="shared" si="142"/>
        <v>0.0210369376312826</v>
      </c>
      <c r="AE309" s="10">
        <f t="shared" si="141"/>
        <v>7.42417124761134</v>
      </c>
      <c r="AF309" s="10">
        <f t="shared" si="129"/>
        <v>0.259419832756954</v>
      </c>
      <c r="AG309" s="10">
        <f t="shared" si="135"/>
        <v>0.00470381048982884</v>
      </c>
      <c r="AH309" s="10">
        <f t="shared" si="122"/>
        <v>0.135468915475972</v>
      </c>
      <c r="AI309" s="10">
        <f t="shared" si="123"/>
        <v>389.441747572816</v>
      </c>
      <c r="AJ309" s="10">
        <f t="shared" si="133"/>
        <v>1.63571685289161</v>
      </c>
      <c r="AK309" s="10">
        <f t="shared" si="137"/>
        <v>23.8143731442017</v>
      </c>
      <c r="AL309" s="10">
        <f t="shared" si="143"/>
        <v>0.470708506712883</v>
      </c>
      <c r="AM309" s="10">
        <f t="shared" si="136"/>
        <v>0.279169694985105</v>
      </c>
      <c r="AN309" s="10">
        <f t="shared" si="132"/>
        <v>2.44520506081535</v>
      </c>
    </row>
    <row r="310" ht="16" spans="1:40">
      <c r="A310" s="14">
        <v>2021</v>
      </c>
      <c r="B310" s="15">
        <v>500000</v>
      </c>
      <c r="C310" s="16" t="s">
        <v>71</v>
      </c>
      <c r="D310" s="24">
        <v>28077.3</v>
      </c>
      <c r="E310" s="25">
        <v>3212</v>
      </c>
      <c r="F310" s="26">
        <v>8.24</v>
      </c>
      <c r="G310" s="27">
        <v>2259</v>
      </c>
      <c r="H310" s="10">
        <v>1002720</v>
      </c>
      <c r="I310" s="30">
        <v>21844.1508773521</v>
      </c>
      <c r="J310" s="31">
        <v>4790.44</v>
      </c>
      <c r="K310" s="24">
        <v>6038409.7</v>
      </c>
      <c r="L310" s="10">
        <v>1668.27</v>
      </c>
      <c r="M310" s="10">
        <v>7988.2473</v>
      </c>
      <c r="N310" s="10">
        <v>184.518</v>
      </c>
      <c r="O310" s="10">
        <v>537.34</v>
      </c>
      <c r="P310" s="19">
        <v>184106</v>
      </c>
      <c r="Q310" s="19">
        <v>144593</v>
      </c>
      <c r="R310" s="38">
        <v>46043.22</v>
      </c>
      <c r="S310" s="20">
        <v>13967.7</v>
      </c>
      <c r="T310" s="39">
        <v>7940.5</v>
      </c>
      <c r="U310" s="22">
        <v>18100</v>
      </c>
      <c r="V310" s="22">
        <v>43503</v>
      </c>
      <c r="W310" s="32">
        <v>87450</v>
      </c>
      <c r="X310" s="10">
        <v>86879</v>
      </c>
      <c r="Y310" s="10">
        <f t="shared" si="124"/>
        <v>0.778000408776916</v>
      </c>
      <c r="Z310" s="10">
        <f t="shared" si="139"/>
        <v>68007.9417103116</v>
      </c>
      <c r="AA310" s="10">
        <f t="shared" si="140"/>
        <v>0.703300124533001</v>
      </c>
      <c r="AB310" s="10">
        <f t="shared" si="134"/>
        <v>0.0312179327521793</v>
      </c>
      <c r="AC310" s="10">
        <f t="shared" si="138"/>
        <v>0.170616120495917</v>
      </c>
      <c r="AD310" s="10">
        <f t="shared" si="142"/>
        <v>0.0215063759691993</v>
      </c>
      <c r="AE310" s="10">
        <f t="shared" si="141"/>
        <v>7.41954244032267</v>
      </c>
      <c r="AF310" s="10">
        <f t="shared" si="129"/>
        <v>0.284509098097039</v>
      </c>
      <c r="AG310" s="10">
        <f t="shared" si="135"/>
        <v>0.00657178574862968</v>
      </c>
      <c r="AH310" s="10">
        <f t="shared" si="122"/>
        <v>0.0191378800668155</v>
      </c>
      <c r="AI310" s="10">
        <f t="shared" si="123"/>
        <v>389.805825242718</v>
      </c>
      <c r="AJ310" s="10">
        <f t="shared" si="133"/>
        <v>1.63987349210928</v>
      </c>
      <c r="AK310" s="10">
        <f t="shared" si="137"/>
        <v>24.004945135803</v>
      </c>
      <c r="AL310" s="10">
        <f t="shared" si="143"/>
        <v>0.4974730476221</v>
      </c>
      <c r="AM310" s="10">
        <f t="shared" si="136"/>
        <v>0.282808532159431</v>
      </c>
      <c r="AN310" s="10">
        <f t="shared" si="132"/>
        <v>2.40348066298343</v>
      </c>
    </row>
    <row r="311" ht="16" spans="1:40">
      <c r="A311" s="17">
        <v>2022</v>
      </c>
      <c r="B311" s="10">
        <v>500000</v>
      </c>
      <c r="C311" s="18" t="s">
        <v>72</v>
      </c>
      <c r="D311" s="24">
        <v>28576.1</v>
      </c>
      <c r="E311" s="25">
        <v>3213</v>
      </c>
      <c r="F311" s="26">
        <v>8.24</v>
      </c>
      <c r="G311" s="27">
        <v>2280</v>
      </c>
      <c r="H311" s="10">
        <v>1066133</v>
      </c>
      <c r="I311" s="30">
        <v>21997.0599334936</v>
      </c>
      <c r="J311" s="31">
        <v>4852.14</v>
      </c>
      <c r="K311" s="24">
        <v>6866481.3</v>
      </c>
      <c r="L311" s="10">
        <v>1644.37</v>
      </c>
      <c r="M311" s="10">
        <v>8205.842</v>
      </c>
      <c r="N311" s="10">
        <v>559.47</v>
      </c>
      <c r="O311" s="10">
        <v>571.6158</v>
      </c>
      <c r="P311" s="35">
        <v>186137</v>
      </c>
      <c r="Q311" s="35">
        <v>135491</v>
      </c>
      <c r="R311" s="38">
        <v>49365.86</v>
      </c>
      <c r="S311" s="20">
        <v>13926.1</v>
      </c>
      <c r="T311" s="39">
        <v>7966.3</v>
      </c>
      <c r="U311" s="22">
        <v>19313</v>
      </c>
      <c r="V311" s="22">
        <v>45509</v>
      </c>
      <c r="W311" s="32">
        <v>88953</v>
      </c>
      <c r="X311" s="10">
        <v>90663</v>
      </c>
      <c r="Y311" s="10">
        <f t="shared" si="124"/>
        <v>0.769771240074524</v>
      </c>
      <c r="Z311" s="10">
        <f t="shared" si="139"/>
        <v>68462.6826439266</v>
      </c>
      <c r="AA311" s="10">
        <f t="shared" si="140"/>
        <v>0.709617180205416</v>
      </c>
      <c r="AB311" s="10">
        <f t="shared" si="134"/>
        <v>0.0331818549642079</v>
      </c>
      <c r="AC311" s="10">
        <f t="shared" si="138"/>
        <v>0.16979713816791</v>
      </c>
      <c r="AD311" s="10">
        <f t="shared" si="142"/>
        <v>0.0240287558484188</v>
      </c>
      <c r="AE311" s="10">
        <f t="shared" si="141"/>
        <v>7.40511261112099</v>
      </c>
      <c r="AF311" s="10">
        <f t="shared" si="129"/>
        <v>0.287157519745522</v>
      </c>
      <c r="AG311" s="10">
        <f t="shared" si="135"/>
        <v>0.0195782489562956</v>
      </c>
      <c r="AH311" s="10">
        <f t="shared" si="122"/>
        <v>0.0200032824633172</v>
      </c>
      <c r="AI311" s="10">
        <f t="shared" si="123"/>
        <v>389.927184466019</v>
      </c>
      <c r="AJ311" s="10">
        <f t="shared" si="133"/>
        <v>1.72752265004672</v>
      </c>
      <c r="AK311" s="10">
        <f t="shared" si="137"/>
        <v>23.9508987371403</v>
      </c>
      <c r="AL311" s="10">
        <f t="shared" si="143"/>
        <v>0.48733382092028</v>
      </c>
      <c r="AM311" s="10">
        <f t="shared" si="136"/>
        <v>0.278774920300531</v>
      </c>
      <c r="AN311" s="10">
        <f t="shared" si="132"/>
        <v>2.35639206751929</v>
      </c>
    </row>
    <row r="312" spans="18:18">
      <c r="R312" s="10">
        <v>49365.86</v>
      </c>
    </row>
    <row r="1048174" s="10" customFormat="1"/>
    <row r="1048175" s="10" customFormat="1"/>
    <row r="1048176" s="10" customFormat="1"/>
    <row r="1048177" s="10" customFormat="1"/>
    <row r="1048178" s="10" customFormat="1"/>
    <row r="1048179" s="10" customFormat="1"/>
    <row r="1048180" s="10" customFormat="1"/>
    <row r="1048181" s="10" customFormat="1"/>
    <row r="1048182" s="10" customFormat="1"/>
    <row r="1048183" s="10" customFormat="1"/>
    <row r="1048184" s="10" customFormat="1"/>
    <row r="1048185" s="10" customFormat="1"/>
    <row r="1048186" s="10" customFormat="1"/>
    <row r="1048187" s="10" customFormat="1"/>
    <row r="1048188" s="10" customFormat="1"/>
    <row r="1048189" s="10" customFormat="1"/>
    <row r="1048190" s="10" customFormat="1"/>
    <row r="1048191" s="10" customFormat="1"/>
    <row r="1048192" s="10" customFormat="1"/>
    <row r="1048193" s="10" customFormat="1"/>
    <row r="1048194" s="10" customFormat="1"/>
    <row r="1048195" s="10" customFormat="1"/>
    <row r="1048196" s="10" customFormat="1"/>
    <row r="1048197" s="10" customFormat="1"/>
    <row r="1048198" s="10" customFormat="1"/>
    <row r="1048199" s="10" customFormat="1"/>
    <row r="1048200" s="10" customFormat="1"/>
    <row r="1048201" s="10" customFormat="1"/>
    <row r="1048202" s="10" customFormat="1"/>
    <row r="1048203" s="10" customFormat="1"/>
    <row r="1048204" s="10" customFormat="1"/>
    <row r="1048205" s="10" customFormat="1"/>
    <row r="1048206" s="10" customFormat="1"/>
    <row r="1048207" s="10" customFormat="1"/>
    <row r="1048208" s="10" customFormat="1"/>
    <row r="1048209" s="10" customFormat="1"/>
    <row r="1048210" s="10" customFormat="1"/>
    <row r="1048211" s="10" customFormat="1"/>
    <row r="1048212" s="10" customFormat="1"/>
    <row r="1048213" s="10" customFormat="1"/>
    <row r="1048214" s="10" customFormat="1"/>
    <row r="1048215" s="10" customFormat="1"/>
    <row r="1048216" s="10" customFormat="1"/>
    <row r="1048217" s="10" customFormat="1"/>
    <row r="1048218" s="10" customFormat="1"/>
    <row r="1048219" s="10" customFormat="1"/>
    <row r="1048220" s="10" customFormat="1"/>
    <row r="1048221" s="10" customFormat="1"/>
    <row r="1048222" s="10" customFormat="1"/>
    <row r="1048223" s="10" customFormat="1"/>
    <row r="1048224" s="10" customFormat="1"/>
    <row r="1048225" s="10" customFormat="1"/>
    <row r="1048226" s="10" customFormat="1"/>
    <row r="1048227" s="10" customFormat="1"/>
    <row r="1048228" s="10" customFormat="1"/>
    <row r="1048229" s="10" customFormat="1"/>
    <row r="1048230" s="10" customFormat="1"/>
    <row r="1048231" s="10" customFormat="1"/>
    <row r="1048232" s="10" customFormat="1"/>
    <row r="1048233" s="10" customFormat="1"/>
    <row r="1048234" s="10" customFormat="1"/>
    <row r="1048235" s="10" customFormat="1"/>
    <row r="1048236" s="10" customFormat="1"/>
    <row r="1048237" s="10" customFormat="1"/>
    <row r="1048238" s="10" customFormat="1"/>
    <row r="1048239" s="10" customFormat="1"/>
    <row r="1048240" s="10" customFormat="1"/>
    <row r="1048241" s="10" customFormat="1"/>
    <row r="1048242" s="10" customFormat="1"/>
    <row r="1048243" s="10" customFormat="1"/>
    <row r="1048244" s="10" customFormat="1"/>
    <row r="1048245" s="10" customFormat="1"/>
    <row r="1048246" s="10" customFormat="1"/>
    <row r="1048247" s="10" customFormat="1"/>
    <row r="1048248" s="10" customFormat="1"/>
    <row r="1048249" s="10" customFormat="1"/>
    <row r="1048250" s="10" customFormat="1"/>
    <row r="1048251" s="10" customFormat="1"/>
    <row r="1048252" s="10" customFormat="1"/>
    <row r="1048253" s="10" customFormat="1"/>
    <row r="1048254" s="10" customFormat="1"/>
    <row r="1048255" s="10" customFormat="1"/>
    <row r="1048256" s="10" customFormat="1"/>
    <row r="1048257" s="10" customFormat="1"/>
    <row r="1048258" s="10" customFormat="1"/>
    <row r="1048259" s="10" customFormat="1"/>
    <row r="1048260" s="10" customFormat="1"/>
    <row r="1048261" s="10" customFormat="1"/>
    <row r="1048262" s="10" customFormat="1"/>
    <row r="1048263" s="10" customFormat="1"/>
    <row r="1048264" s="10" customFormat="1"/>
    <row r="1048265" s="10" customFormat="1"/>
    <row r="1048266" s="10" customFormat="1"/>
    <row r="1048267" s="10" customFormat="1"/>
    <row r="1048268" s="10" customFormat="1"/>
    <row r="1048269" s="10" customFormat="1"/>
    <row r="1048270" s="10" customFormat="1"/>
    <row r="1048271" s="10" customFormat="1"/>
    <row r="1048272" s="10" customFormat="1"/>
    <row r="1048273" s="10" customFormat="1"/>
    <row r="1048274" s="10" customFormat="1"/>
    <row r="1048275" s="10" customFormat="1"/>
    <row r="1048276" s="10" customFormat="1"/>
    <row r="1048277" s="10" customFormat="1"/>
    <row r="1048278" s="10" customFormat="1"/>
    <row r="1048279" s="10" customFormat="1"/>
    <row r="1048280" s="10" customFormat="1"/>
    <row r="1048281" s="10" customFormat="1"/>
    <row r="1048282" s="10" customFormat="1"/>
    <row r="1048283" s="10" customFormat="1"/>
    <row r="1048284" s="10" customFormat="1"/>
    <row r="1048285" s="10" customFormat="1"/>
    <row r="1048286" s="10" customFormat="1"/>
    <row r="1048287" s="10" customFormat="1"/>
    <row r="1048288" s="10" customFormat="1"/>
    <row r="1048289" s="10" customFormat="1"/>
    <row r="1048290" s="10" customFormat="1"/>
    <row r="1048291" s="10" customFormat="1"/>
    <row r="1048292" s="10" customFormat="1"/>
    <row r="1048293" s="10" customFormat="1"/>
    <row r="1048294" s="10" customFormat="1"/>
    <row r="1048295" s="10" customFormat="1"/>
    <row r="1048296" s="10" customFormat="1"/>
    <row r="1048297" s="10" customFormat="1"/>
    <row r="1048298" s="10" customFormat="1"/>
    <row r="1048299" s="10" customFormat="1"/>
    <row r="1048300" s="10" customFormat="1"/>
    <row r="1048301" s="10" customFormat="1"/>
    <row r="1048302" s="10" customFormat="1"/>
    <row r="1048303" s="10" customFormat="1"/>
    <row r="1048304" s="10" customFormat="1"/>
    <row r="1048305" s="10" customFormat="1"/>
    <row r="1048306" s="10" customFormat="1"/>
    <row r="1048307" s="10" customFormat="1"/>
    <row r="1048308" s="10" customFormat="1"/>
    <row r="1048309" s="10" customFormat="1"/>
    <row r="1048310" s="10" customFormat="1"/>
    <row r="1048311" s="10" customFormat="1"/>
    <row r="1048312" s="10" customFormat="1"/>
    <row r="1048313" s="10" customFormat="1"/>
    <row r="1048314" s="10" customFormat="1"/>
    <row r="1048315" s="10" customFormat="1"/>
    <row r="1048316" s="10" customFormat="1"/>
    <row r="1048317" s="10" customFormat="1"/>
    <row r="1048318" s="10" customFormat="1"/>
    <row r="1048319" s="10" customFormat="1"/>
    <row r="1048320" s="10" customFormat="1"/>
    <row r="1048321" s="10" customFormat="1"/>
    <row r="1048322" s="10" customFormat="1"/>
    <row r="1048323" s="10" customFormat="1"/>
    <row r="1048324" s="10" customFormat="1"/>
    <row r="1048325" s="10" customFormat="1"/>
    <row r="1048326" s="10" customFormat="1"/>
    <row r="1048327" s="10" customFormat="1"/>
    <row r="1048328" s="10" customFormat="1"/>
    <row r="1048329" s="10" customFormat="1"/>
    <row r="1048330" s="10" customFormat="1"/>
    <row r="1048331" s="10" customFormat="1"/>
    <row r="1048332" s="10" customFormat="1"/>
    <row r="1048333" s="10" customFormat="1"/>
    <row r="1048334" s="10" customFormat="1"/>
    <row r="1048335" s="10" customFormat="1"/>
    <row r="1048336" s="10" customFormat="1"/>
    <row r="1048337" s="10" customFormat="1"/>
    <row r="1048338" s="10" customFormat="1"/>
    <row r="1048339" s="10" customFormat="1"/>
    <row r="1048340" s="10" customFormat="1"/>
    <row r="1048341" s="10" customFormat="1"/>
    <row r="1048342" s="10" customFormat="1"/>
    <row r="1048343" s="10" customFormat="1"/>
    <row r="1048344" s="10" customFormat="1"/>
    <row r="1048345" s="10" customFormat="1"/>
    <row r="1048346" s="10" customFormat="1"/>
    <row r="1048347" s="10" customFormat="1"/>
    <row r="1048348" s="10" customFormat="1"/>
    <row r="1048349" s="10" customFormat="1"/>
    <row r="1048350" s="10" customFormat="1"/>
    <row r="1048351" s="10" customFormat="1"/>
    <row r="1048352" s="10" customFormat="1"/>
    <row r="1048353" s="10" customFormat="1"/>
    <row r="1048354" s="10" customFormat="1"/>
    <row r="1048355" s="10" customFormat="1"/>
    <row r="1048356" s="10" customFormat="1"/>
    <row r="1048357" s="10" customFormat="1"/>
    <row r="1048358" s="10" customFormat="1"/>
    <row r="1048359" s="10" customFormat="1"/>
    <row r="1048360" s="10" customFormat="1"/>
    <row r="1048361" s="10" customFormat="1"/>
    <row r="1048362" s="10" customFormat="1"/>
    <row r="1048363" s="10" customFormat="1"/>
    <row r="1048364" s="10" customFormat="1"/>
    <row r="1048365" s="10" customFormat="1"/>
    <row r="1048366" s="10" customFormat="1"/>
    <row r="1048367" s="10" customFormat="1"/>
    <row r="1048368" s="10" customFormat="1"/>
    <row r="1048369" s="10" customFormat="1"/>
    <row r="1048370" s="10" customFormat="1"/>
    <row r="1048371" s="10" customFormat="1"/>
    <row r="1048372" s="10" customFormat="1"/>
    <row r="1048373" s="10" customFormat="1"/>
    <row r="1048374" s="10" customFormat="1"/>
    <row r="1048375" s="10" customFormat="1"/>
    <row r="1048376" s="10" customFormat="1"/>
    <row r="1048377" s="10" customFormat="1"/>
    <row r="1048378" s="10" customFormat="1"/>
    <row r="1048379" s="10" customFormat="1"/>
    <row r="1048380" s="10" customFormat="1"/>
    <row r="1048381" s="10" customFormat="1"/>
    <row r="1048382" s="10" customFormat="1"/>
    <row r="1048383" s="10" customFormat="1"/>
    <row r="1048384" s="10" customFormat="1"/>
    <row r="1048385" s="10" customFormat="1"/>
    <row r="1048386" s="10" customFormat="1"/>
    <row r="1048387" s="10" customFormat="1"/>
    <row r="1048388" s="10" customFormat="1"/>
    <row r="1048389" s="10" customFormat="1"/>
    <row r="1048390" s="10" customFormat="1"/>
    <row r="1048391" s="10" customFormat="1"/>
    <row r="1048392" s="10" customFormat="1"/>
    <row r="1048393" s="10" customFormat="1"/>
    <row r="1048394" s="10" customFormat="1"/>
    <row r="1048395" s="10" customFormat="1"/>
    <row r="1048396" s="10" customFormat="1"/>
    <row r="1048397" s="10" customFormat="1"/>
    <row r="1048398" s="10" customFormat="1"/>
    <row r="1048399" s="10" customFormat="1"/>
    <row r="1048400" s="10" customFormat="1"/>
    <row r="1048401" s="10" customFormat="1"/>
    <row r="1048402" s="10" customFormat="1"/>
    <row r="1048403" s="10" customFormat="1"/>
    <row r="1048404" s="10" customFormat="1"/>
    <row r="1048405" s="10" customFormat="1"/>
    <row r="1048406" s="10" customFormat="1"/>
    <row r="1048407" s="10" customFormat="1"/>
    <row r="1048408" s="10" customFormat="1"/>
    <row r="1048409" s="10" customFormat="1"/>
    <row r="1048410" s="10" customFormat="1"/>
    <row r="1048411" s="10" customFormat="1"/>
    <row r="1048412" s="10" customFormat="1"/>
    <row r="1048413" s="10" customFormat="1"/>
    <row r="1048414" s="10" customFormat="1"/>
    <row r="1048415" s="10" customFormat="1"/>
    <row r="1048416" s="10" customFormat="1"/>
    <row r="1048417" s="10" customFormat="1"/>
    <row r="1048418" s="10" customFormat="1"/>
    <row r="1048419" s="10" customFormat="1"/>
    <row r="1048420" s="10" customFormat="1"/>
    <row r="1048421" s="10" customFormat="1"/>
    <row r="1048422" s="10" customFormat="1"/>
    <row r="1048423" s="10" customFormat="1"/>
    <row r="1048424" s="10" customFormat="1"/>
    <row r="1048425" s="10" customFormat="1"/>
    <row r="1048426" s="10" customFormat="1"/>
    <row r="1048427" s="10" customFormat="1"/>
    <row r="1048428" s="10" customFormat="1"/>
    <row r="1048429" s="10" customFormat="1"/>
    <row r="1048430" s="10" customFormat="1"/>
    <row r="1048431" s="10" customFormat="1"/>
    <row r="1048432" s="10" customFormat="1"/>
    <row r="1048433" s="10" customFormat="1"/>
    <row r="1048434" s="10" customFormat="1"/>
    <row r="1048435" s="10" customFormat="1"/>
    <row r="1048436" s="10" customFormat="1"/>
    <row r="1048437" s="10" customFormat="1"/>
    <row r="1048438" s="10" customFormat="1"/>
    <row r="1048439" s="10" customFormat="1"/>
    <row r="1048440" s="10" customFormat="1"/>
    <row r="1048441" s="10" customFormat="1"/>
    <row r="1048442" s="10" customFormat="1"/>
    <row r="1048443" s="10" customFormat="1"/>
    <row r="1048444" s="10" customFormat="1"/>
    <row r="1048445" s="10" customFormat="1"/>
    <row r="1048446" s="10" customFormat="1"/>
    <row r="1048447" s="10" customFormat="1"/>
    <row r="1048448" s="10" customFormat="1"/>
    <row r="1048449" s="10" customFormat="1"/>
    <row r="1048450" s="10" customFormat="1"/>
    <row r="1048451" s="10" customFormat="1"/>
    <row r="1048452" s="10" customFormat="1"/>
    <row r="1048453" s="10" customFormat="1"/>
    <row r="1048454" s="10" customFormat="1"/>
    <row r="1048455" s="10" customFormat="1"/>
    <row r="1048456" s="10" customFormat="1"/>
    <row r="1048457" s="10" customFormat="1"/>
    <row r="1048458" s="10" customFormat="1"/>
    <row r="1048459" s="10" customFormat="1"/>
    <row r="1048460" s="10" customFormat="1"/>
    <row r="1048461" s="10" customFormat="1"/>
    <row r="1048462" s="10" customFormat="1"/>
    <row r="1048463" s="10" customFormat="1"/>
    <row r="1048464" s="10" customFormat="1"/>
    <row r="1048465" s="10" customFormat="1"/>
    <row r="1048466" s="10" customFormat="1"/>
    <row r="1048467" s="10" customFormat="1"/>
    <row r="1048468" s="10" customFormat="1"/>
    <row r="1048469" s="10" customFormat="1"/>
    <row r="1048470" s="10" customFormat="1"/>
    <row r="1048471" s="10" customFormat="1"/>
    <row r="1048472" s="10" customFormat="1"/>
    <row r="1048473" s="10" customFormat="1"/>
    <row r="1048474" s="10" customFormat="1"/>
    <row r="1048475" s="10" customFormat="1"/>
    <row r="1048476" s="10" customFormat="1"/>
    <row r="1048477" s="10" customFormat="1"/>
    <row r="1048478" s="10" customFormat="1"/>
    <row r="1048479" s="10" customFormat="1"/>
    <row r="1048480" s="10" customFormat="1"/>
    <row r="1048481" s="10" customFormat="1"/>
    <row r="1048482" s="10" customFormat="1"/>
    <row r="1048483" s="10" customFormat="1"/>
    <row r="1048484" s="10" customFormat="1"/>
    <row r="1048485" s="10" customFormat="1"/>
    <row r="1048486" s="10" customFormat="1"/>
    <row r="1048487" s="10" customFormat="1"/>
    <row r="1048488" s="10" customFormat="1"/>
    <row r="1048489" s="10" customFormat="1"/>
    <row r="1048490" s="10" customFormat="1"/>
    <row r="1048491" s="10" customFormat="1"/>
    <row r="1048492" s="10" customFormat="1"/>
    <row r="1048493" s="10" customFormat="1"/>
    <row r="1048494" s="10" customFormat="1"/>
    <row r="1048495" s="10" customFormat="1"/>
    <row r="1048496" s="10" customFormat="1"/>
    <row r="1048497" s="10" customFormat="1"/>
    <row r="1048498" s="10" customFormat="1"/>
    <row r="1048499" s="10" customFormat="1"/>
    <row r="1048500" s="10" customFormat="1"/>
    <row r="1048501" s="10" customFormat="1"/>
    <row r="1048502" s="10" customFormat="1"/>
    <row r="1048503" s="10" customFormat="1"/>
    <row r="1048504" s="10" customFormat="1"/>
    <row r="1048505" s="10" customFormat="1"/>
    <row r="1048506" s="10" customFormat="1"/>
    <row r="1048507" s="10" customFormat="1"/>
    <row r="1048508" s="10" customFormat="1"/>
    <row r="1048509" s="10" customFormat="1"/>
    <row r="1048510" s="10" customFormat="1"/>
    <row r="1048511" s="10" customFormat="1"/>
    <row r="1048512" s="10" customFormat="1"/>
    <row r="1048513" s="10" customFormat="1"/>
    <row r="1048514" s="10" customFormat="1"/>
    <row r="1048515" s="10" customFormat="1"/>
    <row r="1048516" s="10" customFormat="1"/>
    <row r="1048517" s="10" customFormat="1"/>
    <row r="1048518" s="10" customFormat="1"/>
    <row r="1048519" s="10" customFormat="1"/>
    <row r="1048520" s="10" customFormat="1"/>
    <row r="1048521" s="10" customFormat="1"/>
    <row r="1048522" s="10" customFormat="1"/>
    <row r="1048523" s="10" customFormat="1"/>
    <row r="1048524" s="10" customFormat="1"/>
    <row r="1048525" s="10" customFormat="1"/>
    <row r="1048526" s="10" customFormat="1"/>
    <row r="1048527" s="10" customFormat="1"/>
    <row r="1048528" s="10" customFormat="1"/>
    <row r="1048529" s="10" customFormat="1"/>
    <row r="1048530" s="10" customFormat="1"/>
    <row r="1048531" s="10" customFormat="1"/>
    <row r="1048532" s="10" customFormat="1"/>
    <row r="1048533" s="10" customFormat="1"/>
    <row r="1048534" s="10" customFormat="1"/>
    <row r="1048535" s="10" customFormat="1"/>
    <row r="1048536" s="10" customFormat="1"/>
    <row r="1048537" s="10" customFormat="1"/>
    <row r="1048538" s="10" customFormat="1"/>
    <row r="1048539" s="10" customFormat="1"/>
    <row r="1048540" s="10" customFormat="1"/>
    <row r="1048541" s="10" customFormat="1"/>
    <row r="1048542" s="10" customFormat="1"/>
    <row r="1048543" s="10" customFormat="1"/>
    <row r="1048544" s="10" customFormat="1"/>
    <row r="1048545" s="10" customFormat="1"/>
    <row r="1048546" s="10" customFormat="1"/>
    <row r="1048547" s="10" customFormat="1"/>
    <row r="1048548" s="10" customFormat="1"/>
    <row r="1048549" s="10" customFormat="1"/>
    <row r="1048550" s="10" customFormat="1"/>
    <row r="1048551" s="10" customFormat="1"/>
    <row r="1048552" s="10" customFormat="1"/>
    <row r="1048553" s="10" customFormat="1"/>
    <row r="1048554" s="10" customFormat="1"/>
    <row r="1048555" s="10" customFormat="1"/>
    <row r="1048556" s="10" customFormat="1"/>
    <row r="1048557" s="10" customFormat="1"/>
    <row r="1048558" s="10" customFormat="1"/>
    <row r="1048559" s="10" customFormat="1"/>
    <row r="1048560" s="10" customFormat="1"/>
    <row r="1048561" s="10" customFormat="1"/>
    <row r="1048562" s="10" customFormat="1"/>
    <row r="1048563" s="10" customFormat="1"/>
    <row r="1048564" s="10" customFormat="1"/>
    <row r="1048565" s="10" customFormat="1"/>
    <row r="1048566" s="10" customFormat="1"/>
    <row r="1048567" s="10" customFormat="1"/>
    <row r="1048568" s="10" customFormat="1"/>
    <row r="1048569" s="10" customFormat="1"/>
    <row r="1048570" s="10" customFormat="1"/>
    <row r="1048571" s="10" customFormat="1"/>
    <row r="1048572" s="10" customFormat="1"/>
    <row r="1048573" s="10" customFormat="1"/>
    <row r="1048574" s="10" customFormat="1"/>
    <row r="1048575" s="10" customFormat="1"/>
    <row r="1048576" s="10" customFormat="1"/>
  </sheetData>
  <autoFilter xmlns:etc="http://www.wps.cn/officeDocument/2017/etCustomData" ref="A1:AG3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1"/>
  <sheetViews>
    <sheetView zoomScale="82" zoomScaleNormal="82" topLeftCell="A16" workbookViewId="0">
      <pane xSplit="3" topLeftCell="D1" activePane="topRight" state="frozen"/>
      <selection/>
      <selection pane="topRight" activeCell="U16" sqref="U$1:U$1048576"/>
    </sheetView>
  </sheetViews>
  <sheetFormatPr defaultColWidth="9.23076923076923" defaultRowHeight="15.2"/>
  <cols>
    <col min="1" max="16" width="9.23076923076923" style="10"/>
    <col min="17" max="17" width="12.9230769230769" style="10"/>
    <col min="18" max="16384" width="9.23076923076923" style="10"/>
  </cols>
  <sheetData>
    <row r="1" s="10" customFormat="1" ht="46" spans="1:21">
      <c r="A1" s="11" t="s">
        <v>0</v>
      </c>
      <c r="B1" s="12" t="s">
        <v>1</v>
      </c>
      <c r="C1" s="13" t="s">
        <v>2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77</v>
      </c>
      <c r="I1" s="10" t="s">
        <v>78</v>
      </c>
      <c r="J1" s="10" t="s">
        <v>79</v>
      </c>
      <c r="K1" s="10" t="s">
        <v>80</v>
      </c>
      <c r="L1" s="10" t="s">
        <v>81</v>
      </c>
      <c r="M1" s="10" t="s">
        <v>82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87</v>
      </c>
      <c r="S1" s="10" t="s">
        <v>88</v>
      </c>
      <c r="T1" s="10" t="s">
        <v>89</v>
      </c>
      <c r="U1" s="10" t="s">
        <v>90</v>
      </c>
    </row>
    <row r="2" ht="16" spans="1:21">
      <c r="A2" s="14">
        <v>2013</v>
      </c>
      <c r="B2" s="15">
        <v>340000</v>
      </c>
      <c r="C2" s="16" t="s">
        <v>40</v>
      </c>
      <c r="D2" s="10">
        <v>34404</v>
      </c>
      <c r="E2" s="10">
        <v>32000.8938</v>
      </c>
      <c r="F2" s="10">
        <v>0.904678390983288</v>
      </c>
      <c r="G2" s="10">
        <v>31098.6973947896</v>
      </c>
      <c r="H2" s="10">
        <v>0.478623914495658</v>
      </c>
      <c r="I2" s="10">
        <v>0.0175705243820975</v>
      </c>
      <c r="J2" s="10">
        <v>0.211113486202876</v>
      </c>
      <c r="K2" s="10">
        <v>0.0171047055965799</v>
      </c>
      <c r="L2" s="10">
        <v>8.3607498855291</v>
      </c>
      <c r="M2" s="10">
        <v>0.136954955305091</v>
      </c>
      <c r="N2" s="10">
        <v>0.00635590750097163</v>
      </c>
      <c r="O2" s="10">
        <v>0.0259416731441897</v>
      </c>
      <c r="P2" s="10">
        <v>427.408993576017</v>
      </c>
      <c r="Q2" s="10">
        <v>0.927360571317528</v>
      </c>
      <c r="R2" s="10">
        <v>24.9556039576132</v>
      </c>
      <c r="S2" s="10">
        <v>0.342241546832491</v>
      </c>
      <c r="T2" s="10">
        <v>0.390852118150019</v>
      </c>
      <c r="U2" s="10">
        <v>2.57502824858757</v>
      </c>
    </row>
    <row r="3" ht="16" spans="1:21">
      <c r="A3" s="14">
        <v>2014</v>
      </c>
      <c r="B3" s="15">
        <v>340000</v>
      </c>
      <c r="C3" s="16" t="s">
        <v>40</v>
      </c>
      <c r="D3" s="10">
        <v>37580</v>
      </c>
      <c r="E3" s="10">
        <v>34424.6122</v>
      </c>
      <c r="F3" s="10">
        <v>0.971397487533138</v>
      </c>
      <c r="G3" s="10">
        <v>36477.5387693847</v>
      </c>
      <c r="H3" s="10">
        <v>0.493079873269968</v>
      </c>
      <c r="I3" s="10">
        <v>0.0180180923795231</v>
      </c>
      <c r="J3" s="10">
        <v>0.2069468065738</v>
      </c>
      <c r="K3" s="10">
        <v>0.0174783402976061</v>
      </c>
      <c r="L3" s="10">
        <v>8.36893213366516</v>
      </c>
      <c r="M3" s="10">
        <v>0.134143136897916</v>
      </c>
      <c r="N3" s="10">
        <v>0.00754139708788305</v>
      </c>
      <c r="O3" s="10">
        <v>0.027976509456165</v>
      </c>
      <c r="P3" s="10">
        <v>428.051391862955</v>
      </c>
      <c r="Q3" s="10">
        <v>0.980843439299813</v>
      </c>
      <c r="R3" s="10">
        <v>25.0504381753586</v>
      </c>
      <c r="S3" s="10">
        <v>0.35333507995222</v>
      </c>
      <c r="T3" s="10">
        <v>0.381674711474842</v>
      </c>
      <c r="U3" s="10">
        <v>2.50494150867285</v>
      </c>
    </row>
    <row r="4" ht="16" spans="1:21">
      <c r="A4" s="14">
        <v>2015</v>
      </c>
      <c r="B4" s="15">
        <v>340000</v>
      </c>
      <c r="C4" s="16" t="s">
        <v>40</v>
      </c>
      <c r="D4" s="10">
        <v>39692</v>
      </c>
      <c r="E4" s="10">
        <v>35996.5641</v>
      </c>
      <c r="F4" s="10">
        <v>1.02327914666488</v>
      </c>
      <c r="G4" s="10">
        <v>40568.9070038263</v>
      </c>
      <c r="H4" s="10">
        <v>0.509732157710863</v>
      </c>
      <c r="I4" s="10">
        <v>0.0188113125935784</v>
      </c>
      <c r="J4" s="10">
        <v>0.219624693678875</v>
      </c>
      <c r="K4" s="10">
        <v>0.0181170507569908</v>
      </c>
      <c r="L4" s="10">
        <v>8.37611338103438</v>
      </c>
      <c r="M4" s="10">
        <v>0.12504400953372</v>
      </c>
      <c r="N4" s="10">
        <v>0.00799246366108295</v>
      </c>
      <c r="O4" s="10">
        <v>0.0345537824364698</v>
      </c>
      <c r="P4" s="10">
        <v>429.050678087081</v>
      </c>
      <c r="Q4" s="10">
        <v>1.06956636677968</v>
      </c>
      <c r="R4" s="10">
        <v>24.8920315916922</v>
      </c>
      <c r="S4" s="10">
        <v>0.469586088824734</v>
      </c>
      <c r="T4" s="10">
        <v>0.350821612004431</v>
      </c>
      <c r="U4" s="10">
        <v>2.48923389705203</v>
      </c>
    </row>
    <row r="5" ht="16" spans="1:21">
      <c r="A5" s="14">
        <v>2016</v>
      </c>
      <c r="B5" s="15">
        <v>340000</v>
      </c>
      <c r="C5" s="16" t="s">
        <v>40</v>
      </c>
      <c r="D5" s="10">
        <v>43686</v>
      </c>
      <c r="E5" s="10">
        <v>39561</v>
      </c>
      <c r="F5" s="10">
        <v>1.02758431941979</v>
      </c>
      <c r="G5" s="10">
        <v>44809.1828277805</v>
      </c>
      <c r="H5" s="10">
        <v>0.526272169733134</v>
      </c>
      <c r="I5" s="10">
        <v>0.0189790651417205</v>
      </c>
      <c r="J5" s="10">
        <v>0.209732891890967</v>
      </c>
      <c r="K5" s="10">
        <v>0.0180604955963463</v>
      </c>
      <c r="L5" s="10">
        <v>8.38059424150221</v>
      </c>
      <c r="M5" s="10">
        <v>0.11213581955093</v>
      </c>
      <c r="N5" s="10">
        <v>0.0082625999232164</v>
      </c>
      <c r="O5" s="10">
        <v>0.0252568715623183</v>
      </c>
      <c r="P5" s="10">
        <v>430.620985010707</v>
      </c>
      <c r="Q5" s="10">
        <v>1.14722039554959</v>
      </c>
      <c r="R5" s="10">
        <v>25.0004049606892</v>
      </c>
      <c r="S5" s="10">
        <v>0.481322958677497</v>
      </c>
      <c r="T5" s="10">
        <v>0.338661304484999</v>
      </c>
      <c r="U5" s="10">
        <v>2.4877133105802</v>
      </c>
    </row>
    <row r="6" ht="16" spans="1:21">
      <c r="A6" s="14">
        <v>2017</v>
      </c>
      <c r="B6" s="15">
        <v>340000</v>
      </c>
      <c r="C6" s="16" t="s">
        <v>40</v>
      </c>
      <c r="D6" s="10">
        <v>49092</v>
      </c>
      <c r="E6" s="10">
        <v>43401.3638</v>
      </c>
      <c r="F6" s="10">
        <v>0.986482770705144</v>
      </c>
      <c r="G6" s="10">
        <v>48332.6069011062</v>
      </c>
      <c r="H6" s="10">
        <v>0.54284299157999</v>
      </c>
      <c r="I6" s="10">
        <v>0.0189433878157504</v>
      </c>
      <c r="J6" s="10">
        <v>0.208868049143758</v>
      </c>
      <c r="K6" s="10">
        <v>0.0190361232233237</v>
      </c>
      <c r="L6" s="10">
        <v>8.38432443634181</v>
      </c>
      <c r="M6" s="10">
        <v>0.122907653270971</v>
      </c>
      <c r="N6" s="10">
        <v>0.00840976944487502</v>
      </c>
      <c r="O6" s="10">
        <v>0.0363855412755002</v>
      </c>
      <c r="P6" s="10">
        <v>432.334047109208</v>
      </c>
      <c r="Q6" s="10">
        <v>1.16191426125986</v>
      </c>
      <c r="R6" s="10">
        <v>25.130112568889</v>
      </c>
      <c r="S6" s="10">
        <v>0.482838099217555</v>
      </c>
      <c r="T6" s="10">
        <v>0.328205767584799</v>
      </c>
      <c r="U6" s="10">
        <v>2.48001254115065</v>
      </c>
    </row>
    <row r="7" ht="16" spans="1:21">
      <c r="A7" s="14">
        <v>2018</v>
      </c>
      <c r="B7" s="15">
        <v>340000</v>
      </c>
      <c r="C7" s="16" t="s">
        <v>40</v>
      </c>
      <c r="D7" s="10">
        <v>56063</v>
      </c>
      <c r="E7" s="10">
        <v>47711.6644</v>
      </c>
      <c r="F7" s="10">
        <v>0.962324345430436</v>
      </c>
      <c r="G7" s="10">
        <v>53866.8813034891</v>
      </c>
      <c r="H7" s="10">
        <v>0.556451612903226</v>
      </c>
      <c r="I7" s="10">
        <v>0.0187477287689269</v>
      </c>
      <c r="J7" s="10">
        <v>0.193041936555634</v>
      </c>
      <c r="K7" s="10">
        <v>0.0190807682243046</v>
      </c>
      <c r="L7" s="10">
        <v>8.38601331751739</v>
      </c>
      <c r="M7" s="10">
        <v>0.122266541020673</v>
      </c>
      <c r="N7" s="10">
        <v>0.00944726543549274</v>
      </c>
      <c r="O7" s="10">
        <v>0.0757902878194932</v>
      </c>
      <c r="P7" s="10">
        <v>433.690221270521</v>
      </c>
      <c r="Q7" s="10">
        <v>1.14125912575086</v>
      </c>
      <c r="R7" s="10">
        <v>25.1652377166655</v>
      </c>
      <c r="S7" s="10">
        <v>0.475030063891282</v>
      </c>
      <c r="T7" s="10">
        <v>0.31283500289613</v>
      </c>
      <c r="U7" s="10">
        <v>2.45734495570163</v>
      </c>
    </row>
    <row r="8" ht="16" spans="1:21">
      <c r="A8" s="14">
        <v>2019</v>
      </c>
      <c r="B8" s="15">
        <v>340000</v>
      </c>
      <c r="C8" s="16" t="s">
        <v>40</v>
      </c>
      <c r="D8" s="10">
        <v>60561</v>
      </c>
      <c r="E8" s="10">
        <v>58495.57</v>
      </c>
      <c r="F8" s="10">
        <v>0.97001350643525</v>
      </c>
      <c r="G8" s="10">
        <v>58668.1428945502</v>
      </c>
      <c r="H8" s="10">
        <v>0.570256073539068</v>
      </c>
      <c r="I8" s="10">
        <v>0.0203734569927774</v>
      </c>
      <c r="J8" s="10">
        <v>0.19970851257277</v>
      </c>
      <c r="K8" s="10">
        <v>0.0204646049042624</v>
      </c>
      <c r="L8" s="10">
        <v>8.38571682862785</v>
      </c>
      <c r="M8" s="10">
        <v>0.128682237993785</v>
      </c>
      <c r="N8" s="10">
        <v>0.0122025756198179</v>
      </c>
      <c r="O8" s="10">
        <v>0.120706156789839</v>
      </c>
      <c r="P8" s="10">
        <v>434.832262669522</v>
      </c>
      <c r="Q8" s="10">
        <v>1.20202765602312</v>
      </c>
      <c r="R8" s="10">
        <v>25.1101145412327</v>
      </c>
      <c r="S8" s="10">
        <v>0.484783759210758</v>
      </c>
      <c r="T8" s="10">
        <v>0.303475322630986</v>
      </c>
      <c r="U8" s="10">
        <v>2.4351323300467</v>
      </c>
    </row>
    <row r="9" ht="16" spans="1:21">
      <c r="A9" s="14">
        <v>2020</v>
      </c>
      <c r="B9" s="15">
        <v>340000</v>
      </c>
      <c r="C9" s="16" t="s">
        <v>40</v>
      </c>
      <c r="D9" s="10">
        <v>62411</v>
      </c>
      <c r="E9" s="10">
        <v>63426.47</v>
      </c>
      <c r="F9" s="10">
        <v>0.986913414252707</v>
      </c>
      <c r="G9" s="10">
        <v>61528.9187822758</v>
      </c>
      <c r="H9" s="10">
        <v>0.583292383292383</v>
      </c>
      <c r="I9" s="10">
        <v>0.0188163308763309</v>
      </c>
      <c r="J9" s="10">
        <v>0.194665738344521</v>
      </c>
      <c r="K9" s="10">
        <v>0.0232041117664832</v>
      </c>
      <c r="L9" s="10">
        <v>8.08425410630732</v>
      </c>
      <c r="M9" s="10">
        <v>0.142629426060455</v>
      </c>
      <c r="N9" s="10">
        <v>0.0173290595483625</v>
      </c>
      <c r="O9" s="10">
        <v>0.148759649514601</v>
      </c>
      <c r="P9" s="10">
        <v>435.76017130621</v>
      </c>
      <c r="Q9" s="10">
        <v>1.35361191755448</v>
      </c>
      <c r="R9" s="10">
        <v>25.206986695312</v>
      </c>
      <c r="S9" s="10">
        <v>0.481694100337612</v>
      </c>
      <c r="T9" s="10">
        <v>0.295193305571247</v>
      </c>
      <c r="U9" s="10">
        <v>2.37316486161252</v>
      </c>
    </row>
    <row r="10" ht="16" spans="1:21">
      <c r="A10" s="14">
        <v>2021</v>
      </c>
      <c r="B10" s="15">
        <v>340000</v>
      </c>
      <c r="C10" s="16" t="s">
        <v>40</v>
      </c>
      <c r="D10" s="10">
        <v>69676</v>
      </c>
      <c r="E10" s="10">
        <v>70321</v>
      </c>
      <c r="F10" s="10">
        <v>0.965445128385108</v>
      </c>
      <c r="G10" s="10">
        <v>67224.546014621</v>
      </c>
      <c r="H10" s="10">
        <v>0.593980042532308</v>
      </c>
      <c r="I10" s="10">
        <v>0.0246195157860298</v>
      </c>
      <c r="J10" s="10">
        <v>0.177320205238082</v>
      </c>
      <c r="K10" s="10">
        <v>0.0236372553165497</v>
      </c>
      <c r="L10" s="10">
        <v>8.07558263667172</v>
      </c>
      <c r="M10" s="10">
        <v>0.162177201093851</v>
      </c>
      <c r="N10" s="10">
        <v>0.0419993327882872</v>
      </c>
      <c r="O10" s="10">
        <v>0.0233986918891489</v>
      </c>
      <c r="P10" s="10">
        <v>436.33119200571</v>
      </c>
      <c r="Q10" s="10">
        <v>1.3661629688102</v>
      </c>
      <c r="R10" s="10">
        <v>25.2802991792373</v>
      </c>
      <c r="S10" s="10">
        <v>0.504430849614239</v>
      </c>
      <c r="T10" s="10">
        <v>0.300498999182431</v>
      </c>
      <c r="U10" s="10">
        <v>2.34100805573699</v>
      </c>
    </row>
    <row r="11" ht="16" spans="1:21">
      <c r="A11" s="14">
        <v>2022</v>
      </c>
      <c r="B11" s="15">
        <v>340000</v>
      </c>
      <c r="C11" s="16" t="s">
        <v>40</v>
      </c>
      <c r="D11" s="10">
        <v>72888</v>
      </c>
      <c r="E11" s="10">
        <v>73603</v>
      </c>
      <c r="F11" s="10">
        <v>1.00415080416216</v>
      </c>
      <c r="G11" s="10">
        <v>73107.324672473</v>
      </c>
      <c r="H11" s="10">
        <v>0.60159947772156</v>
      </c>
      <c r="I11" s="10">
        <v>0.0253555573690224</v>
      </c>
      <c r="J11" s="10">
        <v>0.186758564104404</v>
      </c>
      <c r="K11" s="10">
        <v>0.0258366784209901</v>
      </c>
      <c r="L11" s="10">
        <v>8.06337782236703</v>
      </c>
      <c r="M11" s="10">
        <v>0.170520930242985</v>
      </c>
      <c r="N11" s="10">
        <v>0.0644608442040276</v>
      </c>
      <c r="O11" s="10">
        <v>0.0234530338932516</v>
      </c>
      <c r="P11" s="10">
        <v>437.330478229836</v>
      </c>
      <c r="Q11" s="10">
        <v>1.50306763182141</v>
      </c>
      <c r="R11" s="10">
        <v>25.2641482862092</v>
      </c>
      <c r="S11" s="10">
        <v>0.482392053389886</v>
      </c>
      <c r="T11" s="10">
        <v>0.300401051836342</v>
      </c>
      <c r="U11" s="10">
        <v>2.30564495530013</v>
      </c>
    </row>
    <row r="12" ht="16" spans="1:21">
      <c r="A12" s="14">
        <v>2013</v>
      </c>
      <c r="B12" s="15">
        <v>110000</v>
      </c>
      <c r="C12" s="16" t="s">
        <v>41</v>
      </c>
      <c r="D12" s="10">
        <v>100569</v>
      </c>
      <c r="E12" s="10">
        <v>94647.8813</v>
      </c>
      <c r="F12" s="10">
        <v>0.323975850027916</v>
      </c>
      <c r="G12" s="10">
        <v>32221.6470588235</v>
      </c>
      <c r="H12" s="10">
        <v>0.864</v>
      </c>
      <c r="I12" s="10">
        <v>0.0281837176470588</v>
      </c>
      <c r="J12" s="10">
        <v>0.196741362505086</v>
      </c>
      <c r="K12" s="10">
        <v>0.0560714137007561</v>
      </c>
      <c r="L12" s="10">
        <v>7.03632437977684</v>
      </c>
      <c r="M12" s="10">
        <v>1.25711246013646</v>
      </c>
      <c r="N12" s="10">
        <v>0.134931344808986</v>
      </c>
      <c r="O12" s="10">
        <v>0.0358197174301856</v>
      </c>
      <c r="P12" s="10">
        <v>1295.73170731707</v>
      </c>
      <c r="Q12" s="10">
        <v>1.9166059447541</v>
      </c>
      <c r="R12" s="10">
        <v>20.139919223053</v>
      </c>
      <c r="S12" s="10">
        <v>0.419790296480653</v>
      </c>
      <c r="T12" s="10">
        <v>0.157873818288494</v>
      </c>
      <c r="U12" s="10">
        <v>2.60592947780832</v>
      </c>
    </row>
    <row r="13" ht="16" spans="1:21">
      <c r="A13" s="14">
        <v>2014</v>
      </c>
      <c r="B13" s="15">
        <v>110000</v>
      </c>
      <c r="C13" s="16" t="s">
        <v>41</v>
      </c>
      <c r="D13" s="10">
        <v>106732</v>
      </c>
      <c r="E13" s="10">
        <v>99995</v>
      </c>
      <c r="F13" s="10">
        <v>0.302025211550205</v>
      </c>
      <c r="G13" s="10">
        <v>31894.1962229387</v>
      </c>
      <c r="H13" s="10">
        <v>0.865039152464302</v>
      </c>
      <c r="I13" s="10">
        <v>0.0278479041916168</v>
      </c>
      <c r="J13" s="10">
        <v>0.196573759050859</v>
      </c>
      <c r="K13" s="10">
        <v>0.0553430724941115</v>
      </c>
      <c r="L13" s="10">
        <v>7.04036124353016</v>
      </c>
      <c r="M13" s="10">
        <v>1.11334188257873</v>
      </c>
      <c r="N13" s="10">
        <v>0.13683983250458</v>
      </c>
      <c r="O13" s="10">
        <v>0.0388159644072232</v>
      </c>
      <c r="P13" s="10">
        <v>1323.78048780488</v>
      </c>
      <c r="Q13" s="10">
        <v>1.98284524121085</v>
      </c>
      <c r="R13" s="10">
        <v>20.178721824557</v>
      </c>
      <c r="S13" s="10">
        <v>0.420396056878653</v>
      </c>
      <c r="T13" s="10">
        <v>0.153659600453633</v>
      </c>
      <c r="U13" s="10">
        <v>2.57232204378014</v>
      </c>
    </row>
    <row r="14" ht="16" spans="1:21">
      <c r="A14" s="14">
        <v>2015</v>
      </c>
      <c r="B14" s="15">
        <v>110000</v>
      </c>
      <c r="C14" s="16" t="s">
        <v>41</v>
      </c>
      <c r="D14" s="10">
        <v>113692</v>
      </c>
      <c r="E14" s="10">
        <v>106497</v>
      </c>
      <c r="F14" s="10">
        <v>0.302512601345489</v>
      </c>
      <c r="G14" s="10">
        <v>34259.5521023766</v>
      </c>
      <c r="H14" s="10">
        <v>0.867001828153565</v>
      </c>
      <c r="I14" s="10">
        <v>0.0275848720292505</v>
      </c>
      <c r="J14" s="10">
        <v>0.230622984692745</v>
      </c>
      <c r="K14" s="10">
        <v>0.0558544543587136</v>
      </c>
      <c r="L14" s="10">
        <v>7.05996121187147</v>
      </c>
      <c r="M14" s="10">
        <v>0.80293618412291</v>
      </c>
      <c r="N14" s="10">
        <v>0.139387225524737</v>
      </c>
      <c r="O14" s="10">
        <v>0.0476964538663632</v>
      </c>
      <c r="P14" s="10">
        <v>1334.14634146341</v>
      </c>
      <c r="Q14" s="10">
        <v>2.04040986153654</v>
      </c>
      <c r="R14" s="10">
        <v>19.9009367168765</v>
      </c>
      <c r="S14" s="10">
        <v>0.49525204708807</v>
      </c>
      <c r="T14" s="10">
        <v>0.139589412044828</v>
      </c>
      <c r="U14" s="10">
        <v>2.5698381058875</v>
      </c>
    </row>
    <row r="15" ht="16" spans="1:21">
      <c r="A15" s="14">
        <v>2016</v>
      </c>
      <c r="B15" s="15">
        <v>110000</v>
      </c>
      <c r="C15" s="16" t="s">
        <v>41</v>
      </c>
      <c r="D15" s="10">
        <v>123391</v>
      </c>
      <c r="E15" s="10">
        <v>118198</v>
      </c>
      <c r="F15" s="10">
        <v>0.293769877076461</v>
      </c>
      <c r="G15" s="10">
        <v>36190.8428246014</v>
      </c>
      <c r="H15" s="10">
        <v>0.867425968109339</v>
      </c>
      <c r="I15" s="10">
        <v>0.0272978587699317</v>
      </c>
      <c r="J15" s="10">
        <v>0.235373060367143</v>
      </c>
      <c r="K15" s="10">
        <v>0.0549005306717158</v>
      </c>
      <c r="L15" s="10">
        <v>7.0796897428896</v>
      </c>
      <c r="M15" s="10">
        <v>0.693551506589944</v>
      </c>
      <c r="N15" s="10">
        <v>0.145739834031034</v>
      </c>
      <c r="O15" s="10">
        <v>0.0362071246838158</v>
      </c>
      <c r="P15" s="10">
        <v>1338.41463414634</v>
      </c>
      <c r="Q15" s="10">
        <v>2.0938002011745</v>
      </c>
      <c r="R15" s="10">
        <v>19.9395089966079</v>
      </c>
      <c r="S15" s="10">
        <v>0.485736579737586</v>
      </c>
      <c r="T15" s="10">
        <v>0.134442998091801</v>
      </c>
      <c r="U15" s="10">
        <v>2.5672344240251</v>
      </c>
    </row>
    <row r="16" ht="16" spans="1:21">
      <c r="A16" s="14">
        <v>2017</v>
      </c>
      <c r="B16" s="15">
        <v>110000</v>
      </c>
      <c r="C16" s="16" t="s">
        <v>41</v>
      </c>
      <c r="D16" s="10">
        <v>136172</v>
      </c>
      <c r="E16" s="10">
        <v>128994.1063</v>
      </c>
      <c r="F16" s="10">
        <v>0.280107084295419</v>
      </c>
      <c r="G16" s="10">
        <v>38151.5041020966</v>
      </c>
      <c r="H16" s="10">
        <v>0.86918869644485</v>
      </c>
      <c r="I16" s="10">
        <v>0.0270226982680036</v>
      </c>
      <c r="J16" s="10">
        <v>0.226043569922699</v>
      </c>
      <c r="K16" s="10">
        <v>0.0528611996787471</v>
      </c>
      <c r="L16" s="10">
        <v>7.08280042680532</v>
      </c>
      <c r="M16" s="10">
        <v>0.732088746109828</v>
      </c>
      <c r="N16" s="10">
        <v>0.150148579459894</v>
      </c>
      <c r="O16" s="10">
        <v>0.0431650670950038</v>
      </c>
      <c r="P16" s="10">
        <v>1337.80487804878</v>
      </c>
      <c r="Q16" s="10">
        <v>2.12102365893652</v>
      </c>
      <c r="R16" s="10">
        <v>19.9179905365123</v>
      </c>
      <c r="S16" s="10">
        <v>0.466275139711542</v>
      </c>
      <c r="T16" s="10">
        <v>0.130037144864973</v>
      </c>
      <c r="U16" s="10">
        <v>2.57450495049505</v>
      </c>
    </row>
    <row r="17" ht="16" spans="1:21">
      <c r="A17" s="14">
        <v>2018</v>
      </c>
      <c r="B17" s="15">
        <v>110000</v>
      </c>
      <c r="C17" s="16" t="s">
        <v>41</v>
      </c>
      <c r="D17" s="10">
        <v>150962</v>
      </c>
      <c r="E17" s="10">
        <v>140211.2419</v>
      </c>
      <c r="F17" s="10">
        <v>0.238931486739564</v>
      </c>
      <c r="G17" s="10">
        <v>36086.0666058394</v>
      </c>
      <c r="H17" s="10">
        <v>0.870894160583942</v>
      </c>
      <c r="I17" s="10">
        <v>0.0271411040145985</v>
      </c>
      <c r="J17" s="10">
        <v>0.2238560985924</v>
      </c>
      <c r="K17" s="10">
        <v>0.0565084903038724</v>
      </c>
      <c r="L17" s="10">
        <v>7.08137239514595</v>
      </c>
      <c r="M17" s="10">
        <v>0.824502416480396</v>
      </c>
      <c r="N17" s="10">
        <v>0.149755935479973</v>
      </c>
      <c r="O17" s="10">
        <v>0.0650452999456292</v>
      </c>
      <c r="P17" s="10">
        <v>1336.58536585366</v>
      </c>
      <c r="Q17" s="10">
        <v>2.01676372862925</v>
      </c>
      <c r="R17" s="10">
        <v>19.9565840370592</v>
      </c>
      <c r="S17" s="10">
        <v>0.435640065244971</v>
      </c>
      <c r="T17" s="10">
        <v>0.125049839908174</v>
      </c>
      <c r="U17" s="10">
        <v>2.56662891657229</v>
      </c>
    </row>
    <row r="18" ht="16" spans="1:21">
      <c r="A18" s="14">
        <v>2019</v>
      </c>
      <c r="B18" s="15">
        <v>110000</v>
      </c>
      <c r="C18" s="16" t="s">
        <v>41</v>
      </c>
      <c r="D18" s="10">
        <v>161776</v>
      </c>
      <c r="E18" s="10">
        <v>164220</v>
      </c>
      <c r="F18" s="10">
        <v>0.217584776316049</v>
      </c>
      <c r="G18" s="10">
        <v>35216.046369863</v>
      </c>
      <c r="H18" s="10">
        <v>0.87351598173516</v>
      </c>
      <c r="I18" s="10">
        <v>0.0274678082191781</v>
      </c>
      <c r="J18" s="10">
        <v>0.205978823589156</v>
      </c>
      <c r="K18" s="10">
        <v>0.0630153956400179</v>
      </c>
      <c r="L18" s="10">
        <v>7.07623142895404</v>
      </c>
      <c r="M18" s="10">
        <v>0.810528648529698</v>
      </c>
      <c r="N18" s="10">
        <v>0.160678909073469</v>
      </c>
      <c r="O18" s="10">
        <v>0.088646794620413</v>
      </c>
      <c r="P18" s="10">
        <v>1335.36585365854</v>
      </c>
      <c r="Q18" s="10">
        <v>2.07577182741761</v>
      </c>
      <c r="R18" s="10">
        <v>20.0501769246508</v>
      </c>
      <c r="S18" s="10">
        <v>0.42498681058877</v>
      </c>
      <c r="T18" s="10">
        <v>0.119714713740404</v>
      </c>
      <c r="U18" s="10">
        <v>2.55285536504425</v>
      </c>
    </row>
    <row r="19" ht="16" spans="1:21">
      <c r="A19" s="14">
        <v>2020</v>
      </c>
      <c r="B19" s="15">
        <v>110000</v>
      </c>
      <c r="C19" s="16" t="s">
        <v>41</v>
      </c>
      <c r="D19" s="10">
        <v>164158</v>
      </c>
      <c r="E19" s="10">
        <v>164889.47</v>
      </c>
      <c r="F19" s="10">
        <v>0.219289410443949</v>
      </c>
      <c r="G19" s="10">
        <v>36007.2410525811</v>
      </c>
      <c r="H19" s="10">
        <v>0.875285518501599</v>
      </c>
      <c r="I19" s="10">
        <v>0.113850388305162</v>
      </c>
      <c r="J19" s="10">
        <v>0.195153199622739</v>
      </c>
      <c r="K19" s="10">
        <v>0.0647291500780396</v>
      </c>
      <c r="L19" s="10">
        <v>7.05944579222257</v>
      </c>
      <c r="M19" s="10">
        <v>0.645708991661867</v>
      </c>
      <c r="N19" s="10">
        <v>0.175725656798346</v>
      </c>
      <c r="O19" s="10">
        <v>0.103715321075138</v>
      </c>
      <c r="P19" s="10">
        <v>1334.75609756098</v>
      </c>
      <c r="Q19" s="10">
        <v>2.25452838220197</v>
      </c>
      <c r="R19" s="10">
        <v>20.0187044931653</v>
      </c>
      <c r="S19" s="10">
        <v>0.381612150247751</v>
      </c>
      <c r="T19" s="10">
        <v>0.11838367651273</v>
      </c>
      <c r="U19" s="10">
        <v>2.50952665471686</v>
      </c>
    </row>
    <row r="20" ht="16" spans="1:21">
      <c r="A20" s="14">
        <v>2021</v>
      </c>
      <c r="B20" s="15">
        <v>110000</v>
      </c>
      <c r="C20" s="16" t="s">
        <v>41</v>
      </c>
      <c r="D20" s="10">
        <v>187526</v>
      </c>
      <c r="E20" s="10">
        <v>183980</v>
      </c>
      <c r="F20" s="10">
        <v>0.201439431623952</v>
      </c>
      <c r="G20" s="10">
        <v>37771.5958641576</v>
      </c>
      <c r="H20" s="10">
        <v>0.875285518501599</v>
      </c>
      <c r="I20" s="10">
        <v>0.0281853814527181</v>
      </c>
      <c r="J20" s="10">
        <v>0.172888933283957</v>
      </c>
      <c r="K20" s="10">
        <v>0.0640585292942484</v>
      </c>
      <c r="L20" s="10">
        <v>7.05444965813294</v>
      </c>
      <c r="M20" s="10">
        <v>0.740296645681876</v>
      </c>
      <c r="N20" s="10">
        <v>0.17067968308418</v>
      </c>
      <c r="O20" s="10">
        <v>0.0193920907478512</v>
      </c>
      <c r="P20" s="10">
        <v>1334.75609756098</v>
      </c>
      <c r="Q20" s="10">
        <v>2.09711881419689</v>
      </c>
      <c r="R20" s="10">
        <v>20.0747975236019</v>
      </c>
      <c r="S20" s="10">
        <v>0.362223965540764</v>
      </c>
      <c r="T20" s="10">
        <v>0.142648663925001</v>
      </c>
      <c r="U20" s="10">
        <v>2.44776746839624</v>
      </c>
    </row>
    <row r="21" ht="16" spans="1:21">
      <c r="A21" s="14">
        <v>2022</v>
      </c>
      <c r="B21" s="15">
        <v>110000</v>
      </c>
      <c r="C21" s="16" t="s">
        <v>41</v>
      </c>
      <c r="D21" s="10">
        <v>189988</v>
      </c>
      <c r="E21" s="10">
        <v>190313</v>
      </c>
      <c r="F21" s="10">
        <v>0.206202985941855</v>
      </c>
      <c r="G21" s="10">
        <v>39220.9597926374</v>
      </c>
      <c r="H21" s="10">
        <v>0.875915750915751</v>
      </c>
      <c r="I21" s="10">
        <v>0.0286900183150183</v>
      </c>
      <c r="J21" s="10">
        <v>0.177128564860174</v>
      </c>
      <c r="K21" s="10">
        <v>0.0684467462187868</v>
      </c>
      <c r="L21" s="10">
        <v>7.03182959408406</v>
      </c>
      <c r="M21" s="10">
        <v>0.884202292198773</v>
      </c>
      <c r="N21" s="10">
        <v>0.191317713386085</v>
      </c>
      <c r="O21" s="10">
        <v>0.0202835590947717</v>
      </c>
      <c r="P21" s="10">
        <v>1331.70731707317</v>
      </c>
      <c r="Q21" s="10">
        <v>2.29886425185781</v>
      </c>
      <c r="R21" s="10">
        <v>19.8630322151998</v>
      </c>
      <c r="S21" s="10">
        <v>0.332063099258803</v>
      </c>
      <c r="T21" s="10">
        <v>0.123143696934828</v>
      </c>
      <c r="U21" s="10">
        <v>2.4176497669333</v>
      </c>
    </row>
    <row r="22" ht="16" spans="1:21">
      <c r="A22" s="14">
        <v>2013</v>
      </c>
      <c r="B22" s="15">
        <v>350000</v>
      </c>
      <c r="C22" s="16" t="s">
        <v>42</v>
      </c>
      <c r="D22" s="10">
        <v>58254.83</v>
      </c>
      <c r="E22" s="10">
        <v>58145</v>
      </c>
      <c r="F22" s="10">
        <v>0.681102747091602</v>
      </c>
      <c r="G22" s="10">
        <v>39452.7670527671</v>
      </c>
      <c r="H22" s="10">
        <v>0.607979407979408</v>
      </c>
      <c r="I22" s="10">
        <v>0.0188033462033462</v>
      </c>
      <c r="J22" s="10">
        <v>0.136327198073214</v>
      </c>
      <c r="K22" s="10">
        <v>0.0139558652316498</v>
      </c>
      <c r="L22" s="10">
        <v>7.69621263934641</v>
      </c>
      <c r="M22" s="10">
        <v>0.465982722917907</v>
      </c>
      <c r="N22" s="10">
        <v>0.00198588682800238</v>
      </c>
      <c r="O22" s="10">
        <v>0.0328142980296661</v>
      </c>
      <c r="P22" s="10">
        <v>313.306451612903</v>
      </c>
      <c r="Q22" s="10">
        <v>1.0881508900719</v>
      </c>
      <c r="R22" s="10">
        <v>22.9873633581693</v>
      </c>
      <c r="S22" s="10">
        <v>0.367729005767915</v>
      </c>
      <c r="T22" s="10">
        <v>0.428825353940223</v>
      </c>
      <c r="U22" s="10">
        <v>2.47032003507234</v>
      </c>
    </row>
    <row r="23" ht="16" spans="1:21">
      <c r="A23" s="14">
        <v>2014</v>
      </c>
      <c r="B23" s="15">
        <v>350000</v>
      </c>
      <c r="C23" s="16" t="s">
        <v>42</v>
      </c>
      <c r="D23" s="10">
        <v>63708.99</v>
      </c>
      <c r="E23" s="10">
        <v>63472</v>
      </c>
      <c r="F23" s="10">
        <v>0.728802306141023</v>
      </c>
      <c r="G23" s="10">
        <v>46078.2256020279</v>
      </c>
      <c r="H23" s="10">
        <v>0.620025348542459</v>
      </c>
      <c r="I23" s="10">
        <v>0.0189728770595691</v>
      </c>
      <c r="J23" s="10">
        <v>0.132489245091632</v>
      </c>
      <c r="K23" s="10">
        <v>0.0142341663292185</v>
      </c>
      <c r="L23" s="10">
        <v>7.70481192293259</v>
      </c>
      <c r="M23" s="10">
        <v>0.436924276624663</v>
      </c>
      <c r="N23" s="10">
        <v>0.00157123898949968</v>
      </c>
      <c r="O23" s="10">
        <v>0.0343569627256727</v>
      </c>
      <c r="P23" s="10">
        <v>318.145161290323</v>
      </c>
      <c r="Q23" s="10">
        <v>1.13934672701978</v>
      </c>
      <c r="R23" s="10">
        <v>23.1488373670589</v>
      </c>
      <c r="S23" s="10">
        <v>0.374735888317343</v>
      </c>
      <c r="T23" s="10">
        <v>0.428279896239691</v>
      </c>
      <c r="U23" s="10">
        <v>2.42861660079051</v>
      </c>
    </row>
    <row r="24" ht="16" spans="1:21">
      <c r="A24" s="14">
        <v>2015</v>
      </c>
      <c r="B24" s="15">
        <v>350000</v>
      </c>
      <c r="C24" s="16" t="s">
        <v>42</v>
      </c>
      <c r="D24" s="10">
        <v>67649.04</v>
      </c>
      <c r="E24" s="10">
        <v>67965.5199</v>
      </c>
      <c r="F24" s="10">
        <v>0.794249706370365</v>
      </c>
      <c r="G24" s="10">
        <v>53467.3192771084</v>
      </c>
      <c r="H24" s="10">
        <v>0.632279116465863</v>
      </c>
      <c r="I24" s="10">
        <v>0.0190374497991968</v>
      </c>
      <c r="J24" s="10">
        <v>0.149104196573389</v>
      </c>
      <c r="K24" s="10">
        <v>0.0146508995320569</v>
      </c>
      <c r="L24" s="10">
        <v>7.72090525193678</v>
      </c>
      <c r="M24" s="10">
        <v>0.392117675571879</v>
      </c>
      <c r="N24" s="10">
        <v>0.00194410783198792</v>
      </c>
      <c r="O24" s="10">
        <v>0.0401886314062529</v>
      </c>
      <c r="P24" s="10">
        <v>321.290322580645</v>
      </c>
      <c r="Q24" s="10">
        <v>1.1981192788829</v>
      </c>
      <c r="R24" s="10">
        <v>23.1754101983518</v>
      </c>
      <c r="S24" s="10">
        <v>0.457614795204981</v>
      </c>
      <c r="T24" s="10">
        <v>0.410473722478048</v>
      </c>
      <c r="U24" s="10">
        <v>2.41245559341695</v>
      </c>
    </row>
    <row r="25" ht="16" spans="1:21">
      <c r="A25" s="14">
        <v>2016</v>
      </c>
      <c r="B25" s="15">
        <v>350000</v>
      </c>
      <c r="C25" s="16" t="s">
        <v>42</v>
      </c>
      <c r="D25" s="10">
        <v>74023.58</v>
      </c>
      <c r="E25" s="10">
        <v>74707</v>
      </c>
      <c r="F25" s="10">
        <v>0.784796382229967</v>
      </c>
      <c r="G25" s="10">
        <v>57861.9272908367</v>
      </c>
      <c r="H25" s="10">
        <v>0.643924302788845</v>
      </c>
      <c r="I25" s="10">
        <v>0.0188344621513944</v>
      </c>
      <c r="J25" s="10">
        <v>0.144259593237283</v>
      </c>
      <c r="K25" s="10">
        <v>0.0153428303173992</v>
      </c>
      <c r="L25" s="10">
        <v>7.71779621101358</v>
      </c>
      <c r="M25" s="10">
        <v>0.351809425385182</v>
      </c>
      <c r="N25" s="10">
        <v>0.0014596715907786</v>
      </c>
      <c r="O25" s="10">
        <v>0.03003138192601</v>
      </c>
      <c r="P25" s="10">
        <v>323.870967741935</v>
      </c>
      <c r="Q25" s="10">
        <v>1.22785534323559</v>
      </c>
      <c r="R25" s="10">
        <v>23.2764865639816</v>
      </c>
      <c r="S25" s="10">
        <v>0.462792221389153</v>
      </c>
      <c r="T25" s="10">
        <v>0.395550061804697</v>
      </c>
      <c r="U25" s="10">
        <v>2.40109340622708</v>
      </c>
    </row>
    <row r="26" ht="16" spans="1:21">
      <c r="A26" s="14">
        <v>2017</v>
      </c>
      <c r="B26" s="15">
        <v>350000</v>
      </c>
      <c r="C26" s="16" t="s">
        <v>42</v>
      </c>
      <c r="D26" s="10">
        <v>83758.05</v>
      </c>
      <c r="E26" s="10">
        <v>82677</v>
      </c>
      <c r="F26" s="10">
        <v>0.780567572039808</v>
      </c>
      <c r="G26" s="10">
        <v>64984.6986469865</v>
      </c>
      <c r="H26" s="10">
        <v>0.657810578105781</v>
      </c>
      <c r="I26" s="10">
        <v>0.0184744649446494</v>
      </c>
      <c r="J26" s="10">
        <v>0.138226307826868</v>
      </c>
      <c r="K26" s="10">
        <v>0.0160475852776399</v>
      </c>
      <c r="L26" s="10">
        <v>7.71244383427499</v>
      </c>
      <c r="M26" s="10">
        <v>0.341197166867598</v>
      </c>
      <c r="N26" s="10">
        <v>0.00222974729924592</v>
      </c>
      <c r="O26" s="10">
        <v>0.0384667576767605</v>
      </c>
      <c r="P26" s="10">
        <v>327.822580645161</v>
      </c>
      <c r="Q26" s="10">
        <v>1.19627833723377</v>
      </c>
      <c r="R26" s="10">
        <v>23.3822730325975</v>
      </c>
      <c r="S26" s="10">
        <v>0.454870221970073</v>
      </c>
      <c r="T26" s="10">
        <v>0.380141479327707</v>
      </c>
      <c r="U26" s="10">
        <v>2.38757269666361</v>
      </c>
    </row>
    <row r="27" ht="16" spans="1:21">
      <c r="A27" s="14">
        <v>2018</v>
      </c>
      <c r="B27" s="15">
        <v>350000</v>
      </c>
      <c r="C27" s="16" t="s">
        <v>42</v>
      </c>
      <c r="D27" s="10">
        <v>94718.5</v>
      </c>
      <c r="E27" s="10">
        <v>91197.2491</v>
      </c>
      <c r="F27" s="10">
        <v>0.76132920972503</v>
      </c>
      <c r="G27" s="10">
        <v>71769.376705653</v>
      </c>
      <c r="H27" s="10">
        <v>0.669834307992203</v>
      </c>
      <c r="I27" s="10">
        <v>0.0188197124756335</v>
      </c>
      <c r="J27" s="10">
        <v>0.124783265008607</v>
      </c>
      <c r="K27" s="10">
        <v>0.0166148889313944</v>
      </c>
      <c r="L27" s="10">
        <v>7.70616297019958</v>
      </c>
      <c r="M27" s="10">
        <v>0.320552990865337</v>
      </c>
      <c r="N27" s="10">
        <v>0.00218466803488438</v>
      </c>
      <c r="O27" s="10">
        <v>0.0652730033757412</v>
      </c>
      <c r="P27" s="10">
        <v>330.967741935484</v>
      </c>
      <c r="Q27" s="10">
        <v>1.16765155940632</v>
      </c>
      <c r="R27" s="10">
        <v>23.4255437602616</v>
      </c>
      <c r="S27" s="10">
        <v>0.444026282187149</v>
      </c>
      <c r="T27" s="10">
        <v>0.382058426687483</v>
      </c>
      <c r="U27" s="10">
        <v>2.36355984512654</v>
      </c>
    </row>
    <row r="28" ht="16" spans="1:21">
      <c r="A28" s="14">
        <v>2019</v>
      </c>
      <c r="B28" s="15">
        <v>350000</v>
      </c>
      <c r="C28" s="16" t="s">
        <v>42</v>
      </c>
      <c r="D28" s="10">
        <v>102721.95</v>
      </c>
      <c r="E28" s="10">
        <v>107139.25</v>
      </c>
      <c r="F28" s="10">
        <v>0.736934863178238</v>
      </c>
      <c r="G28" s="10">
        <v>75397.5034561276</v>
      </c>
      <c r="H28" s="10">
        <v>0.678752719361856</v>
      </c>
      <c r="I28" s="10">
        <v>0.0208177664974619</v>
      </c>
      <c r="J28" s="10">
        <v>0.119091068028143</v>
      </c>
      <c r="K28" s="10">
        <v>0.017807870228178</v>
      </c>
      <c r="L28" s="10">
        <v>7.7007477945118</v>
      </c>
      <c r="M28" s="10">
        <v>0.314737611809122</v>
      </c>
      <c r="N28" s="10">
        <v>0.00329792612683277</v>
      </c>
      <c r="O28" s="10">
        <v>0.091702662155713</v>
      </c>
      <c r="P28" s="10">
        <v>333.629032258065</v>
      </c>
      <c r="Q28" s="10">
        <v>1.21428699682942</v>
      </c>
      <c r="R28" s="10">
        <v>23.4149962528306</v>
      </c>
      <c r="S28" s="10">
        <v>0.446452112855746</v>
      </c>
      <c r="T28" s="10">
        <v>0.369838352241853</v>
      </c>
      <c r="U28" s="10">
        <v>2.33135731807032</v>
      </c>
    </row>
    <row r="29" ht="16" spans="1:21">
      <c r="A29" s="14">
        <v>2020</v>
      </c>
      <c r="B29" s="15">
        <v>350000</v>
      </c>
      <c r="C29" s="16" t="s">
        <v>42</v>
      </c>
      <c r="D29" s="10">
        <v>105106.17</v>
      </c>
      <c r="E29" s="10">
        <v>105818</v>
      </c>
      <c r="F29" s="10">
        <v>0.712409464900978</v>
      </c>
      <c r="G29" s="10">
        <v>74662.7719083893</v>
      </c>
      <c r="H29" s="10">
        <v>0.687575102138909</v>
      </c>
      <c r="I29" s="10">
        <v>0.0328878875270368</v>
      </c>
      <c r="J29" s="10">
        <v>0.118635773677669</v>
      </c>
      <c r="K29" s="10">
        <v>0.019317455731209</v>
      </c>
      <c r="L29" s="10">
        <v>7.69893619981345</v>
      </c>
      <c r="M29" s="10">
        <v>0.322005086152731</v>
      </c>
      <c r="N29" s="10">
        <v>0.00375017771723926</v>
      </c>
      <c r="O29" s="10">
        <v>0.109266064491866</v>
      </c>
      <c r="P29" s="10">
        <v>335.564516129032</v>
      </c>
      <c r="Q29" s="10">
        <v>1.3435306338658</v>
      </c>
      <c r="R29" s="10">
        <v>23.4636788254469</v>
      </c>
      <c r="S29" s="10">
        <v>0.427129052526337</v>
      </c>
      <c r="T29" s="10">
        <v>0.358083038666685</v>
      </c>
      <c r="U29" s="10">
        <v>2.25862068965517</v>
      </c>
    </row>
    <row r="30" ht="16" spans="1:21">
      <c r="A30" s="14">
        <v>2021</v>
      </c>
      <c r="B30" s="15">
        <v>350000</v>
      </c>
      <c r="C30" s="16" t="s">
        <v>42</v>
      </c>
      <c r="D30" s="10">
        <v>118750</v>
      </c>
      <c r="E30" s="10">
        <v>116939</v>
      </c>
      <c r="F30" s="10">
        <v>0.664389777580758</v>
      </c>
      <c r="G30" s="10">
        <v>78651.0870660272</v>
      </c>
      <c r="H30" s="10">
        <v>0.69691903510867</v>
      </c>
      <c r="I30" s="10">
        <v>0.0244414139001672</v>
      </c>
      <c r="J30" s="10">
        <v>0.104187942969086</v>
      </c>
      <c r="K30" s="10">
        <v>0.0195441882657704</v>
      </c>
      <c r="L30" s="10">
        <v>7.69484807238461</v>
      </c>
      <c r="M30" s="10">
        <v>0.37128004825879</v>
      </c>
      <c r="N30" s="10">
        <v>0.00397041526365802</v>
      </c>
      <c r="O30" s="10">
        <v>0.0202822090097869</v>
      </c>
      <c r="P30" s="10">
        <v>337.661290322581</v>
      </c>
      <c r="Q30" s="10">
        <v>1.32994768601928</v>
      </c>
      <c r="R30" s="10">
        <v>23.6379882792261</v>
      </c>
      <c r="S30" s="10">
        <v>0.411028908871184</v>
      </c>
      <c r="T30" s="10">
        <v>0.369058691323304</v>
      </c>
      <c r="U30" s="10">
        <v>2.20160144646778</v>
      </c>
    </row>
    <row r="31" ht="16" spans="1:21">
      <c r="A31" s="14">
        <v>2022</v>
      </c>
      <c r="B31" s="15">
        <v>350000</v>
      </c>
      <c r="C31" s="16" t="s">
        <v>42</v>
      </c>
      <c r="D31" s="10">
        <v>123618</v>
      </c>
      <c r="E31" s="10">
        <v>126829</v>
      </c>
      <c r="F31" s="10">
        <v>0.683878731348662</v>
      </c>
      <c r="G31" s="10">
        <v>84529.729981224</v>
      </c>
      <c r="H31" s="10">
        <v>0.701289398280802</v>
      </c>
      <c r="I31" s="10">
        <v>0.0256936485195798</v>
      </c>
      <c r="J31" s="10">
        <v>0.108966465823499</v>
      </c>
      <c r="K31" s="10">
        <v>0.0209047176572633</v>
      </c>
      <c r="L31" s="10">
        <v>7.68432406768115</v>
      </c>
      <c r="M31" s="10">
        <v>0.386413800031295</v>
      </c>
      <c r="N31" s="10">
        <v>0.00501341637512533</v>
      </c>
      <c r="O31" s="10">
        <v>0.0203176155363363</v>
      </c>
      <c r="P31" s="10">
        <v>337.741935483871</v>
      </c>
      <c r="Q31" s="10">
        <v>1.43202138120085</v>
      </c>
      <c r="R31" s="10">
        <v>23.6722551789645</v>
      </c>
      <c r="S31" s="10">
        <v>0.40664656303185</v>
      </c>
      <c r="T31" s="10">
        <v>0.347981555140432</v>
      </c>
      <c r="U31" s="10">
        <v>2.15379997598751</v>
      </c>
    </row>
    <row r="32" ht="16" spans="1:21">
      <c r="A32" s="14">
        <v>2013</v>
      </c>
      <c r="B32" s="15">
        <v>620000</v>
      </c>
      <c r="C32" s="16" t="s">
        <v>43</v>
      </c>
      <c r="D32" s="10">
        <v>23646.67</v>
      </c>
      <c r="E32" s="10">
        <v>24538.8511</v>
      </c>
      <c r="F32" s="10">
        <v>1.08536037908388</v>
      </c>
      <c r="G32" s="10">
        <v>25730.784391013</v>
      </c>
      <c r="H32" s="10">
        <v>0.404808829325976</v>
      </c>
      <c r="I32" s="10">
        <v>0.0174601103665747</v>
      </c>
      <c r="J32" s="10">
        <v>0.384010308421315</v>
      </c>
      <c r="K32" s="10">
        <v>0.0111263446670546</v>
      </c>
      <c r="L32" s="10">
        <v>7.20934025660291</v>
      </c>
      <c r="M32" s="10">
        <v>0.105402364286308</v>
      </c>
      <c r="N32" s="10">
        <v>0.0166248233435863</v>
      </c>
      <c r="O32" s="10">
        <v>0.0396889849530302</v>
      </c>
      <c r="P32" s="10">
        <v>59.5679737027471</v>
      </c>
      <c r="Q32" s="10">
        <v>1.40162607033004</v>
      </c>
      <c r="R32" s="10">
        <v>22.6512092391305</v>
      </c>
      <c r="S32" s="10">
        <v>0.393848200182891</v>
      </c>
      <c r="T32" s="10">
        <v>0.37619087205919</v>
      </c>
      <c r="U32" s="10">
        <v>3.55573447843979</v>
      </c>
    </row>
    <row r="33" ht="16" spans="1:21">
      <c r="A33" s="14">
        <v>2014</v>
      </c>
      <c r="B33" s="15">
        <v>620000</v>
      </c>
      <c r="C33" s="16" t="s">
        <v>43</v>
      </c>
      <c r="D33" s="10">
        <v>25723.72</v>
      </c>
      <c r="E33" s="10">
        <v>26432.9157</v>
      </c>
      <c r="F33" s="10">
        <v>1.2095192071674</v>
      </c>
      <c r="G33" s="10">
        <v>31150.2568154879</v>
      </c>
      <c r="H33" s="10">
        <v>0.422757803239826</v>
      </c>
      <c r="I33" s="10">
        <v>0.0178704069537732</v>
      </c>
      <c r="J33" s="10">
        <v>0.389896293568974</v>
      </c>
      <c r="K33" s="10">
        <v>0.0117933695385371</v>
      </c>
      <c r="L33" s="10">
        <v>7.20637729147225</v>
      </c>
      <c r="M33" s="10">
        <v>0.0814272981099656</v>
      </c>
      <c r="N33" s="10">
        <v>0.0175687285223368</v>
      </c>
      <c r="O33" s="10">
        <v>0.0425749110211095</v>
      </c>
      <c r="P33" s="10">
        <v>59.4270955623386</v>
      </c>
      <c r="Q33" s="10">
        <v>1.63868894207167</v>
      </c>
      <c r="R33" s="10">
        <v>22.7906257082818</v>
      </c>
      <c r="S33" s="10">
        <v>0.409348919980363</v>
      </c>
      <c r="T33" s="10">
        <v>0.364245827196858</v>
      </c>
      <c r="U33" s="10">
        <v>3.47363390154532</v>
      </c>
    </row>
    <row r="34" ht="16" spans="1:21">
      <c r="A34" s="14">
        <v>2015</v>
      </c>
      <c r="B34" s="15">
        <v>620000</v>
      </c>
      <c r="C34" s="16" t="s">
        <v>43</v>
      </c>
      <c r="D34" s="10">
        <v>25945.98</v>
      </c>
      <c r="E34" s="10">
        <v>26165.2608</v>
      </c>
      <c r="F34" s="10">
        <v>1.33517829362779</v>
      </c>
      <c r="G34" s="10">
        <v>34697.7011494253</v>
      </c>
      <c r="H34" s="10">
        <v>0.442330558858502</v>
      </c>
      <c r="I34" s="10">
        <v>0.0178542608006342</v>
      </c>
      <c r="J34" s="10">
        <v>0.451136259646768</v>
      </c>
      <c r="K34" s="10">
        <v>0.0126163453619254</v>
      </c>
      <c r="L34" s="10">
        <v>7.20489251020467</v>
      </c>
      <c r="M34" s="10">
        <v>0.0755396638501662</v>
      </c>
      <c r="N34" s="10">
        <v>0.0197815941189031</v>
      </c>
      <c r="O34" s="10">
        <v>0.0557628648994906</v>
      </c>
      <c r="P34" s="10">
        <v>59.2392580417938</v>
      </c>
      <c r="Q34" s="10">
        <v>2.02729768477565</v>
      </c>
      <c r="R34" s="10">
        <v>22.8222855998629</v>
      </c>
      <c r="S34" s="10">
        <v>0.417457218680414</v>
      </c>
      <c r="T34" s="10">
        <v>0.309855717902571</v>
      </c>
      <c r="U34" s="10">
        <v>3.42661476355248</v>
      </c>
    </row>
    <row r="35" ht="16" spans="1:21">
      <c r="A35" s="14">
        <v>2016</v>
      </c>
      <c r="B35" s="15">
        <v>620000</v>
      </c>
      <c r="C35" s="16" t="s">
        <v>43</v>
      </c>
      <c r="D35" s="10">
        <v>27396.03</v>
      </c>
      <c r="E35" s="10">
        <v>27643</v>
      </c>
      <c r="F35" s="10">
        <v>1.39897653411312</v>
      </c>
      <c r="G35" s="10">
        <v>38349.1666666667</v>
      </c>
      <c r="H35" s="10">
        <v>0.460714285714286</v>
      </c>
      <c r="I35" s="10">
        <v>0.0181430158730159</v>
      </c>
      <c r="J35" s="10">
        <v>0.455941747853906</v>
      </c>
      <c r="K35" s="10">
        <v>0.0125921046917298</v>
      </c>
      <c r="L35" s="10">
        <v>7.20117088328168</v>
      </c>
      <c r="M35" s="10">
        <v>0.0657026057123004</v>
      </c>
      <c r="N35" s="10">
        <v>0.021809811954429</v>
      </c>
      <c r="O35" s="10">
        <v>0.0368039491017531</v>
      </c>
      <c r="P35" s="10">
        <v>59.1688189715896</v>
      </c>
      <c r="Q35" s="10">
        <v>2.26559012145515</v>
      </c>
      <c r="R35" s="10">
        <v>22.8839239202371</v>
      </c>
      <c r="S35" s="10">
        <v>0.431998147049031</v>
      </c>
      <c r="T35" s="10">
        <v>0.288872160859306</v>
      </c>
      <c r="U35" s="10">
        <v>3.44548746144562</v>
      </c>
    </row>
    <row r="36" ht="16" spans="1:21">
      <c r="A36" s="14">
        <v>2017</v>
      </c>
      <c r="B36" s="15">
        <v>620000</v>
      </c>
      <c r="C36" s="16" t="s">
        <v>43</v>
      </c>
      <c r="D36" s="10">
        <v>29102.5</v>
      </c>
      <c r="E36" s="10">
        <v>28496.501</v>
      </c>
      <c r="F36" s="10">
        <v>0.794328512819115</v>
      </c>
      <c r="G36" s="10">
        <v>23107.6526566217</v>
      </c>
      <c r="H36" s="10">
        <v>0.481363996827914</v>
      </c>
      <c r="I36" s="10">
        <v>0.0184847343378271</v>
      </c>
      <c r="J36" s="10">
        <v>0.450346886202244</v>
      </c>
      <c r="K36" s="10">
        <v>0.0120499706952717</v>
      </c>
      <c r="L36" s="10">
        <v>7.19818357710194</v>
      </c>
      <c r="M36" s="10">
        <v>0.0444156569029673</v>
      </c>
      <c r="N36" s="10">
        <v>0.0222116210285278</v>
      </c>
      <c r="O36" s="10">
        <v>0.0658239944389167</v>
      </c>
      <c r="P36" s="10">
        <v>59.2157783517258</v>
      </c>
      <c r="Q36" s="10">
        <v>2.37226000790546</v>
      </c>
      <c r="R36" s="10">
        <v>22.9658485537341</v>
      </c>
      <c r="S36" s="10">
        <v>0.437008464295937</v>
      </c>
      <c r="T36" s="10">
        <v>0.275396295337141</v>
      </c>
      <c r="U36" s="10">
        <v>3.4377166914314</v>
      </c>
    </row>
    <row r="37" ht="16" spans="1:21">
      <c r="A37" s="14">
        <v>2018</v>
      </c>
      <c r="B37" s="15">
        <v>620000</v>
      </c>
      <c r="C37" s="16" t="s">
        <v>43</v>
      </c>
      <c r="D37" s="10">
        <v>32178.16</v>
      </c>
      <c r="E37" s="10">
        <v>31336.1252</v>
      </c>
      <c r="F37" s="10">
        <v>0.69106597277921</v>
      </c>
      <c r="G37" s="10">
        <v>22268.2614314115</v>
      </c>
      <c r="H37" s="10">
        <v>0.497017892644135</v>
      </c>
      <c r="I37" s="10">
        <v>0.0192294234592445</v>
      </c>
      <c r="J37" s="10">
        <v>0.465422440493084</v>
      </c>
      <c r="K37" s="10">
        <v>0.0119758727064079</v>
      </c>
      <c r="L37" s="10">
        <v>7.19818357710194</v>
      </c>
      <c r="M37" s="10">
        <v>0.0490993509458175</v>
      </c>
      <c r="N37" s="10">
        <v>0.0223195666391086</v>
      </c>
      <c r="O37" s="10">
        <v>0.151189237546427</v>
      </c>
      <c r="P37" s="10">
        <v>59.0514205212491</v>
      </c>
      <c r="Q37" s="10">
        <v>2.35613948495206</v>
      </c>
      <c r="R37" s="10">
        <v>23.0339384416348</v>
      </c>
      <c r="S37" s="10">
        <v>0.423933564492047</v>
      </c>
      <c r="T37" s="10">
        <v>0.278056786071248</v>
      </c>
      <c r="U37" s="10">
        <v>3.40265788278055</v>
      </c>
    </row>
    <row r="38" ht="16" spans="1:21">
      <c r="A38" s="14">
        <v>2019</v>
      </c>
      <c r="B38" s="15">
        <v>620000</v>
      </c>
      <c r="C38" s="16" t="s">
        <v>43</v>
      </c>
      <c r="D38" s="10">
        <v>34706.61</v>
      </c>
      <c r="E38" s="10">
        <v>32994.56</v>
      </c>
      <c r="F38" s="10">
        <v>0.684777837594485</v>
      </c>
      <c r="G38" s="10">
        <v>23794.7334455959</v>
      </c>
      <c r="H38" s="10">
        <v>0.50697489039458</v>
      </c>
      <c r="I38" s="10">
        <v>0.0209225986448784</v>
      </c>
      <c r="J38" s="10">
        <v>0.450264386405607</v>
      </c>
      <c r="K38" s="10">
        <v>0.0126451945906886</v>
      </c>
      <c r="L38" s="10">
        <v>7.19518732017871</v>
      </c>
      <c r="M38" s="10">
        <v>0.0436786150969799</v>
      </c>
      <c r="N38" s="10">
        <v>0.0225296216005414</v>
      </c>
      <c r="O38" s="10">
        <v>0.229116662652123</v>
      </c>
      <c r="P38" s="10">
        <v>58.9105423808406</v>
      </c>
      <c r="Q38" s="10">
        <v>2.34269295619559</v>
      </c>
      <c r="R38" s="10">
        <v>22.9884842768463</v>
      </c>
      <c r="S38" s="10">
        <v>0.424429074475529</v>
      </c>
      <c r="T38" s="10">
        <v>0.266083984262987</v>
      </c>
      <c r="U38" s="10">
        <v>3.35683871637761</v>
      </c>
    </row>
    <row r="39" ht="16" spans="1:21">
      <c r="A39" s="14">
        <v>2020</v>
      </c>
      <c r="B39" s="15">
        <v>620000</v>
      </c>
      <c r="C39" s="16" t="s">
        <v>43</v>
      </c>
      <c r="D39" s="10">
        <v>35848</v>
      </c>
      <c r="E39" s="10">
        <v>35994.81</v>
      </c>
      <c r="F39" s="10">
        <v>0.716701706513246</v>
      </c>
      <c r="G39" s="10">
        <v>25732.7721470492</v>
      </c>
      <c r="H39" s="10">
        <v>0.52219112355058</v>
      </c>
      <c r="I39" s="10">
        <v>0.0232331867253099</v>
      </c>
      <c r="J39" s="10">
        <v>0.458535363096763</v>
      </c>
      <c r="K39" s="10">
        <v>0.0122102508992505</v>
      </c>
      <c r="L39" s="10">
        <v>7.19368581839511</v>
      </c>
      <c r="M39" s="10">
        <v>0.0424756495205853</v>
      </c>
      <c r="N39" s="10">
        <v>0.0259652326915153</v>
      </c>
      <c r="O39" s="10">
        <v>0.290073009120572</v>
      </c>
      <c r="P39" s="10">
        <v>58.7227048602958</v>
      </c>
      <c r="Q39" s="10">
        <v>2.44279875719679</v>
      </c>
      <c r="R39" s="10">
        <v>23.0733458097531</v>
      </c>
      <c r="S39" s="10">
        <v>0.404512400191543</v>
      </c>
      <c r="T39" s="10">
        <v>0.252280142989187</v>
      </c>
      <c r="U39" s="10">
        <v>3.26972157772622</v>
      </c>
    </row>
    <row r="40" ht="16" spans="1:21">
      <c r="A40" s="14">
        <v>2021</v>
      </c>
      <c r="B40" s="15">
        <v>620000</v>
      </c>
      <c r="C40" s="16" t="s">
        <v>43</v>
      </c>
      <c r="D40" s="10">
        <v>40976</v>
      </c>
      <c r="E40" s="10">
        <v>41046</v>
      </c>
      <c r="F40" s="10">
        <v>0.699245648117789</v>
      </c>
      <c r="G40" s="10">
        <v>28715.4071278251</v>
      </c>
      <c r="H40" s="10">
        <v>0.533333333333333</v>
      </c>
      <c r="I40" s="10">
        <v>0.0246336546184739</v>
      </c>
      <c r="J40" s="10">
        <v>0.390597036819715</v>
      </c>
      <c r="K40" s="10">
        <v>0.0126614238912523</v>
      </c>
      <c r="L40" s="10">
        <v>7.18462915271731</v>
      </c>
      <c r="M40" s="10">
        <v>0.048013216957606</v>
      </c>
      <c r="N40" s="10">
        <v>0.0274208596156667</v>
      </c>
      <c r="O40" s="10">
        <v>0.0342702068358515</v>
      </c>
      <c r="P40" s="10">
        <v>58.4644282695468</v>
      </c>
      <c r="Q40" s="10">
        <v>2.32070803383698</v>
      </c>
      <c r="R40" s="10">
        <v>23.2012633021106</v>
      </c>
      <c r="S40" s="10">
        <v>0.394807099897316</v>
      </c>
      <c r="T40" s="10">
        <v>0.277287174221309</v>
      </c>
      <c r="U40" s="10">
        <v>3.1651360097962</v>
      </c>
    </row>
    <row r="41" ht="16" spans="1:21">
      <c r="A41" s="14">
        <v>2022</v>
      </c>
      <c r="B41" s="15">
        <v>620000</v>
      </c>
      <c r="C41" s="16" t="s">
        <v>43</v>
      </c>
      <c r="D41" s="10">
        <v>44646</v>
      </c>
      <c r="E41" s="10">
        <v>44968</v>
      </c>
      <c r="F41" s="10">
        <v>0.707851542853069</v>
      </c>
      <c r="G41" s="10">
        <v>31590.2895212124</v>
      </c>
      <c r="H41" s="10">
        <v>0.542134831460674</v>
      </c>
      <c r="I41" s="10">
        <v>0.0260088683788122</v>
      </c>
      <c r="J41" s="10">
        <v>0.376608160843059</v>
      </c>
      <c r="K41" s="10">
        <v>0.012961446400633</v>
      </c>
      <c r="L41" s="10">
        <v>7.17548971362422</v>
      </c>
      <c r="M41" s="10">
        <v>0.0518908932328664</v>
      </c>
      <c r="N41" s="10">
        <v>0.030197636988149</v>
      </c>
      <c r="O41" s="10">
        <v>0.0312370115273257</v>
      </c>
      <c r="P41" s="10">
        <v>58.511387649683</v>
      </c>
      <c r="Q41" s="10">
        <v>2.27318503066161</v>
      </c>
      <c r="R41" s="10">
        <v>23.1630086699745</v>
      </c>
      <c r="S41" s="10">
        <v>0.352671426259284</v>
      </c>
      <c r="T41" s="10">
        <v>0.294450338986099</v>
      </c>
      <c r="U41" s="10">
        <v>3.088532675709</v>
      </c>
    </row>
    <row r="42" ht="16" spans="1:21">
      <c r="A42" s="14">
        <v>2013</v>
      </c>
      <c r="B42" s="15">
        <v>440000</v>
      </c>
      <c r="C42" s="16" t="s">
        <v>45</v>
      </c>
      <c r="D42" s="10">
        <v>56029.21</v>
      </c>
      <c r="E42" s="10">
        <v>58833</v>
      </c>
      <c r="F42" s="10">
        <v>0.35691498382488</v>
      </c>
      <c r="G42" s="10">
        <v>19794.4986690328</v>
      </c>
      <c r="H42" s="10">
        <v>0.68092280390417</v>
      </c>
      <c r="I42" s="10">
        <v>0.0151719698314108</v>
      </c>
      <c r="J42" s="10">
        <v>0.134140382763178</v>
      </c>
      <c r="K42" s="10">
        <v>0.0230939875270785</v>
      </c>
      <c r="L42" s="10">
        <v>8.74400998809674</v>
      </c>
      <c r="M42" s="10">
        <v>1.08160231283418</v>
      </c>
      <c r="N42" s="10">
        <v>0.00846977924400913</v>
      </c>
      <c r="O42" s="10">
        <v>0.0442870371851771</v>
      </c>
      <c r="P42" s="10">
        <v>626.807563959955</v>
      </c>
      <c r="Q42" s="10">
        <v>1.09581126786703</v>
      </c>
      <c r="R42" s="10">
        <v>24.9834011704372</v>
      </c>
      <c r="S42" s="10">
        <v>0.40724024613061</v>
      </c>
      <c r="T42" s="10">
        <v>0.434249976801262</v>
      </c>
      <c r="U42" s="10">
        <v>2.66868449584387</v>
      </c>
    </row>
    <row r="43" ht="16" spans="1:21">
      <c r="A43" s="14">
        <v>2014</v>
      </c>
      <c r="B43" s="15">
        <v>440000</v>
      </c>
      <c r="C43" s="16" t="s">
        <v>45</v>
      </c>
      <c r="D43" s="10">
        <v>59908.63</v>
      </c>
      <c r="E43" s="10">
        <v>63469</v>
      </c>
      <c r="F43" s="10">
        <v>0.385694189781878</v>
      </c>
      <c r="G43" s="10">
        <v>22886.1780833841</v>
      </c>
      <c r="H43" s="10">
        <v>0.686221603272696</v>
      </c>
      <c r="I43" s="10">
        <v>0.0156165723735747</v>
      </c>
      <c r="J43" s="10">
        <v>0.133526176052103</v>
      </c>
      <c r="K43" s="10">
        <v>0.0235495834127881</v>
      </c>
      <c r="L43" s="10">
        <v>8.7684187268574</v>
      </c>
      <c r="M43" s="10">
        <v>0.970067783433324</v>
      </c>
      <c r="N43" s="10">
        <v>0.00606178399072947</v>
      </c>
      <c r="O43" s="10">
        <v>0.0491888460240858</v>
      </c>
      <c r="P43" s="10">
        <v>638.987764182425</v>
      </c>
      <c r="Q43" s="10">
        <v>1.14252710017162</v>
      </c>
      <c r="R43" s="10">
        <v>25.0117010410374</v>
      </c>
      <c r="S43" s="10">
        <v>0.417630146832324</v>
      </c>
      <c r="T43" s="10">
        <v>0.432690361286726</v>
      </c>
      <c r="U43" s="10">
        <v>2.62518373346399</v>
      </c>
    </row>
    <row r="44" ht="16" spans="1:21">
      <c r="A44" s="14">
        <v>2015</v>
      </c>
      <c r="B44" s="15">
        <v>440000</v>
      </c>
      <c r="C44" s="16" t="s">
        <v>45</v>
      </c>
      <c r="D44" s="10">
        <v>64516.26</v>
      </c>
      <c r="E44" s="10">
        <v>67503</v>
      </c>
      <c r="F44" s="10">
        <v>0.406022421332648</v>
      </c>
      <c r="G44" s="10">
        <v>25983.0707312896</v>
      </c>
      <c r="H44" s="10">
        <v>0.695067648569961</v>
      </c>
      <c r="I44" s="10">
        <v>0.0158961722897756</v>
      </c>
      <c r="J44" s="10">
        <v>0.170689553660795</v>
      </c>
      <c r="K44" s="10">
        <v>0.0240614512580889</v>
      </c>
      <c r="L44" s="10">
        <v>8.78966009806154</v>
      </c>
      <c r="M44" s="10">
        <v>0.852175508882359</v>
      </c>
      <c r="N44" s="10">
        <v>0.00886603400934535</v>
      </c>
      <c r="O44" s="10">
        <v>0.0585927669926297</v>
      </c>
      <c r="P44" s="10">
        <v>649.499443826474</v>
      </c>
      <c r="Q44" s="10">
        <v>1.19478659858375</v>
      </c>
      <c r="R44" s="10">
        <v>25.0175590454932</v>
      </c>
      <c r="S44" s="10">
        <v>0.405805246452677</v>
      </c>
      <c r="T44" s="10">
        <v>0.419035117298521</v>
      </c>
      <c r="U44" s="10">
        <v>2.60157185628743</v>
      </c>
    </row>
    <row r="45" ht="16" spans="1:21">
      <c r="A45" s="14">
        <v>2016</v>
      </c>
      <c r="B45" s="15">
        <v>440000</v>
      </c>
      <c r="C45" s="16" t="s">
        <v>45</v>
      </c>
      <c r="D45" s="10">
        <v>69671.15</v>
      </c>
      <c r="E45" s="10">
        <v>74016</v>
      </c>
      <c r="F45" s="10">
        <v>0.405335235239134</v>
      </c>
      <c r="G45" s="10">
        <v>27967.4504534767</v>
      </c>
      <c r="H45" s="10">
        <v>0.701461202552906</v>
      </c>
      <c r="I45" s="10">
        <v>0.0158958515283843</v>
      </c>
      <c r="J45" s="10">
        <v>0.162613189359713</v>
      </c>
      <c r="K45" s="10">
        <v>0.024769531736836</v>
      </c>
      <c r="L45" s="10">
        <v>8.81031046635796</v>
      </c>
      <c r="M45" s="10">
        <v>0.772289297398349</v>
      </c>
      <c r="N45" s="10">
        <v>0.00922761041439477</v>
      </c>
      <c r="O45" s="10">
        <v>0.0471934101885029</v>
      </c>
      <c r="P45" s="10">
        <v>662.291434927697</v>
      </c>
      <c r="Q45" s="10">
        <v>1.26151111446487</v>
      </c>
      <c r="R45" s="10">
        <v>25.1053185127187</v>
      </c>
      <c r="S45" s="10">
        <v>0.40532988004362</v>
      </c>
      <c r="T45" s="10">
        <v>0.397719416965259</v>
      </c>
      <c r="U45" s="10">
        <v>2.59674751929438</v>
      </c>
    </row>
    <row r="46" ht="16" spans="1:21">
      <c r="A46" s="14">
        <v>2017</v>
      </c>
      <c r="B46" s="15">
        <v>440000</v>
      </c>
      <c r="C46" s="16" t="s">
        <v>45</v>
      </c>
      <c r="D46" s="10">
        <v>76218.36</v>
      </c>
      <c r="E46" s="10">
        <v>80932</v>
      </c>
      <c r="F46" s="10">
        <v>0.41202712095207</v>
      </c>
      <c r="G46" s="10">
        <v>31102.6686434396</v>
      </c>
      <c r="H46" s="10">
        <v>0.707437608104769</v>
      </c>
      <c r="I46" s="10">
        <v>0.0158617494440326</v>
      </c>
      <c r="J46" s="10">
        <v>0.162773394494412</v>
      </c>
      <c r="K46" s="10">
        <v>0.0255718662676066</v>
      </c>
      <c r="L46" s="10">
        <v>8.83317113302287</v>
      </c>
      <c r="M46" s="10">
        <v>0.741624376559624</v>
      </c>
      <c r="N46" s="10">
        <v>0.010224694949301</v>
      </c>
      <c r="O46" s="10">
        <v>0.06662381681355</v>
      </c>
      <c r="P46" s="10">
        <v>675.250278086763</v>
      </c>
      <c r="Q46" s="10">
        <v>1.29820302961199</v>
      </c>
      <c r="R46" s="10">
        <v>25.1794604953102</v>
      </c>
      <c r="S46" s="10">
        <v>0.399335724347427</v>
      </c>
      <c r="T46" s="10">
        <v>0.385646495804087</v>
      </c>
      <c r="U46" s="10">
        <v>2.59664131812421</v>
      </c>
    </row>
    <row r="47" ht="16" spans="1:21">
      <c r="A47" s="14">
        <v>2018</v>
      </c>
      <c r="B47" s="15">
        <v>440000</v>
      </c>
      <c r="C47" s="16" t="s">
        <v>45</v>
      </c>
      <c r="D47" s="10">
        <v>81624.62</v>
      </c>
      <c r="E47" s="10">
        <v>86412</v>
      </c>
      <c r="F47" s="10">
        <v>0.418251774472411</v>
      </c>
      <c r="G47" s="10">
        <v>33853.4639212828</v>
      </c>
      <c r="H47" s="10">
        <v>0.718091998704244</v>
      </c>
      <c r="I47" s="10">
        <v>0.0158986880466472</v>
      </c>
      <c r="J47" s="10">
        <v>0.156304755005743</v>
      </c>
      <c r="K47" s="10">
        <v>0.0270617990959046</v>
      </c>
      <c r="L47" s="10">
        <v>8.84793475332846</v>
      </c>
      <c r="M47" s="10">
        <v>0.718027068833721</v>
      </c>
      <c r="N47" s="10">
        <v>0.0136616866042591</v>
      </c>
      <c r="O47" s="10">
        <v>0.110202165786851</v>
      </c>
      <c r="P47" s="10">
        <v>686.763070077864</v>
      </c>
      <c r="Q47" s="10">
        <v>1.39176308617122</v>
      </c>
      <c r="R47" s="10">
        <v>25.230243852202</v>
      </c>
      <c r="S47" s="10">
        <v>0.397889043195671</v>
      </c>
      <c r="T47" s="10">
        <v>0.376717441157754</v>
      </c>
      <c r="U47" s="10">
        <v>2.58277027027027</v>
      </c>
    </row>
    <row r="48" ht="16" spans="1:21">
      <c r="A48" s="14">
        <v>2019</v>
      </c>
      <c r="B48" s="15">
        <v>440000</v>
      </c>
      <c r="C48" s="16" t="s">
        <v>45</v>
      </c>
      <c r="D48" s="10">
        <v>86956.49</v>
      </c>
      <c r="E48" s="10">
        <v>94172</v>
      </c>
      <c r="F48" s="10">
        <v>0.430073534889417</v>
      </c>
      <c r="G48" s="10">
        <v>37186.5704257747</v>
      </c>
      <c r="H48" s="10">
        <v>0.726479301785571</v>
      </c>
      <c r="I48" s="10">
        <v>0.016446288734086</v>
      </c>
      <c r="J48" s="10">
        <v>0.158183261117784</v>
      </c>
      <c r="K48" s="10">
        <v>0.0286931930910138</v>
      </c>
      <c r="L48" s="10">
        <v>8.85295088709958</v>
      </c>
      <c r="M48" s="10">
        <v>0.662225649592682</v>
      </c>
      <c r="N48" s="10">
        <v>0.0205865711489079</v>
      </c>
      <c r="O48" s="10">
        <v>0.152331463353425</v>
      </c>
      <c r="P48" s="10">
        <v>694.60511679644</v>
      </c>
      <c r="Q48" s="10">
        <v>1.50368637306933</v>
      </c>
      <c r="R48" s="10">
        <v>25.0920967286259</v>
      </c>
      <c r="S48" s="10">
        <v>0.397750097465526</v>
      </c>
      <c r="T48" s="10">
        <v>0.362468040104865</v>
      </c>
      <c r="U48" s="10">
        <v>2.55701987458816</v>
      </c>
    </row>
    <row r="49" ht="16" spans="1:21">
      <c r="A49" s="14">
        <v>2020</v>
      </c>
      <c r="B49" s="15">
        <v>440000</v>
      </c>
      <c r="C49" s="16" t="s">
        <v>45</v>
      </c>
      <c r="D49" s="10">
        <v>88521.19</v>
      </c>
      <c r="E49" s="10">
        <v>88210.04</v>
      </c>
      <c r="F49" s="10">
        <v>0.447912166506753</v>
      </c>
      <c r="G49" s="10">
        <v>39437.7011776711</v>
      </c>
      <c r="H49" s="10">
        <v>0.741524081115336</v>
      </c>
      <c r="I49" s="10">
        <v>0.0190132050063371</v>
      </c>
      <c r="J49" s="10">
        <v>0.154948286844274</v>
      </c>
      <c r="K49" s="10">
        <v>0.0313075415018767</v>
      </c>
      <c r="L49" s="10">
        <v>8.85922139360813</v>
      </c>
      <c r="M49" s="10">
        <v>0.635466435031075</v>
      </c>
      <c r="N49" s="10">
        <v>0.0293941787612594</v>
      </c>
      <c r="O49" s="10">
        <v>0.187429671727622</v>
      </c>
      <c r="P49" s="10">
        <v>702.113459399333</v>
      </c>
      <c r="Q49" s="10">
        <v>1.70759944076379</v>
      </c>
      <c r="R49" s="10">
        <v>25.0599361839888</v>
      </c>
      <c r="S49" s="10">
        <v>0.361739282205564</v>
      </c>
      <c r="T49" s="10">
        <v>0.354056081963732</v>
      </c>
      <c r="U49" s="10">
        <v>2.49501067368317</v>
      </c>
    </row>
    <row r="50" ht="16" spans="1:21">
      <c r="A50" s="14">
        <v>2021</v>
      </c>
      <c r="B50" s="15">
        <v>440000</v>
      </c>
      <c r="C50" s="16" t="s">
        <v>45</v>
      </c>
      <c r="D50" s="10">
        <v>98561</v>
      </c>
      <c r="E50" s="10">
        <v>98285</v>
      </c>
      <c r="F50" s="10">
        <v>0.424333658061439</v>
      </c>
      <c r="G50" s="10">
        <v>41723.9685167089</v>
      </c>
      <c r="H50" s="10">
        <v>0.746294544307789</v>
      </c>
      <c r="I50" s="10">
        <v>0.02002348628193</v>
      </c>
      <c r="J50" s="10">
        <v>0.144200626205204</v>
      </c>
      <c r="K50" s="10">
        <v>0.0320894449624958</v>
      </c>
      <c r="L50" s="10">
        <v>8.86389860431748</v>
      </c>
      <c r="M50" s="10">
        <v>0.661896968797983</v>
      </c>
      <c r="N50" s="10">
        <v>0.0328706417200197</v>
      </c>
      <c r="O50" s="10">
        <v>0.0397168846892427</v>
      </c>
      <c r="P50" s="10">
        <v>705.450500556174</v>
      </c>
      <c r="Q50" s="10">
        <v>1.73015599004165</v>
      </c>
      <c r="R50" s="10">
        <v>25.1798593873183</v>
      </c>
      <c r="S50" s="10">
        <v>0.354296641663894</v>
      </c>
      <c r="T50" s="10">
        <v>0.364901238378922</v>
      </c>
      <c r="U50" s="10">
        <v>2.45915897068053</v>
      </c>
    </row>
    <row r="51" ht="16" spans="1:21">
      <c r="A51" s="14">
        <v>2022</v>
      </c>
      <c r="B51" s="15">
        <v>440000</v>
      </c>
      <c r="C51" s="16" t="s">
        <v>45</v>
      </c>
      <c r="D51" s="10">
        <v>102217</v>
      </c>
      <c r="E51" s="10">
        <v>101905</v>
      </c>
      <c r="F51" s="10">
        <v>0.398002155320076</v>
      </c>
      <c r="G51" s="10">
        <v>40725.8370413701</v>
      </c>
      <c r="H51" s="10">
        <v>0.747807537331121</v>
      </c>
      <c r="I51" s="10">
        <v>0.0211022596191831</v>
      </c>
      <c r="J51" s="10">
        <v>0.141454102117461</v>
      </c>
      <c r="K51" s="10">
        <v>0.0340651135479208</v>
      </c>
      <c r="L51" s="10">
        <v>8.83985623276326</v>
      </c>
      <c r="M51" s="10">
        <v>0.646832270896647</v>
      </c>
      <c r="N51" s="10">
        <v>0.03063369406765</v>
      </c>
      <c r="O51" s="10">
        <v>0.0390934017740222</v>
      </c>
      <c r="P51" s="10">
        <v>703.948832035595</v>
      </c>
      <c r="Q51" s="10">
        <v>1.85004493736565</v>
      </c>
      <c r="R51" s="10">
        <v>25.086133906866</v>
      </c>
      <c r="S51" s="10">
        <v>0.346549705976824</v>
      </c>
      <c r="T51" s="10">
        <v>0.365651946976997</v>
      </c>
      <c r="U51" s="10">
        <v>2.41143317230274</v>
      </c>
    </row>
    <row r="52" ht="31" spans="1:21">
      <c r="A52" s="14">
        <v>2013</v>
      </c>
      <c r="B52" s="15">
        <v>450000</v>
      </c>
      <c r="C52" s="16" t="s">
        <v>46</v>
      </c>
      <c r="D52" s="10">
        <v>26416</v>
      </c>
      <c r="E52" s="10">
        <v>30741.2063</v>
      </c>
      <c r="F52" s="10">
        <v>0.956564699077793</v>
      </c>
      <c r="G52" s="10">
        <v>25169.5201860072</v>
      </c>
      <c r="H52" s="10">
        <v>0.451067427605157</v>
      </c>
      <c r="I52" s="10">
        <v>0.0138686746987952</v>
      </c>
      <c r="J52" s="10">
        <v>0.257756820153594</v>
      </c>
      <c r="K52" s="10">
        <v>0.00865002329616658</v>
      </c>
      <c r="L52" s="10">
        <v>7.93101882606039</v>
      </c>
      <c r="M52" s="10">
        <v>0.163320000963979</v>
      </c>
      <c r="N52" s="10">
        <v>0.000589634009189936</v>
      </c>
      <c r="O52" s="10">
        <v>0.0349654252755374</v>
      </c>
      <c r="P52" s="10">
        <v>199.116161616162</v>
      </c>
      <c r="Q52" s="10">
        <v>1.09679798206998</v>
      </c>
      <c r="R52" s="10">
        <v>23.5467206571133</v>
      </c>
      <c r="S52" s="10">
        <v>0.412350181549436</v>
      </c>
      <c r="T52" s="10">
        <v>0.297202853378747</v>
      </c>
      <c r="U52" s="10">
        <v>2.91145900166816</v>
      </c>
    </row>
    <row r="53" ht="31" spans="1:21">
      <c r="A53" s="14">
        <v>2014</v>
      </c>
      <c r="B53" s="15">
        <v>450000</v>
      </c>
      <c r="C53" s="16" t="s">
        <v>46</v>
      </c>
      <c r="D53" s="10">
        <v>28603</v>
      </c>
      <c r="E53" s="10">
        <v>33089.609</v>
      </c>
      <c r="F53" s="10">
        <v>1.01879774503599</v>
      </c>
      <c r="G53" s="10">
        <v>29021.4255765199</v>
      </c>
      <c r="H53" s="10">
        <v>0.465408805031447</v>
      </c>
      <c r="I53" s="10">
        <v>0.0147151572327044</v>
      </c>
      <c r="J53" s="10">
        <v>0.256097381474558</v>
      </c>
      <c r="K53" s="10">
        <v>0.00823556867189685</v>
      </c>
      <c r="L53" s="10">
        <v>7.9355873855892</v>
      </c>
      <c r="M53" s="10">
        <v>0.183314061143084</v>
      </c>
      <c r="N53" s="10">
        <v>0.000852235093245411</v>
      </c>
      <c r="O53" s="10">
        <v>0.0369520820147485</v>
      </c>
      <c r="P53" s="10">
        <v>200.757575757576</v>
      </c>
      <c r="Q53" s="10">
        <v>1.14701864908226</v>
      </c>
      <c r="R53" s="10">
        <v>23.653464037966</v>
      </c>
      <c r="S53" s="10">
        <v>0.424851705206141</v>
      </c>
      <c r="T53" s="10">
        <v>0.296133296044982</v>
      </c>
      <c r="U53" s="10">
        <v>2.84106875503858</v>
      </c>
    </row>
    <row r="54" ht="31" spans="1:21">
      <c r="A54" s="14">
        <v>2015</v>
      </c>
      <c r="B54" s="15">
        <v>450000</v>
      </c>
      <c r="C54" s="16" t="s">
        <v>46</v>
      </c>
      <c r="D54" s="10">
        <v>30890</v>
      </c>
      <c r="E54" s="10">
        <v>35190</v>
      </c>
      <c r="F54" s="10">
        <v>1.09663463487816</v>
      </c>
      <c r="G54" s="10">
        <v>33730.5757638745</v>
      </c>
      <c r="H54" s="10">
        <v>0.479941800041571</v>
      </c>
      <c r="I54" s="10">
        <v>0.0156138224901268</v>
      </c>
      <c r="J54" s="10">
        <v>0.274681371555231</v>
      </c>
      <c r="K54" s="10">
        <v>0.00715730919461001</v>
      </c>
      <c r="L54" s="10">
        <v>7.86134179559999</v>
      </c>
      <c r="M54" s="10">
        <v>0.215040316803849</v>
      </c>
      <c r="N54" s="10">
        <v>0.000493992350214221</v>
      </c>
      <c r="O54" s="10">
        <v>0.0440290921623485</v>
      </c>
      <c r="P54" s="10">
        <v>202.483164983165</v>
      </c>
      <c r="Q54" s="10">
        <v>1.19320169214343</v>
      </c>
      <c r="R54" s="10">
        <v>23.5948626660633</v>
      </c>
      <c r="S54" s="10">
        <v>0.390024192785414</v>
      </c>
      <c r="T54" s="10">
        <v>0.281062049764154</v>
      </c>
      <c r="U54" s="10">
        <v>2.79032428435618</v>
      </c>
    </row>
    <row r="55" ht="31" spans="1:21">
      <c r="A55" s="14">
        <v>2016</v>
      </c>
      <c r="B55" s="15">
        <v>450000</v>
      </c>
      <c r="C55" s="16" t="s">
        <v>46</v>
      </c>
      <c r="D55" s="10">
        <v>33340</v>
      </c>
      <c r="E55" s="10">
        <v>38027</v>
      </c>
      <c r="F55" s="10">
        <v>1.1315525607138</v>
      </c>
      <c r="G55" s="10">
        <v>37547.4161004735</v>
      </c>
      <c r="H55" s="10">
        <v>0.492485073090385</v>
      </c>
      <c r="I55" s="10">
        <v>0.01668276714021</v>
      </c>
      <c r="J55" s="10">
        <v>0.275545090155492</v>
      </c>
      <c r="K55" s="10">
        <v>0.0073060515245151</v>
      </c>
      <c r="L55" s="10">
        <v>7.85670679309584</v>
      </c>
      <c r="M55" s="10">
        <v>0.196291823337428</v>
      </c>
      <c r="N55" s="10">
        <v>0.00210900562153308</v>
      </c>
      <c r="O55" s="10">
        <v>0.0280863581648735</v>
      </c>
      <c r="P55" s="10">
        <v>204.419191919192</v>
      </c>
      <c r="Q55" s="10">
        <v>1.25186267575047</v>
      </c>
      <c r="R55" s="10">
        <v>23.6874690663569</v>
      </c>
      <c r="S55" s="10">
        <v>0.393991288485164</v>
      </c>
      <c r="T55" s="10">
        <v>0.267258602931139</v>
      </c>
      <c r="U55" s="10">
        <v>2.73424075682981</v>
      </c>
    </row>
    <row r="56" ht="31" spans="1:21">
      <c r="A56" s="14">
        <v>2017</v>
      </c>
      <c r="B56" s="15">
        <v>450000</v>
      </c>
      <c r="C56" s="16" t="s">
        <v>46</v>
      </c>
      <c r="D56" s="10">
        <v>36441</v>
      </c>
      <c r="E56" s="10">
        <v>38102</v>
      </c>
      <c r="F56" s="10">
        <v>1.15223740493629</v>
      </c>
      <c r="G56" s="10">
        <v>41775.2394538415</v>
      </c>
      <c r="H56" s="10">
        <v>0.505808029345832</v>
      </c>
      <c r="I56" s="10">
        <v>0.017662848991237</v>
      </c>
      <c r="J56" s="10">
        <v>0.275850303810418</v>
      </c>
      <c r="K56" s="10">
        <v>0.00799174400107922</v>
      </c>
      <c r="L56" s="10">
        <v>7.85010354517558</v>
      </c>
      <c r="M56" s="10">
        <v>0.219656972463141</v>
      </c>
      <c r="N56" s="10">
        <v>0.00221576441623995</v>
      </c>
      <c r="O56" s="10">
        <v>0.0449498445817197</v>
      </c>
      <c r="P56" s="10">
        <v>206.523569023569</v>
      </c>
      <c r="Q56" s="10">
        <v>1.2805460156149</v>
      </c>
      <c r="R56" s="10">
        <v>23.7925365548397</v>
      </c>
      <c r="S56" s="10">
        <v>0.395599948287588</v>
      </c>
      <c r="T56" s="10">
        <v>0.26306441005694</v>
      </c>
      <c r="U56" s="10">
        <v>2.69333333333333</v>
      </c>
    </row>
    <row r="57" ht="31" spans="1:21">
      <c r="A57" s="14">
        <v>2018</v>
      </c>
      <c r="B57" s="15">
        <v>450000</v>
      </c>
      <c r="C57" s="16" t="s">
        <v>46</v>
      </c>
      <c r="D57" s="10">
        <v>39837</v>
      </c>
      <c r="E57" s="10">
        <v>41489.1652</v>
      </c>
      <c r="F57" s="10">
        <v>1.15718592404651</v>
      </c>
      <c r="G57" s="10">
        <v>45912.7024054983</v>
      </c>
      <c r="H57" s="10">
        <v>0.518293915504346</v>
      </c>
      <c r="I57" s="10">
        <v>0.0190464321811199</v>
      </c>
      <c r="J57" s="10">
        <v>0.270525988648753</v>
      </c>
      <c r="K57" s="10">
        <v>0.00737999011605987</v>
      </c>
      <c r="L57" s="10">
        <v>7.84854348245668</v>
      </c>
      <c r="M57" s="10">
        <v>0.210048512823648</v>
      </c>
      <c r="N57" s="10">
        <v>0.00312872558310152</v>
      </c>
      <c r="O57" s="10">
        <v>0.111088634487818</v>
      </c>
      <c r="P57" s="10">
        <v>208.207070707071</v>
      </c>
      <c r="Q57" s="10">
        <v>1.33195671445603</v>
      </c>
      <c r="R57" s="10">
        <v>23.8978596361177</v>
      </c>
      <c r="S57" s="10">
        <v>0.39044110903922</v>
      </c>
      <c r="T57" s="10">
        <v>0.259932340863469</v>
      </c>
      <c r="U57" s="10">
        <v>2.60844390832328</v>
      </c>
    </row>
    <row r="58" ht="31" spans="1:21">
      <c r="A58" s="14">
        <v>2019</v>
      </c>
      <c r="B58" s="15">
        <v>450000</v>
      </c>
      <c r="C58" s="16" t="s">
        <v>46</v>
      </c>
      <c r="D58" s="10">
        <v>42778</v>
      </c>
      <c r="E58" s="10">
        <v>42964</v>
      </c>
      <c r="F58" s="10">
        <v>1.17216866768438</v>
      </c>
      <c r="G58" s="10">
        <v>49966.8069299077</v>
      </c>
      <c r="H58" s="10">
        <v>0.529706945002007</v>
      </c>
      <c r="I58" s="10">
        <v>0.0216059413890004</v>
      </c>
      <c r="J58" s="10">
        <v>0.274248838118199</v>
      </c>
      <c r="K58" s="10">
        <v>0.00786984192757015</v>
      </c>
      <c r="L58" s="10">
        <v>7.84698098213879</v>
      </c>
      <c r="M58" s="10">
        <v>0.221606038489248</v>
      </c>
      <c r="N58" s="10">
        <v>0.00365209939210156</v>
      </c>
      <c r="O58" s="10">
        <v>0.176445536349125</v>
      </c>
      <c r="P58" s="10">
        <v>209.680134680135</v>
      </c>
      <c r="Q58" s="10">
        <v>1.41208168723602</v>
      </c>
      <c r="R58" s="10">
        <v>23.8758086134598</v>
      </c>
      <c r="S58" s="10">
        <v>0.386159127187799</v>
      </c>
      <c r="T58" s="10">
        <v>0.247048796681279</v>
      </c>
      <c r="U58" s="10">
        <v>2.54058204153261</v>
      </c>
    </row>
    <row r="59" ht="31" spans="1:21">
      <c r="A59" s="14">
        <v>2020</v>
      </c>
      <c r="B59" s="15">
        <v>450000</v>
      </c>
      <c r="C59" s="16" t="s">
        <v>46</v>
      </c>
      <c r="D59" s="10">
        <v>44237</v>
      </c>
      <c r="E59" s="10">
        <v>44308.95</v>
      </c>
      <c r="F59" s="10">
        <v>1.17260096412914</v>
      </c>
      <c r="G59" s="10">
        <v>51681.5873030568</v>
      </c>
      <c r="H59" s="10">
        <v>0.541940625622634</v>
      </c>
      <c r="I59" s="10">
        <v>0.023593684000797</v>
      </c>
      <c r="J59" s="10">
        <v>0.277424065024479</v>
      </c>
      <c r="K59" s="10">
        <v>0.00783107378090403</v>
      </c>
      <c r="L59" s="10">
        <v>7.84698098213879</v>
      </c>
      <c r="M59" s="10">
        <v>0.2195606643491</v>
      </c>
      <c r="N59" s="10">
        <v>0.00414404477213857</v>
      </c>
      <c r="O59" s="10">
        <v>0.227936440199088</v>
      </c>
      <c r="P59" s="10">
        <v>211.237373737374</v>
      </c>
      <c r="Q59" s="10">
        <v>1.57041485653839</v>
      </c>
      <c r="R59" s="10">
        <v>23.9290768090085</v>
      </c>
      <c r="S59" s="10">
        <v>0.354009104512023</v>
      </c>
      <c r="T59" s="10">
        <v>0.233842203526981</v>
      </c>
      <c r="U59" s="10">
        <v>2.42045224434695</v>
      </c>
    </row>
    <row r="60" ht="31" spans="1:21">
      <c r="A60" s="14">
        <v>2021</v>
      </c>
      <c r="B60" s="15">
        <v>450000</v>
      </c>
      <c r="C60" s="16" t="s">
        <v>46</v>
      </c>
      <c r="D60" s="10">
        <v>50137</v>
      </c>
      <c r="E60" s="10">
        <v>49206</v>
      </c>
      <c r="F60" s="10">
        <v>1.10715383754783</v>
      </c>
      <c r="G60" s="10">
        <v>55410.6646935217</v>
      </c>
      <c r="H60" s="10">
        <v>0.550724637681159</v>
      </c>
      <c r="I60" s="10">
        <v>0.026226761961485</v>
      </c>
      <c r="J60" s="10">
        <v>0.228887187563221</v>
      </c>
      <c r="K60" s="10">
        <v>0.00791211110273671</v>
      </c>
      <c r="L60" s="10">
        <v>7.84149292446001</v>
      </c>
      <c r="M60" s="10">
        <v>0.234729355669183</v>
      </c>
      <c r="N60" s="10">
        <v>0.0373110107064512</v>
      </c>
      <c r="O60" s="10">
        <v>0.0276987278403434</v>
      </c>
      <c r="P60" s="10">
        <v>211.994949494949</v>
      </c>
      <c r="Q60" s="10">
        <v>1.55996406059717</v>
      </c>
      <c r="R60" s="10">
        <v>24.270713602144</v>
      </c>
      <c r="S60" s="10">
        <v>0.338707054198682</v>
      </c>
      <c r="T60" s="10">
        <v>0.255455371274659</v>
      </c>
      <c r="U60" s="10">
        <v>2.35470268288211</v>
      </c>
    </row>
    <row r="61" ht="31" spans="1:21">
      <c r="A61" s="14">
        <v>2022</v>
      </c>
      <c r="B61" s="15">
        <v>450000</v>
      </c>
      <c r="C61" s="16" t="s">
        <v>46</v>
      </c>
      <c r="D61" s="10">
        <v>51936</v>
      </c>
      <c r="E61" s="10">
        <v>52164</v>
      </c>
      <c r="F61" s="10">
        <v>1.06691191731235</v>
      </c>
      <c r="G61" s="10">
        <v>55356.1762590311</v>
      </c>
      <c r="H61" s="10">
        <v>0.55656825837131</v>
      </c>
      <c r="I61" s="10">
        <v>0.0278879136120468</v>
      </c>
      <c r="J61" s="10">
        <v>0.223385307472285</v>
      </c>
      <c r="K61" s="10">
        <v>0.00832255853296214</v>
      </c>
      <c r="L61" s="10">
        <v>7.82724090175281</v>
      </c>
      <c r="M61" s="10">
        <v>0.246583340016268</v>
      </c>
      <c r="N61" s="10">
        <v>0.00866833930978649</v>
      </c>
      <c r="O61" s="10">
        <v>0.0267339771863699</v>
      </c>
      <c r="P61" s="10">
        <v>212.415824915825</v>
      </c>
      <c r="Q61" s="10">
        <v>1.68781261814474</v>
      </c>
      <c r="R61" s="10">
        <v>24.3281206607806</v>
      </c>
      <c r="S61" s="10">
        <v>0.32609285078725</v>
      </c>
      <c r="T61" s="10">
        <v>0.25692256578872</v>
      </c>
      <c r="U61" s="10">
        <v>2.27746228417369</v>
      </c>
    </row>
    <row r="62" ht="16" spans="1:21">
      <c r="A62" s="14">
        <v>2013</v>
      </c>
      <c r="B62" s="15">
        <v>520000</v>
      </c>
      <c r="C62" s="16" t="s">
        <v>47</v>
      </c>
      <c r="D62" s="10">
        <v>22089.1</v>
      </c>
      <c r="E62" s="10">
        <v>23151</v>
      </c>
      <c r="F62" s="10">
        <v>0.924809672523861</v>
      </c>
      <c r="G62" s="10">
        <v>20301.7621145374</v>
      </c>
      <c r="H62" s="10">
        <v>0.378854625550661</v>
      </c>
      <c r="I62" s="10">
        <v>0.0115374449339207</v>
      </c>
      <c r="J62" s="10">
        <v>0.386633806173258</v>
      </c>
      <c r="K62" s="10">
        <v>0.00591801808581355</v>
      </c>
      <c r="L62" s="10">
        <v>7.49331724886215</v>
      </c>
      <c r="M62" s="10">
        <v>0.0643943434799513</v>
      </c>
      <c r="N62" s="10">
        <v>0.00230775984247031</v>
      </c>
      <c r="O62" s="10">
        <v>0.0416111424665438</v>
      </c>
      <c r="P62" s="10">
        <v>206.129398410897</v>
      </c>
      <c r="Q62" s="10">
        <v>1.26729879218873</v>
      </c>
      <c r="R62" s="10">
        <v>23.2526572628965</v>
      </c>
      <c r="S62" s="10">
        <v>0.326247005556183</v>
      </c>
      <c r="T62" s="10">
        <v>0.317730870050545</v>
      </c>
      <c r="U62" s="10">
        <v>3.48677517802645</v>
      </c>
    </row>
    <row r="63" ht="16" spans="1:21">
      <c r="A63" s="14">
        <v>2014</v>
      </c>
      <c r="B63" s="15">
        <v>520000</v>
      </c>
      <c r="C63" s="16" t="s">
        <v>47</v>
      </c>
      <c r="D63" s="10">
        <v>25100.92</v>
      </c>
      <c r="E63" s="10">
        <v>26437</v>
      </c>
      <c r="F63" s="10">
        <v>0.983936728041774</v>
      </c>
      <c r="G63" s="10">
        <v>24546.5053032363</v>
      </c>
      <c r="H63" s="10">
        <v>0.402502039706282</v>
      </c>
      <c r="I63" s="10">
        <v>0.0125211041610008</v>
      </c>
      <c r="J63" s="10">
        <v>0.386217309306559</v>
      </c>
      <c r="K63" s="10">
        <v>0.00604806444931375</v>
      </c>
      <c r="L63" s="10">
        <v>7.50659178007084</v>
      </c>
      <c r="M63" s="10">
        <v>0.0721305785394251</v>
      </c>
      <c r="N63" s="10">
        <v>0.00218464859207901</v>
      </c>
      <c r="O63" s="10">
        <v>0.0416076680729524</v>
      </c>
      <c r="P63" s="10">
        <v>208.683314415437</v>
      </c>
      <c r="Q63" s="10">
        <v>1.34832281344366</v>
      </c>
      <c r="R63" s="10">
        <v>23.4538659928058</v>
      </c>
      <c r="S63" s="10">
        <v>0.32016439371641</v>
      </c>
      <c r="T63" s="10">
        <v>0.309633602598903</v>
      </c>
      <c r="U63" s="10">
        <v>3.38000299805127</v>
      </c>
    </row>
    <row r="64" ht="16" spans="1:21">
      <c r="A64" s="14">
        <v>2015</v>
      </c>
      <c r="B64" s="15">
        <v>520000</v>
      </c>
      <c r="C64" s="16" t="s">
        <v>47</v>
      </c>
      <c r="D64" s="10">
        <v>28547.05</v>
      </c>
      <c r="E64" s="10">
        <v>29847.2478</v>
      </c>
      <c r="F64" s="10">
        <v>1.03837776302059</v>
      </c>
      <c r="G64" s="10">
        <v>29518.7162891046</v>
      </c>
      <c r="H64" s="10">
        <v>0.429611650485437</v>
      </c>
      <c r="I64" s="10">
        <v>0.0135081445523193</v>
      </c>
      <c r="J64" s="10">
        <v>0.37359358694621</v>
      </c>
      <c r="K64" s="10">
        <v>0.00591211554880941</v>
      </c>
      <c r="L64" s="10">
        <v>7.51860721681525</v>
      </c>
      <c r="M64" s="10">
        <v>0.0722131486576226</v>
      </c>
      <c r="N64" s="10">
        <v>0.00246276444360118</v>
      </c>
      <c r="O64" s="10">
        <v>0.0488722606963286</v>
      </c>
      <c r="P64" s="10">
        <v>210.44267877412</v>
      </c>
      <c r="Q64" s="10">
        <v>1.42794232046295</v>
      </c>
      <c r="R64" s="10">
        <v>23.4806678082974</v>
      </c>
      <c r="S64" s="10">
        <v>0.467242197134997</v>
      </c>
      <c r="T64" s="10">
        <v>0.30319704012902</v>
      </c>
      <c r="U64" s="10">
        <v>3.32746717205902</v>
      </c>
    </row>
    <row r="65" ht="16" spans="1:21">
      <c r="A65" s="14">
        <v>2016</v>
      </c>
      <c r="B65" s="15">
        <v>520000</v>
      </c>
      <c r="C65" s="16" t="s">
        <v>47</v>
      </c>
      <c r="D65" s="10">
        <v>31589.47</v>
      </c>
      <c r="E65" s="10">
        <v>33246</v>
      </c>
      <c r="F65" s="10">
        <v>1.11970421627489</v>
      </c>
      <c r="G65" s="10">
        <v>35135.7104843002</v>
      </c>
      <c r="H65" s="10">
        <v>0.455561468866418</v>
      </c>
      <c r="I65" s="10">
        <v>0.0152722724853646</v>
      </c>
      <c r="J65" s="10">
        <v>0.36131321868322</v>
      </c>
      <c r="K65" s="10">
        <v>0.00622439791730267</v>
      </c>
      <c r="L65" s="10">
        <v>7.52779398772144</v>
      </c>
      <c r="M65" s="10">
        <v>0.0321042077948509</v>
      </c>
      <c r="N65" s="10">
        <v>0.00173331976527255</v>
      </c>
      <c r="O65" s="10">
        <v>0.0321323055527289</v>
      </c>
      <c r="P65" s="10">
        <v>213.28036322361</v>
      </c>
      <c r="Q65" s="10">
        <v>1.51434822428004</v>
      </c>
      <c r="R65" s="10">
        <v>23.5655829655644</v>
      </c>
      <c r="S65" s="10">
        <v>0.479283267189037</v>
      </c>
      <c r="T65" s="10">
        <v>0.296945490315797</v>
      </c>
      <c r="U65" s="10">
        <v>3.30568603213844</v>
      </c>
    </row>
    <row r="66" ht="16" spans="1:21">
      <c r="A66" s="14">
        <v>2017</v>
      </c>
      <c r="B66" s="15">
        <v>520000</v>
      </c>
      <c r="C66" s="16" t="s">
        <v>47</v>
      </c>
      <c r="D66" s="10">
        <v>35988.41</v>
      </c>
      <c r="E66" s="10">
        <v>37956.0633</v>
      </c>
      <c r="F66" s="10">
        <v>1.13953724256545</v>
      </c>
      <c r="G66" s="10">
        <v>40767.4467525638</v>
      </c>
      <c r="H66" s="10">
        <v>0.477517749145412</v>
      </c>
      <c r="I66" s="10">
        <v>0.0165046542203524</v>
      </c>
      <c r="J66" s="10">
        <v>0.338941155717583</v>
      </c>
      <c r="K66" s="10">
        <v>0.00704731503667661</v>
      </c>
      <c r="L66" s="10">
        <v>7.53955882930103</v>
      </c>
      <c r="M66" s="10">
        <v>0.0405061997442192</v>
      </c>
      <c r="N66" s="10">
        <v>0.00593440839666603</v>
      </c>
      <c r="O66" s="10">
        <v>0.0653673320887295</v>
      </c>
      <c r="P66" s="10">
        <v>215.83427922815</v>
      </c>
      <c r="Q66" s="10">
        <v>1.5332397430432</v>
      </c>
      <c r="R66" s="10">
        <v>23.6521873113414</v>
      </c>
      <c r="S66" s="10">
        <v>0.474032369500345</v>
      </c>
      <c r="T66" s="10">
        <v>0.280873770708689</v>
      </c>
      <c r="U66" s="10">
        <v>3.27883639643703</v>
      </c>
    </row>
    <row r="67" ht="16" spans="1:21">
      <c r="A67" s="14">
        <v>2018</v>
      </c>
      <c r="B67" s="15">
        <v>520000</v>
      </c>
      <c r="C67" s="16" t="s">
        <v>47</v>
      </c>
      <c r="D67" s="10">
        <v>40270.71</v>
      </c>
      <c r="E67" s="10">
        <v>41243.5933</v>
      </c>
      <c r="F67" s="10">
        <v>1.16936338222651</v>
      </c>
      <c r="G67" s="10">
        <v>46974.0185243328</v>
      </c>
      <c r="H67" s="10">
        <v>0.495290423861852</v>
      </c>
      <c r="I67" s="10">
        <v>0.0179887493458922</v>
      </c>
      <c r="J67" s="10">
        <v>0.327508271891202</v>
      </c>
      <c r="K67" s="10">
        <v>0.00792111807310528</v>
      </c>
      <c r="L67" s="10">
        <v>7.5422134631934</v>
      </c>
      <c r="M67" s="10">
        <v>0.0327691595237475</v>
      </c>
      <c r="N67" s="10">
        <v>0.0111442565719199</v>
      </c>
      <c r="O67" s="10">
        <v>0.146968990177943</v>
      </c>
      <c r="P67" s="10">
        <v>216.912599318956</v>
      </c>
      <c r="Q67" s="10">
        <v>1.60976539092828</v>
      </c>
      <c r="R67" s="10">
        <v>23.7284708815975</v>
      </c>
      <c r="S67" s="10">
        <v>0.462769976291587</v>
      </c>
      <c r="T67" s="10">
        <v>0.271311518120001</v>
      </c>
      <c r="U67" s="10">
        <v>3.25154384520379</v>
      </c>
    </row>
    <row r="68" ht="16" spans="1:21">
      <c r="A68" s="14">
        <v>2019</v>
      </c>
      <c r="B68" s="15">
        <v>520000</v>
      </c>
      <c r="C68" s="16" t="s">
        <v>47</v>
      </c>
      <c r="D68" s="10">
        <v>43727.09</v>
      </c>
      <c r="E68" s="10">
        <v>46433</v>
      </c>
      <c r="F68" s="10">
        <v>1.08025088160627</v>
      </c>
      <c r="G68" s="10">
        <v>47076.536145842</v>
      </c>
      <c r="H68" s="10">
        <v>0.51481288981289</v>
      </c>
      <c r="I68" s="10">
        <v>0.0198998180873181</v>
      </c>
      <c r="J68" s="10">
        <v>0.352341481159023</v>
      </c>
      <c r="K68" s="10">
        <v>0.00862796121483902</v>
      </c>
      <c r="L68" s="10">
        <v>7.54327334670545</v>
      </c>
      <c r="M68" s="10">
        <v>0.0270199197342763</v>
      </c>
      <c r="N68" s="10">
        <v>0.0135473752631296</v>
      </c>
      <c r="O68" s="10">
        <v>0.235595218643593</v>
      </c>
      <c r="P68" s="10">
        <v>218.38819523269</v>
      </c>
      <c r="Q68" s="10">
        <v>1.69647689527887</v>
      </c>
      <c r="R68" s="10">
        <v>23.5608442907923</v>
      </c>
      <c r="S68" s="10">
        <v>0.445349537547781</v>
      </c>
      <c r="T68" s="10">
        <v>0.265902571961859</v>
      </c>
      <c r="U68" s="10">
        <v>3.19858683525474</v>
      </c>
    </row>
    <row r="69" ht="16" spans="1:21">
      <c r="A69" s="14">
        <v>2020</v>
      </c>
      <c r="B69" s="15">
        <v>520000</v>
      </c>
      <c r="C69" s="16" t="s">
        <v>47</v>
      </c>
      <c r="D69" s="10">
        <v>46355</v>
      </c>
      <c r="E69" s="10">
        <v>46266.7</v>
      </c>
      <c r="F69" s="10">
        <v>1.04671411303249</v>
      </c>
      <c r="G69" s="10">
        <v>48457.0573986661</v>
      </c>
      <c r="H69" s="10">
        <v>0.531622602384655</v>
      </c>
      <c r="I69" s="10">
        <v>0.0217793934681182</v>
      </c>
      <c r="J69" s="10">
        <v>0.318146290116683</v>
      </c>
      <c r="K69" s="10">
        <v>0.00905405254081655</v>
      </c>
      <c r="L69" s="10">
        <v>7.54538974961182</v>
      </c>
      <c r="M69" s="10">
        <v>0.0305506976327518</v>
      </c>
      <c r="N69" s="10">
        <v>0.0139476159548498</v>
      </c>
      <c r="O69" s="10">
        <v>0.289092388748292</v>
      </c>
      <c r="P69" s="10">
        <v>218.955732122588</v>
      </c>
      <c r="Q69" s="10">
        <v>1.80487279120288</v>
      </c>
      <c r="R69" s="10">
        <v>23.6062465912762</v>
      </c>
      <c r="S69" s="10">
        <v>0.438590401110837</v>
      </c>
      <c r="T69" s="10">
        <v>0.261259546258762</v>
      </c>
      <c r="U69" s="10">
        <v>3.10049819618622</v>
      </c>
    </row>
    <row r="70" ht="16" spans="1:21">
      <c r="A70" s="14">
        <v>2021</v>
      </c>
      <c r="B70" s="15">
        <v>520000</v>
      </c>
      <c r="C70" s="16" t="s">
        <v>47</v>
      </c>
      <c r="D70" s="10">
        <v>50476</v>
      </c>
      <c r="E70" s="10">
        <v>50808</v>
      </c>
      <c r="F70" s="10">
        <v>0.930960913391966</v>
      </c>
      <c r="G70" s="10">
        <v>47028.027075101</v>
      </c>
      <c r="H70" s="10">
        <v>0.543354101765317</v>
      </c>
      <c r="I70" s="10">
        <v>0.0228878764278297</v>
      </c>
      <c r="J70" s="10">
        <v>0.28472551982157</v>
      </c>
      <c r="K70" s="10">
        <v>0.00926842373038143</v>
      </c>
      <c r="L70" s="10">
        <v>7.5422134631934</v>
      </c>
      <c r="M70" s="10">
        <v>0.0335860210909315</v>
      </c>
      <c r="N70" s="10">
        <v>0.0148656635112495</v>
      </c>
      <c r="O70" s="10">
        <v>0.026998345204691</v>
      </c>
      <c r="P70" s="10">
        <v>218.615209988649</v>
      </c>
      <c r="Q70" s="10">
        <v>1.84131335245084</v>
      </c>
      <c r="R70" s="10">
        <v>23.7237443746477</v>
      </c>
      <c r="S70" s="10">
        <v>0.457602294101323</v>
      </c>
      <c r="T70" s="10">
        <v>0.268842568324545</v>
      </c>
      <c r="U70" s="10">
        <v>3.05001555693839</v>
      </c>
    </row>
    <row r="71" ht="16" spans="1:21">
      <c r="A71" s="14">
        <v>2022</v>
      </c>
      <c r="B71" s="15">
        <v>520000</v>
      </c>
      <c r="C71" s="16" t="s">
        <v>47</v>
      </c>
      <c r="D71" s="10">
        <v>51921</v>
      </c>
      <c r="E71" s="10">
        <v>52321</v>
      </c>
      <c r="F71" s="10">
        <v>0.859119309550689</v>
      </c>
      <c r="G71" s="10">
        <v>44583.3014311024</v>
      </c>
      <c r="H71" s="10">
        <v>0.548236514522822</v>
      </c>
      <c r="I71" s="10">
        <v>0.0232034491701245</v>
      </c>
      <c r="J71" s="10">
        <v>0.290132631031863</v>
      </c>
      <c r="K71" s="10">
        <v>0.00996181985367609</v>
      </c>
      <c r="L71" s="10">
        <v>7.53796265976821</v>
      </c>
      <c r="M71" s="10">
        <v>0.0364701280334226</v>
      </c>
      <c r="N71" s="10">
        <v>0.0195258465597889</v>
      </c>
      <c r="O71" s="10">
        <v>0.0271847739175629</v>
      </c>
      <c r="P71" s="10">
        <v>218.842224744608</v>
      </c>
      <c r="Q71" s="10">
        <v>2.01010924319354</v>
      </c>
      <c r="R71" s="10">
        <v>23.7146589792218</v>
      </c>
      <c r="S71" s="10">
        <v>0.425133930356215</v>
      </c>
      <c r="T71" s="10">
        <v>0.271723703674089</v>
      </c>
      <c r="U71" s="10">
        <v>2.99744656015175</v>
      </c>
    </row>
    <row r="72" ht="16" spans="1:21">
      <c r="A72" s="14">
        <v>2013</v>
      </c>
      <c r="B72" s="15">
        <v>460000</v>
      </c>
      <c r="C72" s="16" t="s">
        <v>48</v>
      </c>
      <c r="D72" s="10">
        <v>34053</v>
      </c>
      <c r="E72" s="10">
        <v>35663</v>
      </c>
      <c r="F72" s="10">
        <v>0.865849353316859</v>
      </c>
      <c r="G72" s="10">
        <v>29325</v>
      </c>
      <c r="H72" s="10">
        <v>0.522826086956522</v>
      </c>
      <c r="I72" s="10">
        <v>0.0187111956521739</v>
      </c>
      <c r="J72" s="10">
        <v>0.324525819185468</v>
      </c>
      <c r="K72" s="10">
        <v>0.00476130171058121</v>
      </c>
      <c r="L72" s="10">
        <v>6.19554759568345</v>
      </c>
      <c r="M72" s="10">
        <v>0.297852273821368</v>
      </c>
      <c r="N72" s="10">
        <v>0.00124201675278411</v>
      </c>
      <c r="O72" s="10">
        <v>0.0405740877435091</v>
      </c>
      <c r="P72" s="10">
        <v>262.108262108262</v>
      </c>
      <c r="Q72" s="10">
        <v>1.27672582560416</v>
      </c>
      <c r="R72" s="10">
        <v>19.8806051072308</v>
      </c>
      <c r="S72" s="10">
        <v>0.350107513078083</v>
      </c>
      <c r="T72" s="10">
        <v>0.141724702333194</v>
      </c>
      <c r="U72" s="10">
        <v>2.54612588048171</v>
      </c>
    </row>
    <row r="73" ht="16" spans="1:21">
      <c r="A73" s="14">
        <v>2014</v>
      </c>
      <c r="B73" s="15">
        <v>460000</v>
      </c>
      <c r="C73" s="16" t="s">
        <v>48</v>
      </c>
      <c r="D73" s="10">
        <v>37166</v>
      </c>
      <c r="E73" s="10">
        <v>38923.7</v>
      </c>
      <c r="F73" s="10">
        <v>0.902357204986953</v>
      </c>
      <c r="G73" s="10">
        <v>33250.3205128205</v>
      </c>
      <c r="H73" s="10">
        <v>0.533119658119658</v>
      </c>
      <c r="I73" s="10">
        <v>0.0192911324786325</v>
      </c>
      <c r="J73" s="10">
        <v>0.318857639895622</v>
      </c>
      <c r="K73" s="10">
        <v>0.00490433458973616</v>
      </c>
      <c r="L73" s="10">
        <v>6.22277466108859</v>
      </c>
      <c r="M73" s="10">
        <v>0.28252</v>
      </c>
      <c r="N73" s="10">
        <v>0.000188460423311105</v>
      </c>
      <c r="O73" s="10">
        <v>0.0404260655262395</v>
      </c>
      <c r="P73" s="10">
        <v>266.666666666667</v>
      </c>
      <c r="Q73" s="10">
        <v>1.35816758480719</v>
      </c>
      <c r="R73" s="10">
        <v>20.236298436464</v>
      </c>
      <c r="S73" s="10">
        <v>0.355030443606843</v>
      </c>
      <c r="T73" s="10">
        <v>0.14088141490287</v>
      </c>
      <c r="U73" s="10">
        <v>2.47019065873096</v>
      </c>
    </row>
    <row r="74" ht="16" spans="1:21">
      <c r="A74" s="14">
        <v>2015</v>
      </c>
      <c r="B74" s="15">
        <v>460000</v>
      </c>
      <c r="C74" s="16" t="s">
        <v>48</v>
      </c>
      <c r="D74" s="10">
        <v>39704</v>
      </c>
      <c r="E74" s="10">
        <v>40818</v>
      </c>
      <c r="F74" s="10">
        <v>0.924219377644475</v>
      </c>
      <c r="G74" s="10">
        <v>36520.8465608466</v>
      </c>
      <c r="H74" s="10">
        <v>0.549206349206349</v>
      </c>
      <c r="I74" s="10">
        <v>0.0193591534391534</v>
      </c>
      <c r="J74" s="10">
        <v>0.331854212414975</v>
      </c>
      <c r="K74" s="10">
        <v>0.00454407905307696</v>
      </c>
      <c r="L74" s="10">
        <v>6.23589981255648</v>
      </c>
      <c r="M74" s="10">
        <v>0.232959790584329</v>
      </c>
      <c r="N74" s="10">
        <v>0.000586470997804081</v>
      </c>
      <c r="O74" s="10">
        <v>0.0492532537089604</v>
      </c>
      <c r="P74" s="10">
        <v>269.230769230769</v>
      </c>
      <c r="Q74" s="10">
        <v>1.52245193080178</v>
      </c>
      <c r="R74" s="10">
        <v>20.2101522978971</v>
      </c>
      <c r="S74" s="10">
        <v>0.377430239408709</v>
      </c>
      <c r="T74" s="10">
        <v>0.131996143752343</v>
      </c>
      <c r="U74" s="10">
        <v>2.42733468410389</v>
      </c>
    </row>
    <row r="75" ht="16" spans="1:21">
      <c r="A75" s="14">
        <v>2016</v>
      </c>
      <c r="B75" s="15">
        <v>460000</v>
      </c>
      <c r="C75" s="16" t="s">
        <v>48</v>
      </c>
      <c r="D75" s="10">
        <v>43009</v>
      </c>
      <c r="E75" s="10">
        <v>44347</v>
      </c>
      <c r="F75" s="10">
        <v>0.951163757273483</v>
      </c>
      <c r="G75" s="10">
        <v>40652.5600835946</v>
      </c>
      <c r="H75" s="10">
        <v>0.567398119122257</v>
      </c>
      <c r="I75" s="10">
        <v>0.0193181818181818</v>
      </c>
      <c r="J75" s="10">
        <v>0.336467654393428</v>
      </c>
      <c r="K75" s="10">
        <v>0.00530767444134761</v>
      </c>
      <c r="L75" s="10">
        <v>6.24054871242255</v>
      </c>
      <c r="M75" s="10">
        <v>0.184293376851988</v>
      </c>
      <c r="N75" s="10">
        <v>0.000841034668231382</v>
      </c>
      <c r="O75" s="10">
        <v>0.0349232800352061</v>
      </c>
      <c r="P75" s="10">
        <v>272.649572649573</v>
      </c>
      <c r="Q75" s="10">
        <v>1.60614884357733</v>
      </c>
      <c r="R75" s="10">
        <v>20.2366843922314</v>
      </c>
      <c r="S75" s="10">
        <v>0.37829445992861</v>
      </c>
      <c r="T75" s="10">
        <v>0.117964891692338</v>
      </c>
      <c r="U75" s="10">
        <v>2.40251625432745</v>
      </c>
    </row>
    <row r="76" ht="16" spans="1:21">
      <c r="A76" s="14">
        <v>2017</v>
      </c>
      <c r="B76" s="15">
        <v>460000</v>
      </c>
      <c r="C76" s="16" t="s">
        <v>48</v>
      </c>
      <c r="D76" s="10">
        <v>46631</v>
      </c>
      <c r="E76" s="10">
        <v>48430</v>
      </c>
      <c r="F76" s="10">
        <v>0.943724291272929</v>
      </c>
      <c r="G76" s="10">
        <v>43666.6666666667</v>
      </c>
      <c r="H76" s="10">
        <v>0.580246913580247</v>
      </c>
      <c r="I76" s="10">
        <v>0.0190882716049383</v>
      </c>
      <c r="J76" s="10">
        <v>0.320991662034464</v>
      </c>
      <c r="K76" s="10">
        <v>0.00513838799332963</v>
      </c>
      <c r="L76" s="10">
        <v>6.26505403390257</v>
      </c>
      <c r="M76" s="10">
        <v>0.155738843802112</v>
      </c>
      <c r="N76" s="10">
        <v>0.000913841022790439</v>
      </c>
      <c r="O76" s="10">
        <v>0.0600928293496387</v>
      </c>
      <c r="P76" s="10">
        <v>276.923076923077</v>
      </c>
      <c r="Q76" s="10">
        <v>1.64014452473596</v>
      </c>
      <c r="R76" s="10">
        <v>20.3003743088467</v>
      </c>
      <c r="S76" s="10">
        <v>0.384524735964425</v>
      </c>
      <c r="T76" s="10">
        <v>0.117465258476932</v>
      </c>
      <c r="U76" s="10">
        <v>2.38854441171911</v>
      </c>
    </row>
    <row r="77" ht="16" spans="1:21">
      <c r="A77" s="14">
        <v>2018</v>
      </c>
      <c r="B77" s="15">
        <v>460000</v>
      </c>
      <c r="C77" s="16" t="s">
        <v>48</v>
      </c>
      <c r="D77" s="10">
        <v>50263</v>
      </c>
      <c r="E77" s="10">
        <v>51955.2922</v>
      </c>
      <c r="F77" s="10">
        <v>0.756277109169772</v>
      </c>
      <c r="G77" s="10">
        <v>37819.2464358452</v>
      </c>
      <c r="H77" s="10">
        <v>0.591649694501018</v>
      </c>
      <c r="I77" s="10">
        <v>0.0192646639511202</v>
      </c>
      <c r="J77" s="10">
        <v>0.344372492719979</v>
      </c>
      <c r="K77" s="10">
        <v>0.00547219337365345</v>
      </c>
      <c r="L77" s="10">
        <v>6.2832008898878</v>
      </c>
      <c r="M77" s="10">
        <v>0.171590325208219</v>
      </c>
      <c r="N77" s="10">
        <v>0.00141324047488138</v>
      </c>
      <c r="O77" s="10">
        <v>0.12036595597369</v>
      </c>
      <c r="P77" s="10">
        <v>279.77207977208</v>
      </c>
      <c r="Q77" s="10">
        <v>1.60274502616735</v>
      </c>
      <c r="R77" s="10">
        <v>20.4643750393044</v>
      </c>
      <c r="S77" s="10">
        <v>0.377278188445639</v>
      </c>
      <c r="T77" s="10">
        <v>0.118516708412243</v>
      </c>
      <c r="U77" s="10">
        <v>2.38394452784331</v>
      </c>
    </row>
    <row r="78" ht="16" spans="1:21">
      <c r="A78" s="14">
        <v>2019</v>
      </c>
      <c r="B78" s="15">
        <v>460000</v>
      </c>
      <c r="C78" s="16" t="s">
        <v>48</v>
      </c>
      <c r="D78" s="10">
        <v>53929</v>
      </c>
      <c r="E78" s="10">
        <v>56506.83</v>
      </c>
      <c r="F78" s="10">
        <v>0.632583439633826</v>
      </c>
      <c r="G78" s="10">
        <v>33891.2140703518</v>
      </c>
      <c r="H78" s="10">
        <v>0.593969849246231</v>
      </c>
      <c r="I78" s="10">
        <v>0.0208466331658291</v>
      </c>
      <c r="J78" s="10">
        <v>0.34725932317851</v>
      </c>
      <c r="K78" s="10">
        <v>0.0056107113378855</v>
      </c>
      <c r="L78" s="10">
        <v>6.28433936389586</v>
      </c>
      <c r="M78" s="10">
        <v>0.17020753357845</v>
      </c>
      <c r="N78" s="10">
        <v>0.00170893674495385</v>
      </c>
      <c r="O78" s="10">
        <v>0.168709743378105</v>
      </c>
      <c r="P78" s="10">
        <v>283.475783475783</v>
      </c>
      <c r="Q78" s="10">
        <v>1.6125853530427</v>
      </c>
      <c r="R78" s="10">
        <v>20.3712711493299</v>
      </c>
      <c r="S78" s="10">
        <v>0.366005102423651</v>
      </c>
      <c r="T78" s="10">
        <v>0.112159525774743</v>
      </c>
      <c r="U78" s="10">
        <v>2.38318004367101</v>
      </c>
    </row>
    <row r="79" ht="16" spans="1:21">
      <c r="A79" s="14">
        <v>2020</v>
      </c>
      <c r="B79" s="15">
        <v>460000</v>
      </c>
      <c r="C79" s="16" t="s">
        <v>48</v>
      </c>
      <c r="D79" s="10">
        <v>55438</v>
      </c>
      <c r="E79" s="10">
        <v>55130.94</v>
      </c>
      <c r="F79" s="10">
        <v>0.654297341813086</v>
      </c>
      <c r="G79" s="10">
        <v>35987.6468774704</v>
      </c>
      <c r="H79" s="10">
        <v>0.602766798418972</v>
      </c>
      <c r="I79" s="10">
        <v>0.0227333992094862</v>
      </c>
      <c r="J79" s="10">
        <v>0.352454097948331</v>
      </c>
      <c r="K79" s="10">
        <v>0.00657992885631131</v>
      </c>
      <c r="L79" s="10">
        <v>6.29336382444385</v>
      </c>
      <c r="M79" s="10">
        <v>0.168367155330387</v>
      </c>
      <c r="N79" s="10">
        <v>0.00362725018863857</v>
      </c>
      <c r="O79" s="10">
        <v>0.211630519923826</v>
      </c>
      <c r="P79" s="10">
        <v>288.319088319088</v>
      </c>
      <c r="Q79" s="10">
        <v>1.65825518306924</v>
      </c>
      <c r="R79" s="10">
        <v>20.5371572507922</v>
      </c>
      <c r="S79" s="10">
        <v>0.354748302252883</v>
      </c>
      <c r="T79" s="10">
        <v>0.100140131508031</v>
      </c>
      <c r="U79" s="10">
        <v>2.27882548068063</v>
      </c>
    </row>
    <row r="80" ht="16" spans="1:21">
      <c r="A80" s="14">
        <v>2021</v>
      </c>
      <c r="B80" s="15">
        <v>460000</v>
      </c>
      <c r="C80" s="16" t="s">
        <v>48</v>
      </c>
      <c r="D80" s="10">
        <v>63991</v>
      </c>
      <c r="E80" s="10">
        <v>63707</v>
      </c>
      <c r="F80" s="10">
        <v>0.617061353627404</v>
      </c>
      <c r="G80" s="10">
        <v>39347.3406875294</v>
      </c>
      <c r="H80" s="10">
        <v>0.609803921568628</v>
      </c>
      <c r="I80" s="10">
        <v>0.0240322549019608</v>
      </c>
      <c r="J80" s="10">
        <v>0.301236143355729</v>
      </c>
      <c r="K80" s="10">
        <v>0.00722375117233745</v>
      </c>
      <c r="L80" s="10">
        <v>6.29935357686825</v>
      </c>
      <c r="M80" s="10">
        <v>0.225660152826679</v>
      </c>
      <c r="N80" s="10">
        <v>0.00436896726680094</v>
      </c>
      <c r="O80" s="10">
        <v>0.0256361372057625</v>
      </c>
      <c r="P80" s="10">
        <v>290.598290598291</v>
      </c>
      <c r="Q80" s="10">
        <v>1.52611583462739</v>
      </c>
      <c r="R80" s="10">
        <v>20.8620869769057</v>
      </c>
      <c r="S80" s="10">
        <v>0.384003935978844</v>
      </c>
      <c r="T80" s="10">
        <v>0.106563552220907</v>
      </c>
      <c r="U80" s="10">
        <v>2.22466253595928</v>
      </c>
    </row>
    <row r="81" ht="16" spans="1:21">
      <c r="A81" s="14">
        <v>2022</v>
      </c>
      <c r="B81" s="15">
        <v>460000</v>
      </c>
      <c r="C81" s="16" t="s">
        <v>48</v>
      </c>
      <c r="D81" s="10">
        <v>67314</v>
      </c>
      <c r="E81" s="10">
        <v>66602</v>
      </c>
      <c r="F81" s="10">
        <v>0.558067920143785</v>
      </c>
      <c r="G81" s="10">
        <v>37437.8261209603</v>
      </c>
      <c r="H81" s="10">
        <v>0.614410905550146</v>
      </c>
      <c r="I81" s="10">
        <v>0.0251359298928919</v>
      </c>
      <c r="J81" s="10">
        <v>0.302644565722248</v>
      </c>
      <c r="K81" s="10">
        <v>0.00992307245703669</v>
      </c>
      <c r="L81" s="10">
        <v>6.27562793624814</v>
      </c>
      <c r="M81" s="10">
        <v>0.293075824431026</v>
      </c>
      <c r="N81" s="10">
        <v>0.00457936600092894</v>
      </c>
      <c r="O81" s="10">
        <v>0.025087363562471</v>
      </c>
      <c r="P81" s="10">
        <v>292.592592592593</v>
      </c>
      <c r="Q81" s="10">
        <v>1.52493323269856</v>
      </c>
      <c r="R81" s="10">
        <v>20.9471305753427</v>
      </c>
      <c r="S81" s="10">
        <v>0.329249883882954</v>
      </c>
      <c r="T81" s="10">
        <v>0.109716093822573</v>
      </c>
      <c r="U81" s="10">
        <v>2.09855102788094</v>
      </c>
    </row>
    <row r="82" ht="16" spans="1:21">
      <c r="A82" s="14">
        <v>2013</v>
      </c>
      <c r="B82" s="15">
        <v>130000</v>
      </c>
      <c r="C82" s="16" t="s">
        <v>49</v>
      </c>
      <c r="D82" s="10">
        <v>33346</v>
      </c>
      <c r="E82" s="10">
        <v>38909</v>
      </c>
      <c r="F82" s="10">
        <v>0.956083364935943</v>
      </c>
      <c r="G82" s="10">
        <v>31825.1920965971</v>
      </c>
      <c r="H82" s="10">
        <v>0.480241492864984</v>
      </c>
      <c r="I82" s="10">
        <v>0.0161138035126235</v>
      </c>
      <c r="J82" s="10">
        <v>0.181617998647958</v>
      </c>
      <c r="K82" s="10">
        <v>0.0116460201322363</v>
      </c>
      <c r="L82" s="10">
        <v>8.3020178097512</v>
      </c>
      <c r="M82" s="10">
        <v>0.140182995597619</v>
      </c>
      <c r="N82" s="10">
        <v>0.0013009282923049</v>
      </c>
      <c r="O82" s="10">
        <v>0.030038619762898</v>
      </c>
      <c r="P82" s="10">
        <v>386.016949152542</v>
      </c>
      <c r="Q82" s="10">
        <v>0.987897574568418</v>
      </c>
      <c r="R82" s="10">
        <v>24.2657019374906</v>
      </c>
      <c r="S82" s="10">
        <v>0.433506735477914</v>
      </c>
      <c r="T82" s="10">
        <v>0.405921779419281</v>
      </c>
      <c r="U82" s="10">
        <v>2.41913365259033</v>
      </c>
    </row>
    <row r="83" ht="16" spans="1:21">
      <c r="A83" s="14">
        <v>2014</v>
      </c>
      <c r="B83" s="15">
        <v>130000</v>
      </c>
      <c r="C83" s="16" t="s">
        <v>49</v>
      </c>
      <c r="D83" s="10">
        <v>34507</v>
      </c>
      <c r="E83" s="10">
        <v>39984</v>
      </c>
      <c r="F83" s="10">
        <v>1.0580358524172</v>
      </c>
      <c r="G83" s="10">
        <v>36422.1220811143</v>
      </c>
      <c r="H83" s="10">
        <v>0.493650143383859</v>
      </c>
      <c r="I83" s="10">
        <v>0.01589978151031</v>
      </c>
      <c r="J83" s="10">
        <v>0.185302016351368</v>
      </c>
      <c r="K83" s="10">
        <v>0.012465468148154</v>
      </c>
      <c r="L83" s="10">
        <v>8.28853445941392</v>
      </c>
      <c r="M83" s="10">
        <v>0.145906659949462</v>
      </c>
      <c r="N83" s="10">
        <v>0.00115911443974152</v>
      </c>
      <c r="O83" s="10">
        <v>0.0327473789018958</v>
      </c>
      <c r="P83" s="10">
        <v>387.870762711864</v>
      </c>
      <c r="Q83" s="10">
        <v>1.09460547663722</v>
      </c>
      <c r="R83" s="10">
        <v>24.3508634132985</v>
      </c>
      <c r="S83" s="10">
        <v>0.468901856090508</v>
      </c>
      <c r="T83" s="10">
        <v>0.398918635878598</v>
      </c>
      <c r="U83" s="10">
        <v>2.37001767131357</v>
      </c>
    </row>
    <row r="84" ht="16" spans="1:21">
      <c r="A84" s="14">
        <v>2015</v>
      </c>
      <c r="B84" s="15">
        <v>130000</v>
      </c>
      <c r="C84" s="16" t="s">
        <v>49</v>
      </c>
      <c r="D84" s="10">
        <v>35994</v>
      </c>
      <c r="E84" s="10">
        <v>40255</v>
      </c>
      <c r="F84" s="10">
        <v>1.11553238075035</v>
      </c>
      <c r="G84" s="10">
        <v>40092.9475833901</v>
      </c>
      <c r="H84" s="10">
        <v>0.516678012253234</v>
      </c>
      <c r="I84" s="10">
        <v>0.0160540776038121</v>
      </c>
      <c r="J84" s="10">
        <v>0.213104960906722</v>
      </c>
      <c r="K84" s="10">
        <v>0.0133396111127947</v>
      </c>
      <c r="L84" s="10">
        <v>8.27563105457801</v>
      </c>
      <c r="M84" s="10">
        <v>0.121540786562822</v>
      </c>
      <c r="N84" s="10">
        <v>0.00149781804957876</v>
      </c>
      <c r="O84" s="10">
        <v>0.0378028478998727</v>
      </c>
      <c r="P84" s="10">
        <v>389.036016949153</v>
      </c>
      <c r="Q84" s="10">
        <v>1.21792987453785</v>
      </c>
      <c r="R84" s="10">
        <v>24.3218354785356</v>
      </c>
      <c r="S84" s="10">
        <v>0.354851051578884</v>
      </c>
      <c r="T84" s="10">
        <v>0.379810897630159</v>
      </c>
      <c r="U84" s="10">
        <v>2.36648267125147</v>
      </c>
    </row>
    <row r="85" ht="16" spans="1:21">
      <c r="A85" s="14">
        <v>2016</v>
      </c>
      <c r="B85" s="15">
        <v>130000</v>
      </c>
      <c r="C85" s="16" t="s">
        <v>49</v>
      </c>
      <c r="D85" s="10">
        <v>38688</v>
      </c>
      <c r="E85" s="10">
        <v>43062</v>
      </c>
      <c r="F85" s="10">
        <v>1.1150491148096</v>
      </c>
      <c r="G85" s="10">
        <v>43050.8745762712</v>
      </c>
      <c r="H85" s="10">
        <v>0.53871186440678</v>
      </c>
      <c r="I85" s="10">
        <v>0.0164894372881356</v>
      </c>
      <c r="J85" s="10">
        <v>0.21214507218841</v>
      </c>
      <c r="K85" s="10">
        <v>0.0134658296486983</v>
      </c>
      <c r="L85" s="10">
        <v>8.26126815057765</v>
      </c>
      <c r="M85" s="10">
        <v>0.108882064753583</v>
      </c>
      <c r="N85" s="10">
        <v>0.00207205846716841</v>
      </c>
      <c r="O85" s="10">
        <v>0.0287977354859328</v>
      </c>
      <c r="P85" s="10">
        <v>390.625</v>
      </c>
      <c r="Q85" s="10">
        <v>1.31179563181979</v>
      </c>
      <c r="R85" s="10">
        <v>24.4041365708522</v>
      </c>
      <c r="S85" s="10">
        <v>0.357918248513561</v>
      </c>
      <c r="T85" s="10">
        <v>0.377743282491808</v>
      </c>
      <c r="U85" s="10">
        <v>2.37008138266633</v>
      </c>
    </row>
    <row r="86" ht="16" spans="1:21">
      <c r="A86" s="14">
        <v>2017</v>
      </c>
      <c r="B86" s="15">
        <v>130000</v>
      </c>
      <c r="C86" s="16" t="s">
        <v>49</v>
      </c>
      <c r="D86" s="10">
        <v>41451</v>
      </c>
      <c r="E86" s="10">
        <v>45387</v>
      </c>
      <c r="F86" s="10">
        <v>1.09027179447012</v>
      </c>
      <c r="G86" s="10">
        <v>45089.4857605615</v>
      </c>
      <c r="H86" s="10">
        <v>0.557430152517209</v>
      </c>
      <c r="I86" s="10">
        <v>0.0171261033877716</v>
      </c>
      <c r="J86" s="10">
        <v>0.216398070546461</v>
      </c>
      <c r="K86" s="10">
        <v>0.0147525906634292</v>
      </c>
      <c r="L86" s="10">
        <v>8.24143968982973</v>
      </c>
      <c r="M86" s="10">
        <v>0.109858313098875</v>
      </c>
      <c r="N86" s="10">
        <v>0.00290201300227148</v>
      </c>
      <c r="O86" s="10">
        <v>0.0445559123782669</v>
      </c>
      <c r="P86" s="10">
        <v>392.425847457627</v>
      </c>
      <c r="Q86" s="10">
        <v>1.3998067935563</v>
      </c>
      <c r="R86" s="10">
        <v>24.5044899376053</v>
      </c>
      <c r="S86" s="10">
        <v>0.363518576538472</v>
      </c>
      <c r="T86" s="10">
        <v>0.359510848280724</v>
      </c>
      <c r="U86" s="10">
        <v>2.37155500349352</v>
      </c>
    </row>
    <row r="87" ht="16" spans="1:21">
      <c r="A87" s="14">
        <v>2018</v>
      </c>
      <c r="B87" s="15">
        <v>130000</v>
      </c>
      <c r="C87" s="16" t="s">
        <v>49</v>
      </c>
      <c r="D87" s="10">
        <v>43808</v>
      </c>
      <c r="E87" s="10">
        <v>47772.2207</v>
      </c>
      <c r="F87" s="10">
        <v>1.08975669803598</v>
      </c>
      <c r="G87" s="10">
        <v>47685.4403447347</v>
      </c>
      <c r="H87" s="10">
        <v>0.573256127120926</v>
      </c>
      <c r="I87" s="10">
        <v>0.0180801373552384</v>
      </c>
      <c r="J87" s="10">
        <v>0.237448991524746</v>
      </c>
      <c r="K87" s="10">
        <v>0.0153792174699796</v>
      </c>
      <c r="L87" s="10">
        <v>8.22657347497711</v>
      </c>
      <c r="M87" s="10">
        <v>0.109767050525318</v>
      </c>
      <c r="N87" s="10">
        <v>0.00849310346949955</v>
      </c>
      <c r="O87" s="10">
        <v>0.0975622380333963</v>
      </c>
      <c r="P87" s="10">
        <v>393.326271186441</v>
      </c>
      <c r="Q87" s="10">
        <v>1.46929335951204</v>
      </c>
      <c r="R87" s="10">
        <v>24.598254839264</v>
      </c>
      <c r="S87" s="10">
        <v>0.368488918158709</v>
      </c>
      <c r="T87" s="10">
        <v>0.336372812713497</v>
      </c>
      <c r="U87" s="10">
        <v>2.35029577364407</v>
      </c>
    </row>
    <row r="88" ht="16" spans="1:21">
      <c r="A88" s="14">
        <v>2019</v>
      </c>
      <c r="B88" s="15">
        <v>130000</v>
      </c>
      <c r="C88" s="16" t="s">
        <v>49</v>
      </c>
      <c r="D88" s="10">
        <v>47036.31</v>
      </c>
      <c r="E88" s="10">
        <v>46347.89</v>
      </c>
      <c r="F88" s="10">
        <v>1.07817169698044</v>
      </c>
      <c r="G88" s="10">
        <v>50641.783966698</v>
      </c>
      <c r="H88" s="10">
        <v>0.587753457768229</v>
      </c>
      <c r="I88" s="10">
        <v>0.0197928158990197</v>
      </c>
      <c r="J88" s="10">
        <v>0.235931969832984</v>
      </c>
      <c r="K88" s="10">
        <v>0.0162021327325851</v>
      </c>
      <c r="L88" s="10">
        <v>8.21662849313344</v>
      </c>
      <c r="M88" s="10">
        <v>0.114473300818215</v>
      </c>
      <c r="N88" s="10">
        <v>0.0108978060871504</v>
      </c>
      <c r="O88" s="10">
        <v>0.151501829690153</v>
      </c>
      <c r="P88" s="10">
        <v>394.438559322034</v>
      </c>
      <c r="Q88" s="10">
        <v>1.5377550845374</v>
      </c>
      <c r="R88" s="10">
        <v>24.5894028690923</v>
      </c>
      <c r="S88" s="10">
        <v>0.371241273235635</v>
      </c>
      <c r="T88" s="10">
        <v>0.323351992361044</v>
      </c>
      <c r="U88" s="10">
        <v>2.32472516750146</v>
      </c>
    </row>
    <row r="89" ht="16" spans="1:21">
      <c r="A89" s="14">
        <v>2020</v>
      </c>
      <c r="B89" s="15">
        <v>130000</v>
      </c>
      <c r="C89" s="16" t="s">
        <v>49</v>
      </c>
      <c r="D89" s="10">
        <v>48302</v>
      </c>
      <c r="E89" s="10">
        <v>48564</v>
      </c>
      <c r="F89" s="10">
        <v>1.08068991577229</v>
      </c>
      <c r="G89" s="10">
        <v>52143.2884360129</v>
      </c>
      <c r="H89" s="10">
        <v>0.60075026795284</v>
      </c>
      <c r="I89" s="10">
        <v>0.00766548767416935</v>
      </c>
      <c r="J89" s="10">
        <v>0.248778246116766</v>
      </c>
      <c r="K89" s="10">
        <v>0.0176147023363266</v>
      </c>
      <c r="L89" s="10">
        <v>8.20821938349683</v>
      </c>
      <c r="M89" s="10">
        <v>0.12347761969023</v>
      </c>
      <c r="N89" s="10">
        <v>0.0154096485236215</v>
      </c>
      <c r="O89" s="10">
        <v>0.189522077648013</v>
      </c>
      <c r="P89" s="10">
        <v>395.338983050848</v>
      </c>
      <c r="Q89" s="10">
        <v>1.69360689513464</v>
      </c>
      <c r="R89" s="10">
        <v>24.647931961269</v>
      </c>
      <c r="S89" s="10">
        <v>0.352781433783716</v>
      </c>
      <c r="T89" s="10">
        <v>0.323878624305127</v>
      </c>
      <c r="U89" s="10">
        <v>2.26428614805368</v>
      </c>
    </row>
    <row r="90" ht="16" spans="1:21">
      <c r="A90" s="14">
        <v>2021</v>
      </c>
      <c r="B90" s="15">
        <v>130000</v>
      </c>
      <c r="C90" s="16" t="s">
        <v>49</v>
      </c>
      <c r="D90" s="10">
        <v>54181</v>
      </c>
      <c r="E90" s="10">
        <v>54172</v>
      </c>
      <c r="F90" s="10">
        <v>0.992332197194828</v>
      </c>
      <c r="G90" s="10">
        <v>53822.9632160301</v>
      </c>
      <c r="H90" s="10">
        <v>0.611439312567132</v>
      </c>
      <c r="I90" s="10">
        <v>0.0228830558539205</v>
      </c>
      <c r="J90" s="10">
        <v>0.21733936346916</v>
      </c>
      <c r="K90" s="10">
        <v>0.0184541375494776</v>
      </c>
      <c r="L90" s="10">
        <v>8.20056279700856</v>
      </c>
      <c r="M90" s="10">
        <v>0.133910174245181</v>
      </c>
      <c r="N90" s="10">
        <v>0.0184992982169512</v>
      </c>
      <c r="O90" s="10">
        <v>0.031802530379656</v>
      </c>
      <c r="P90" s="10">
        <v>394.491525423729</v>
      </c>
      <c r="Q90" s="10">
        <v>1.68236729864272</v>
      </c>
      <c r="R90" s="10">
        <v>24.7143672950267</v>
      </c>
      <c r="S90" s="10">
        <v>0.334427471278879</v>
      </c>
      <c r="T90" s="10">
        <v>0.349834517824299</v>
      </c>
      <c r="U90" s="10">
        <v>2.18884427086198</v>
      </c>
    </row>
    <row r="91" ht="16" spans="1:21">
      <c r="A91" s="14">
        <v>2022</v>
      </c>
      <c r="B91" s="15">
        <v>130000</v>
      </c>
      <c r="C91" s="16" t="s">
        <v>49</v>
      </c>
      <c r="D91" s="10">
        <v>56481</v>
      </c>
      <c r="E91" s="10">
        <v>56995</v>
      </c>
      <c r="F91" s="10">
        <v>1.03015726161188</v>
      </c>
      <c r="G91" s="10">
        <v>58294.1281678704</v>
      </c>
      <c r="H91" s="10">
        <v>0.616576819407008</v>
      </c>
      <c r="I91" s="10">
        <v>0.023904218328841</v>
      </c>
      <c r="J91" s="10">
        <v>0.219915928360484</v>
      </c>
      <c r="K91" s="10">
        <v>0.0202178720110508</v>
      </c>
      <c r="L91" s="10">
        <v>8.18311807939475</v>
      </c>
      <c r="M91" s="10">
        <v>0.131981370867867</v>
      </c>
      <c r="N91" s="10">
        <v>0.0239075450128608</v>
      </c>
      <c r="O91" s="10">
        <v>0.0306613484805182</v>
      </c>
      <c r="P91" s="10">
        <v>393.008474576271</v>
      </c>
      <c r="Q91" s="10">
        <v>1.81698723444794</v>
      </c>
      <c r="R91" s="10">
        <v>24.6061677170729</v>
      </c>
      <c r="S91" s="10">
        <v>0.326762408307135</v>
      </c>
      <c r="T91" s="10">
        <v>0.330196722873202</v>
      </c>
      <c r="U91" s="10">
        <v>2.13168766783722</v>
      </c>
    </row>
    <row r="92" ht="16" spans="1:21">
      <c r="A92" s="14">
        <v>2013</v>
      </c>
      <c r="B92" s="15">
        <v>410000</v>
      </c>
      <c r="C92" s="16" t="s">
        <v>50</v>
      </c>
      <c r="D92" s="10">
        <v>33114</v>
      </c>
      <c r="E92" s="10">
        <v>34211.4883</v>
      </c>
      <c r="F92" s="10">
        <v>0.82470560341421</v>
      </c>
      <c r="G92" s="10">
        <v>27251.1229499634</v>
      </c>
      <c r="H92" s="10">
        <v>0.436017967199415</v>
      </c>
      <c r="I92" s="10">
        <v>0.0169050454403008</v>
      </c>
      <c r="J92" s="10">
        <v>0.176426776258595</v>
      </c>
      <c r="K92" s="10">
        <v>0.0112336549434917</v>
      </c>
      <c r="L92" s="10">
        <v>8.5358186555394</v>
      </c>
      <c r="M92" s="10">
        <v>0.117387139808741</v>
      </c>
      <c r="N92" s="10">
        <v>0.00127210938117443</v>
      </c>
      <c r="O92" s="10">
        <v>0.0264864364182407</v>
      </c>
      <c r="P92" s="10">
        <v>573.233532934132</v>
      </c>
      <c r="Q92" s="10">
        <v>0.743267525488027</v>
      </c>
      <c r="R92" s="10">
        <v>24.5556938575732</v>
      </c>
      <c r="S92" s="10">
        <v>0.392842804078084</v>
      </c>
      <c r="T92" s="10">
        <v>0.424926894807556</v>
      </c>
      <c r="U92" s="10">
        <v>2.42401605530159</v>
      </c>
    </row>
    <row r="93" ht="16" spans="1:21">
      <c r="A93" s="14">
        <v>2014</v>
      </c>
      <c r="B93" s="15">
        <v>410000</v>
      </c>
      <c r="C93" s="16" t="s">
        <v>50</v>
      </c>
      <c r="D93" s="10">
        <v>35982</v>
      </c>
      <c r="E93" s="10">
        <v>37071.7173</v>
      </c>
      <c r="F93" s="10">
        <v>0.890306523826602</v>
      </c>
      <c r="G93" s="10">
        <v>31915.1581130119</v>
      </c>
      <c r="H93" s="10">
        <v>0.450492483151892</v>
      </c>
      <c r="I93" s="10">
        <v>0.0174156972524624</v>
      </c>
      <c r="J93" s="10">
        <v>0.17429168064602</v>
      </c>
      <c r="K93" s="10">
        <v>0.0115694051737103</v>
      </c>
      <c r="L93" s="10">
        <v>8.53346016388011</v>
      </c>
      <c r="M93" s="10">
        <v>0.115434157247475</v>
      </c>
      <c r="N93" s="10">
        <v>0.00117976098198688</v>
      </c>
      <c r="O93" s="10">
        <v>0.0292425639483092</v>
      </c>
      <c r="P93" s="10">
        <v>577.544910179641</v>
      </c>
      <c r="Q93" s="10">
        <v>0.787517787521547</v>
      </c>
      <c r="R93" s="10">
        <v>24.638713680057</v>
      </c>
      <c r="S93" s="10">
        <v>0.405063803695177</v>
      </c>
      <c r="T93" s="10">
        <v>0.411551187570138</v>
      </c>
      <c r="U93" s="10">
        <v>2.37527593818985</v>
      </c>
    </row>
    <row r="94" ht="16" spans="1:21">
      <c r="A94" s="14">
        <v>2015</v>
      </c>
      <c r="B94" s="15">
        <v>410000</v>
      </c>
      <c r="C94" s="16" t="s">
        <v>50</v>
      </c>
      <c r="D94" s="10">
        <v>38338</v>
      </c>
      <c r="E94" s="10">
        <v>39122.61</v>
      </c>
      <c r="F94" s="10">
        <v>0.961607535304888</v>
      </c>
      <c r="G94" s="10">
        <v>36759.4577878569</v>
      </c>
      <c r="H94" s="10">
        <v>0.470157715699412</v>
      </c>
      <c r="I94" s="10">
        <v>0.0182132666735388</v>
      </c>
      <c r="J94" s="10">
        <v>0.183243492494088</v>
      </c>
      <c r="K94" s="10">
        <v>0.0117312532864489</v>
      </c>
      <c r="L94" s="10">
        <v>8.53208180390999</v>
      </c>
      <c r="M94" s="10">
        <v>0.123916948233879</v>
      </c>
      <c r="N94" s="10">
        <v>0.00121453668823027</v>
      </c>
      <c r="O94" s="10">
        <v>0.0358144218142007</v>
      </c>
      <c r="P94" s="10">
        <v>580.898203592814</v>
      </c>
      <c r="Q94" s="10">
        <v>0.847603689991128</v>
      </c>
      <c r="R94" s="10">
        <v>24.6012641035806</v>
      </c>
      <c r="S94" s="10">
        <v>0.417316316157059</v>
      </c>
      <c r="T94" s="10">
        <v>0.399028154923539</v>
      </c>
      <c r="U94" s="10">
        <v>2.35658343315212</v>
      </c>
    </row>
    <row r="95" ht="16" spans="1:21">
      <c r="A95" s="14">
        <v>2016</v>
      </c>
      <c r="B95" s="15">
        <v>410000</v>
      </c>
      <c r="C95" s="16" t="s">
        <v>50</v>
      </c>
      <c r="D95" s="10">
        <v>41326</v>
      </c>
      <c r="E95" s="10">
        <v>42575</v>
      </c>
      <c r="F95" s="10">
        <v>1.00411907784732</v>
      </c>
      <c r="G95" s="10">
        <v>41332.675393741</v>
      </c>
      <c r="H95" s="10">
        <v>0.487829822049499</v>
      </c>
      <c r="I95" s="10">
        <v>0.0191731642462671</v>
      </c>
      <c r="J95" s="10">
        <v>0.18506632413483</v>
      </c>
      <c r="K95" s="10">
        <v>0.012278175521065</v>
      </c>
      <c r="L95" s="10">
        <v>8.52753948347038</v>
      </c>
      <c r="M95" s="10">
        <v>0.117522235169307</v>
      </c>
      <c r="N95" s="10">
        <v>0.00145865890835369</v>
      </c>
      <c r="O95" s="10">
        <v>0.0246188927509298</v>
      </c>
      <c r="P95" s="10">
        <v>585.508982035928</v>
      </c>
      <c r="Q95" s="10">
        <v>0.906877138235944</v>
      </c>
      <c r="R95" s="10">
        <v>24.732707948956</v>
      </c>
      <c r="S95" s="10">
        <v>0.429187588355574</v>
      </c>
      <c r="T95" s="10">
        <v>0.386014166706005</v>
      </c>
      <c r="U95" s="10">
        <v>2.32820381294349</v>
      </c>
    </row>
    <row r="96" ht="16" spans="1:21">
      <c r="A96" s="14">
        <v>2017</v>
      </c>
      <c r="B96" s="15">
        <v>410000</v>
      </c>
      <c r="C96" s="16" t="s">
        <v>50</v>
      </c>
      <c r="D96" s="10">
        <v>45723</v>
      </c>
      <c r="E96" s="10">
        <v>46674</v>
      </c>
      <c r="F96" s="10">
        <v>0.992683307715131</v>
      </c>
      <c r="G96" s="10">
        <v>45271.0652151796</v>
      </c>
      <c r="H96" s="10">
        <v>0.505646556109472</v>
      </c>
      <c r="I96" s="10">
        <v>0.0203953810153627</v>
      </c>
      <c r="J96" s="10">
        <v>0.183185015471312</v>
      </c>
      <c r="K96" s="10">
        <v>0.0129850554044739</v>
      </c>
      <c r="L96" s="10">
        <v>8.52297643617197</v>
      </c>
      <c r="M96" s="10">
        <v>0.116931178876026</v>
      </c>
      <c r="N96" s="10">
        <v>0.0017144488888988</v>
      </c>
      <c r="O96" s="10">
        <v>0.0405428344513875</v>
      </c>
      <c r="P96" s="10">
        <v>588.562874251497</v>
      </c>
      <c r="Q96" s="10">
        <v>0.931252718912925</v>
      </c>
      <c r="R96" s="10">
        <v>24.8443444999989</v>
      </c>
      <c r="S96" s="10">
        <v>0.430321093856316</v>
      </c>
      <c r="T96" s="10">
        <v>0.373484380333252</v>
      </c>
      <c r="U96" s="10">
        <v>2.32392483685824</v>
      </c>
    </row>
    <row r="97" ht="16" spans="1:21">
      <c r="A97" s="14">
        <v>2018</v>
      </c>
      <c r="B97" s="15">
        <v>410000</v>
      </c>
      <c r="C97" s="16" t="s">
        <v>50</v>
      </c>
      <c r="D97" s="10">
        <v>50714</v>
      </c>
      <c r="E97" s="10">
        <v>50152.2229</v>
      </c>
      <c r="F97" s="10">
        <v>0.963258524027804</v>
      </c>
      <c r="G97" s="10">
        <v>48764.3768552311</v>
      </c>
      <c r="H97" s="10">
        <v>0.522404703974047</v>
      </c>
      <c r="I97" s="10">
        <v>0.0217029602595296</v>
      </c>
      <c r="J97" s="10">
        <v>0.184477900668657</v>
      </c>
      <c r="K97" s="10">
        <v>0.0134476260566046</v>
      </c>
      <c r="L97" s="10">
        <v>8.51559191004926</v>
      </c>
      <c r="M97" s="10">
        <v>0.10974287837007</v>
      </c>
      <c r="N97" s="10">
        <v>0.00298943245240398</v>
      </c>
      <c r="O97" s="10">
        <v>0.0878531136917528</v>
      </c>
      <c r="P97" s="10">
        <v>590.658682634731</v>
      </c>
      <c r="Q97" s="10">
        <v>0.957923257616264</v>
      </c>
      <c r="R97" s="10">
        <v>24.9689282657378</v>
      </c>
      <c r="S97" s="10">
        <v>0.425906011506752</v>
      </c>
      <c r="T97" s="10">
        <v>0.346912742135418</v>
      </c>
      <c r="U97" s="10">
        <v>2.30453329477261</v>
      </c>
    </row>
    <row r="98" ht="16" spans="1:21">
      <c r="A98" s="14">
        <v>2019</v>
      </c>
      <c r="B98" s="15">
        <v>410000</v>
      </c>
      <c r="C98" s="16" t="s">
        <v>50</v>
      </c>
      <c r="D98" s="10">
        <v>54356</v>
      </c>
      <c r="E98" s="10">
        <v>56387.84</v>
      </c>
      <c r="F98" s="10">
        <v>0.967077501990029</v>
      </c>
      <c r="G98" s="10">
        <v>52468.7161260479</v>
      </c>
      <c r="H98" s="10">
        <v>0.54014745985254</v>
      </c>
      <c r="I98" s="10">
        <v>0.0234284718715281</v>
      </c>
      <c r="J98" s="10">
        <v>0.188486870273913</v>
      </c>
      <c r="K98" s="10">
        <v>0.0147630185897412</v>
      </c>
      <c r="L98" s="10">
        <v>8.5039052970893</v>
      </c>
      <c r="M98" s="10">
        <v>0.105946079325661</v>
      </c>
      <c r="N98" s="10">
        <v>0.0043168186336745</v>
      </c>
      <c r="O98" s="10">
        <v>0.122670204289826</v>
      </c>
      <c r="P98" s="10">
        <v>592.874251497006</v>
      </c>
      <c r="Q98" s="10">
        <v>1.03613699741985</v>
      </c>
      <c r="R98" s="10">
        <v>24.802491413933</v>
      </c>
      <c r="S98" s="10">
        <v>0.43702646050285</v>
      </c>
      <c r="T98" s="10">
        <v>0.333934003254042</v>
      </c>
      <c r="U98" s="10">
        <v>2.25540754418359</v>
      </c>
    </row>
    <row r="99" ht="16" spans="1:21">
      <c r="A99" s="14">
        <v>2020</v>
      </c>
      <c r="B99" s="15">
        <v>410000</v>
      </c>
      <c r="C99" s="16" t="s">
        <v>50</v>
      </c>
      <c r="D99" s="10">
        <v>54691</v>
      </c>
      <c r="E99" s="10">
        <v>55435.01</v>
      </c>
      <c r="F99" s="10">
        <v>0.998593694315919</v>
      </c>
      <c r="G99" s="10">
        <v>54504.6722637212</v>
      </c>
      <c r="H99" s="10">
        <v>0.554270194145458</v>
      </c>
      <c r="I99" s="10">
        <v>0.0230508298963887</v>
      </c>
      <c r="J99" s="10">
        <v>0.190288134406204</v>
      </c>
      <c r="K99" s="10">
        <v>0.0166104708677206</v>
      </c>
      <c r="L99" s="10">
        <v>8.4937198352306</v>
      </c>
      <c r="M99" s="10">
        <v>0.123648040708154</v>
      </c>
      <c r="N99" s="10">
        <v>0.00699934020648957</v>
      </c>
      <c r="O99" s="10">
        <v>0.165619700918182</v>
      </c>
      <c r="P99" s="10">
        <v>595.269461077844</v>
      </c>
      <c r="Q99" s="10">
        <v>1.15863205269502</v>
      </c>
      <c r="R99" s="10">
        <v>24.8082859524705</v>
      </c>
      <c r="S99" s="10">
        <v>0.414726296273088</v>
      </c>
      <c r="T99" s="10">
        <v>0.316022661511185</v>
      </c>
      <c r="U99" s="10">
        <v>2.15731313632977</v>
      </c>
    </row>
    <row r="100" ht="16" spans="1:21">
      <c r="A100" s="14">
        <v>2021</v>
      </c>
      <c r="B100" s="15">
        <v>410000</v>
      </c>
      <c r="C100" s="16" t="s">
        <v>50</v>
      </c>
      <c r="D100" s="10">
        <v>58587</v>
      </c>
      <c r="E100" s="10">
        <v>59410</v>
      </c>
      <c r="F100" s="10">
        <v>0.975029600780188</v>
      </c>
      <c r="G100" s="10">
        <v>57291.6462195149</v>
      </c>
      <c r="H100" s="10">
        <v>0.564504705049074</v>
      </c>
      <c r="I100" s="10">
        <v>0.0271824344834564</v>
      </c>
      <c r="J100" s="10">
        <v>0.166453366028716</v>
      </c>
      <c r="K100" s="10">
        <v>0.0175446230846854</v>
      </c>
      <c r="L100" s="10">
        <v>8.48466999971068</v>
      </c>
      <c r="M100" s="10">
        <v>0.141103023174919</v>
      </c>
      <c r="N100" s="10">
        <v>0.0104582634481001</v>
      </c>
      <c r="O100" s="10">
        <v>0.0265182172291352</v>
      </c>
      <c r="P100" s="10">
        <v>591.796407185629</v>
      </c>
      <c r="Q100" s="10">
        <v>1.19584890324669</v>
      </c>
      <c r="R100" s="10">
        <v>24.9631524893295</v>
      </c>
      <c r="S100" s="10">
        <v>0.419857279142573</v>
      </c>
      <c r="T100" s="10">
        <v>0.311921186677091</v>
      </c>
      <c r="U100" s="10">
        <v>2.11572463354817</v>
      </c>
    </row>
    <row r="101" ht="16" spans="1:21">
      <c r="A101" s="14">
        <v>2022</v>
      </c>
      <c r="B101" s="15">
        <v>410000</v>
      </c>
      <c r="C101" s="16" t="s">
        <v>50</v>
      </c>
      <c r="D101" s="10">
        <v>58942</v>
      </c>
      <c r="E101" s="10">
        <v>62106</v>
      </c>
      <c r="F101" s="10">
        <v>1.03769940852013</v>
      </c>
      <c r="G101" s="10">
        <v>61198.3015943909</v>
      </c>
      <c r="H101" s="10">
        <v>0.570603727714749</v>
      </c>
      <c r="I101" s="10">
        <v>0.0285987641815235</v>
      </c>
      <c r="J101" s="10">
        <v>0.179823978316767</v>
      </c>
      <c r="K101" s="10">
        <v>0.0196368373465521</v>
      </c>
      <c r="L101" s="10">
        <v>8.47261414801827</v>
      </c>
      <c r="M101" s="10">
        <v>0.14684869486655</v>
      </c>
      <c r="N101" s="10">
        <v>0.0175326047189888</v>
      </c>
      <c r="O101" s="10">
        <v>0.0271838488769343</v>
      </c>
      <c r="P101" s="10">
        <v>591.137724550898</v>
      </c>
      <c r="Q101" s="10">
        <v>1.29729303110094</v>
      </c>
      <c r="R101" s="10">
        <v>25.0018828684446</v>
      </c>
      <c r="S101" s="10">
        <v>0.419226349662745</v>
      </c>
      <c r="T101" s="10">
        <v>0.2943004220192</v>
      </c>
      <c r="U101" s="10">
        <v>2.05829812269348</v>
      </c>
    </row>
    <row r="102" ht="16" spans="1:21">
      <c r="A102" s="14">
        <v>2013</v>
      </c>
      <c r="B102" s="15">
        <v>230000</v>
      </c>
      <c r="C102" s="16" t="s">
        <v>51</v>
      </c>
      <c r="D102" s="10">
        <v>32068.04</v>
      </c>
      <c r="E102" s="10">
        <v>37696.9665</v>
      </c>
      <c r="F102" s="10">
        <v>0.966579740233435</v>
      </c>
      <c r="G102" s="10">
        <v>31241.4075286416</v>
      </c>
      <c r="H102" s="10">
        <v>0.580469176213857</v>
      </c>
      <c r="I102" s="10">
        <v>0.0195814511729405</v>
      </c>
      <c r="J102" s="10">
        <v>0.284138879746141</v>
      </c>
      <c r="K102" s="10">
        <v>0.00974054738334557</v>
      </c>
      <c r="L102" s="10">
        <v>7.59940133341582</v>
      </c>
      <c r="M102" s="10">
        <v>0.203210378847339</v>
      </c>
      <c r="N102" s="10">
        <v>0.00858883797081635</v>
      </c>
      <c r="O102" s="10">
        <v>0.0318455494510132</v>
      </c>
      <c r="P102" s="10">
        <v>77.8840025493945</v>
      </c>
      <c r="Q102" s="10">
        <v>0.958674498485117</v>
      </c>
      <c r="R102" s="10">
        <v>23.0043847067637</v>
      </c>
      <c r="S102" s="10">
        <v>0.527567494577647</v>
      </c>
      <c r="T102" s="10">
        <v>0.409946747010321</v>
      </c>
      <c r="U102" s="10">
        <v>2.22521080157968</v>
      </c>
    </row>
    <row r="103" ht="16" spans="1:21">
      <c r="A103" s="14">
        <v>2014</v>
      </c>
      <c r="B103" s="15">
        <v>230000</v>
      </c>
      <c r="C103" s="16" t="s">
        <v>51</v>
      </c>
      <c r="D103" s="10">
        <v>33463.76</v>
      </c>
      <c r="E103" s="10">
        <v>39226.3339</v>
      </c>
      <c r="F103" s="10">
        <v>0.807587833174483</v>
      </c>
      <c r="G103" s="10">
        <v>27242.211751663</v>
      </c>
      <c r="H103" s="10">
        <v>0.592294900221729</v>
      </c>
      <c r="I103" s="10">
        <v>0.0202498337028825</v>
      </c>
      <c r="J103" s="10">
        <v>0.281944490091038</v>
      </c>
      <c r="K103" s="10">
        <v>0.0113845408683078</v>
      </c>
      <c r="L103" s="10">
        <v>7.57353126274595</v>
      </c>
      <c r="M103" s="10">
        <v>0.196339279258553</v>
      </c>
      <c r="N103" s="10">
        <v>0.0098826699970421</v>
      </c>
      <c r="O103" s="10">
        <v>0.0353692279882999</v>
      </c>
      <c r="P103" s="10">
        <v>76.6517951986403</v>
      </c>
      <c r="Q103" s="10">
        <v>1.1003138659743</v>
      </c>
      <c r="R103" s="10">
        <v>23.0038502902495</v>
      </c>
      <c r="S103" s="10">
        <v>0.576404180497584</v>
      </c>
      <c r="T103" s="10">
        <v>0.372029776185625</v>
      </c>
      <c r="U103" s="10">
        <v>2.16291973596097</v>
      </c>
    </row>
    <row r="104" ht="16" spans="1:21">
      <c r="A104" s="14">
        <v>2015</v>
      </c>
      <c r="B104" s="15">
        <v>230000</v>
      </c>
      <c r="C104" s="16" t="s">
        <v>51</v>
      </c>
      <c r="D104" s="10">
        <v>32758.95</v>
      </c>
      <c r="E104" s="10">
        <v>39461.5644</v>
      </c>
      <c r="F104" s="10">
        <v>0.871082121471343</v>
      </c>
      <c r="G104" s="10">
        <v>28855.0580901105</v>
      </c>
      <c r="H104" s="10">
        <v>0.604703882119581</v>
      </c>
      <c r="I104" s="10">
        <v>0.0208317086993483</v>
      </c>
      <c r="J104" s="10">
        <v>0.343572284003422</v>
      </c>
      <c r="K104" s="10">
        <v>0.0134873994867408</v>
      </c>
      <c r="L104" s="10">
        <v>7.50933526601659</v>
      </c>
      <c r="M104" s="10">
        <v>0.111951539777588</v>
      </c>
      <c r="N104" s="10">
        <v>0.0108862275449102</v>
      </c>
      <c r="O104" s="10">
        <v>0.0437504619332763</v>
      </c>
      <c r="P104" s="10">
        <v>74.9734438070958</v>
      </c>
      <c r="Q104" s="10">
        <v>1.38707698887938</v>
      </c>
      <c r="R104" s="10">
        <v>22.9084861363837</v>
      </c>
      <c r="S104" s="10">
        <v>0.382463644140291</v>
      </c>
      <c r="T104" s="10">
        <v>0.30743370402053</v>
      </c>
      <c r="U104" s="10">
        <v>2.18143307796305</v>
      </c>
    </row>
    <row r="105" ht="16" spans="1:21">
      <c r="A105" s="14">
        <v>2016</v>
      </c>
      <c r="B105" s="15">
        <v>230000</v>
      </c>
      <c r="C105" s="16" t="s">
        <v>51</v>
      </c>
      <c r="D105" s="10">
        <v>34024.63</v>
      </c>
      <c r="E105" s="10">
        <v>40432</v>
      </c>
      <c r="F105" s="10">
        <v>0.895195460277427</v>
      </c>
      <c r="G105" s="10">
        <v>30748.917123881</v>
      </c>
      <c r="H105" s="10">
        <v>0.611030898065261</v>
      </c>
      <c r="I105" s="10">
        <v>0.0212491192607566</v>
      </c>
      <c r="J105" s="10">
        <v>0.35506851618327</v>
      </c>
      <c r="K105" s="10">
        <v>0.0128209155107188</v>
      </c>
      <c r="L105" s="10">
        <v>7.48211892355212</v>
      </c>
      <c r="M105" s="10">
        <v>0.0923566036149643</v>
      </c>
      <c r="N105" s="10">
        <v>0.0105767129045818</v>
      </c>
      <c r="O105" s="10">
        <v>0.0327025725094578</v>
      </c>
      <c r="P105" s="10">
        <v>73.5712768217548</v>
      </c>
      <c r="Q105" s="10">
        <v>1.4901235813367</v>
      </c>
      <c r="R105" s="10">
        <v>22.8994075622003</v>
      </c>
      <c r="S105" s="10">
        <v>0.403034888608659</v>
      </c>
      <c r="T105" s="10">
        <v>0.283085329970576</v>
      </c>
      <c r="U105" s="10">
        <v>2.17511832319135</v>
      </c>
    </row>
    <row r="106" ht="16" spans="1:21">
      <c r="A106" s="14">
        <v>2017</v>
      </c>
      <c r="B106" s="15">
        <v>230000</v>
      </c>
      <c r="C106" s="16" t="s">
        <v>51</v>
      </c>
      <c r="D106" s="10">
        <v>35887.47</v>
      </c>
      <c r="E106" s="10">
        <v>41916</v>
      </c>
      <c r="F106" s="10">
        <v>0.917077885162024</v>
      </c>
      <c r="G106" s="10">
        <v>33221.476904972</v>
      </c>
      <c r="H106" s="10">
        <v>0.619005589879376</v>
      </c>
      <c r="I106" s="10">
        <v>0.0215994704324801</v>
      </c>
      <c r="J106" s="10">
        <v>0.37664094859092</v>
      </c>
      <c r="K106" s="10">
        <v>0.0119052854706408</v>
      </c>
      <c r="L106" s="10">
        <v>7.43779512167193</v>
      </c>
      <c r="M106" s="10">
        <v>0.103918362706083</v>
      </c>
      <c r="N106" s="10">
        <v>0.0119150491350605</v>
      </c>
      <c r="O106" s="10">
        <v>0.0549602939982133</v>
      </c>
      <c r="P106" s="10">
        <v>72.2115997450606</v>
      </c>
      <c r="Q106" s="10">
        <v>1.56001218224641</v>
      </c>
      <c r="R106" s="10">
        <v>22.9598693221661</v>
      </c>
      <c r="S106" s="10">
        <v>0.412360919353529</v>
      </c>
      <c r="T106" s="10">
        <v>0.262007634207748</v>
      </c>
      <c r="U106" s="10">
        <v>2.16707461508093</v>
      </c>
    </row>
    <row r="107" ht="16" spans="1:21">
      <c r="A107" s="14">
        <v>2018</v>
      </c>
      <c r="B107" s="15">
        <v>230000</v>
      </c>
      <c r="C107" s="16" t="s">
        <v>51</v>
      </c>
      <c r="D107" s="10">
        <v>38199.46</v>
      </c>
      <c r="E107" s="10">
        <v>43274.4056</v>
      </c>
      <c r="F107" s="10">
        <v>0.837680063830615</v>
      </c>
      <c r="G107" s="10">
        <v>32345.2267508266</v>
      </c>
      <c r="H107" s="10">
        <v>0.634505560565074</v>
      </c>
      <c r="I107" s="10">
        <v>0.0220042681094079</v>
      </c>
      <c r="J107" s="10">
        <v>0.363708403066983</v>
      </c>
      <c r="K107" s="10">
        <v>0.0105077126065465</v>
      </c>
      <c r="L107" s="10">
        <v>7.39939808333135</v>
      </c>
      <c r="M107" s="10">
        <v>0.136182290896353</v>
      </c>
      <c r="N107" s="10">
        <v>0.0129155801190986</v>
      </c>
      <c r="O107" s="10">
        <v>0.0953774724633168</v>
      </c>
      <c r="P107" s="10">
        <v>70.6819630337795</v>
      </c>
      <c r="Q107" s="10">
        <v>1.56900945782898</v>
      </c>
      <c r="R107" s="10">
        <v>22.944976893629</v>
      </c>
      <c r="S107" s="10">
        <v>0.410617677966761</v>
      </c>
      <c r="T107" s="10">
        <v>0.254287159926828</v>
      </c>
      <c r="U107" s="10">
        <v>2.11467690524486</v>
      </c>
    </row>
    <row r="108" ht="16" spans="1:21">
      <c r="A108" s="14">
        <v>2019</v>
      </c>
      <c r="B108" s="15">
        <v>230000</v>
      </c>
      <c r="C108" s="16" t="s">
        <v>51</v>
      </c>
      <c r="D108" s="10">
        <v>41155.97</v>
      </c>
      <c r="E108" s="10">
        <v>36182.77</v>
      </c>
      <c r="F108" s="10">
        <v>0.844571640472815</v>
      </c>
      <c r="G108" s="10">
        <v>35143.521128172</v>
      </c>
      <c r="H108" s="10">
        <v>0.646082949308756</v>
      </c>
      <c r="I108" s="10">
        <v>0.0239066052227343</v>
      </c>
      <c r="J108" s="10">
        <v>0.367459614305543</v>
      </c>
      <c r="K108" s="10">
        <v>0.0108201751277281</v>
      </c>
      <c r="L108" s="10">
        <v>7.34665516317654</v>
      </c>
      <c r="M108" s="10">
        <v>0.138071077345619</v>
      </c>
      <c r="N108" s="10">
        <v>0.0171938218008919</v>
      </c>
      <c r="O108" s="10">
        <v>0.136375808452202</v>
      </c>
      <c r="P108" s="10">
        <v>69.1523263224984</v>
      </c>
      <c r="Q108" s="10">
        <v>1.57777679336109</v>
      </c>
      <c r="R108" s="10">
        <v>22.8651739491308</v>
      </c>
      <c r="S108" s="10">
        <v>0.413742949115502</v>
      </c>
      <c r="T108" s="10">
        <v>0.246153391807684</v>
      </c>
      <c r="U108" s="10">
        <v>2.06547857428915</v>
      </c>
    </row>
    <row r="109" ht="16" spans="1:21">
      <c r="A109" s="14">
        <v>2020</v>
      </c>
      <c r="B109" s="15">
        <v>230000</v>
      </c>
      <c r="C109" s="16" t="s">
        <v>51</v>
      </c>
      <c r="D109" s="10">
        <v>42432</v>
      </c>
      <c r="E109" s="10">
        <v>42634.61</v>
      </c>
      <c r="F109" s="10">
        <v>0.869264300013196</v>
      </c>
      <c r="G109" s="10">
        <v>37373.1564421315</v>
      </c>
      <c r="H109" s="10">
        <v>0.6559444970041</v>
      </c>
      <c r="I109" s="10">
        <v>0.0229251655629139</v>
      </c>
      <c r="J109" s="10">
        <v>0.396701483122332</v>
      </c>
      <c r="K109" s="10">
        <v>0.0127011985271466</v>
      </c>
      <c r="L109" s="10">
        <v>7.29505641646263</v>
      </c>
      <c r="M109" s="10">
        <v>0.112473777634339</v>
      </c>
      <c r="N109" s="10">
        <v>0.0194522276174689</v>
      </c>
      <c r="O109" s="10">
        <v>0.163997036689307</v>
      </c>
      <c r="P109" s="10">
        <v>67.3677501593372</v>
      </c>
      <c r="Q109" s="10">
        <v>1.64906332976367</v>
      </c>
      <c r="R109" s="10">
        <v>22.8250892779152</v>
      </c>
      <c r="S109" s="10">
        <v>0.373516510921707</v>
      </c>
      <c r="T109" s="10">
        <v>0.228981765370341</v>
      </c>
      <c r="U109" s="10">
        <v>1.92448045522019</v>
      </c>
    </row>
    <row r="110" ht="16" spans="1:21">
      <c r="A110" s="14">
        <v>2021</v>
      </c>
      <c r="B110" s="15">
        <v>230000</v>
      </c>
      <c r="C110" s="16" t="s">
        <v>51</v>
      </c>
      <c r="D110" s="10">
        <v>47199</v>
      </c>
      <c r="E110" s="10">
        <v>47266</v>
      </c>
      <c r="F110" s="10">
        <v>0.848655536599258</v>
      </c>
      <c r="G110" s="10">
        <v>40350.3798204771</v>
      </c>
      <c r="H110" s="10">
        <v>0.65696</v>
      </c>
      <c r="I110" s="10">
        <v>0.028131424</v>
      </c>
      <c r="J110" s="10">
        <v>0.340562113849591</v>
      </c>
      <c r="K110" s="10">
        <v>0.0130959826896932</v>
      </c>
      <c r="L110" s="10">
        <v>7.25841215059531</v>
      </c>
      <c r="M110" s="10">
        <v>0.133952140905359</v>
      </c>
      <c r="N110" s="10">
        <v>0.0235656405217321</v>
      </c>
      <c r="O110" s="10">
        <v>0.0255892369196807</v>
      </c>
      <c r="P110" s="10">
        <v>66.3904822604631</v>
      </c>
      <c r="Q110" s="10">
        <v>1.63598349732807</v>
      </c>
      <c r="R110" s="10">
        <v>22.9510195184445</v>
      </c>
      <c r="S110" s="10">
        <v>0.373053263517788</v>
      </c>
      <c r="T110" s="10">
        <v>0.252453190830652</v>
      </c>
      <c r="U110" s="10">
        <v>1.88082061602102</v>
      </c>
    </row>
    <row r="111" ht="16" spans="1:21">
      <c r="A111" s="14">
        <v>2022</v>
      </c>
      <c r="B111" s="15">
        <v>230000</v>
      </c>
      <c r="C111" s="16" t="s">
        <v>51</v>
      </c>
      <c r="D111" s="10">
        <v>50873</v>
      </c>
      <c r="E111" s="10">
        <v>51096</v>
      </c>
      <c r="F111" s="10">
        <v>0.801260187351957</v>
      </c>
      <c r="G111" s="10">
        <v>40933.0450340836</v>
      </c>
      <c r="H111" s="10">
        <v>0.6621490803485</v>
      </c>
      <c r="I111" s="10">
        <v>0.0294292029686996</v>
      </c>
      <c r="J111" s="10">
        <v>0.341194454094685</v>
      </c>
      <c r="K111" s="10">
        <v>0.0137570084957206</v>
      </c>
      <c r="L111" s="10">
        <v>7.2086003379602</v>
      </c>
      <c r="M111" s="10">
        <v>0.168625152386066</v>
      </c>
      <c r="N111" s="10">
        <v>0.0290673656949752</v>
      </c>
      <c r="O111" s="10">
        <v>0.0260370716609292</v>
      </c>
      <c r="P111" s="10">
        <v>65.8381134480561</v>
      </c>
      <c r="Q111" s="10">
        <v>1.59575087641727</v>
      </c>
      <c r="R111" s="10">
        <v>22.8986902868708</v>
      </c>
      <c r="S111" s="10">
        <v>0.329090736822158</v>
      </c>
      <c r="T111" s="10">
        <v>0.265186495278401</v>
      </c>
      <c r="U111" s="10">
        <v>1.88631102976799</v>
      </c>
    </row>
    <row r="112" ht="16" spans="1:21">
      <c r="A112" s="14">
        <v>2013</v>
      </c>
      <c r="B112" s="15">
        <v>420000</v>
      </c>
      <c r="C112" s="16" t="s">
        <v>52</v>
      </c>
      <c r="D112" s="10">
        <v>43834.55</v>
      </c>
      <c r="E112" s="10">
        <v>42825.76</v>
      </c>
      <c r="F112" s="10">
        <v>0.760788872251556</v>
      </c>
      <c r="G112" s="10">
        <v>33299.9310106933</v>
      </c>
      <c r="H112" s="10">
        <v>0.545015522593998</v>
      </c>
      <c r="I112" s="10">
        <v>0.0245159365298379</v>
      </c>
      <c r="J112" s="10">
        <v>0.172080936243991</v>
      </c>
      <c r="K112" s="10">
        <v>0.0175848766648278</v>
      </c>
      <c r="L112" s="10">
        <v>8.13270648969326</v>
      </c>
      <c r="M112" s="10">
        <v>0.0887812632989203</v>
      </c>
      <c r="N112" s="10">
        <v>0.0156679013318622</v>
      </c>
      <c r="O112" s="10">
        <v>0.0240429939317519</v>
      </c>
      <c r="P112" s="10">
        <v>311.888111888112</v>
      </c>
      <c r="Q112" s="10">
        <v>0.81948380487036</v>
      </c>
      <c r="R112" s="10">
        <v>24.115270158287</v>
      </c>
      <c r="S112" s="10">
        <v>0.434860903144456</v>
      </c>
      <c r="T112" s="10">
        <v>0.403002600677752</v>
      </c>
      <c r="U112" s="10">
        <v>2.33883615352868</v>
      </c>
    </row>
    <row r="113" ht="16" spans="1:21">
      <c r="A113" s="14">
        <v>2014</v>
      </c>
      <c r="B113" s="15">
        <v>420000</v>
      </c>
      <c r="C113" s="16" t="s">
        <v>52</v>
      </c>
      <c r="D113" s="10">
        <v>48634.63</v>
      </c>
      <c r="E113" s="10">
        <v>47144.6</v>
      </c>
      <c r="F113" s="10">
        <v>0.811387963359665</v>
      </c>
      <c r="G113" s="10">
        <v>39400.447042641</v>
      </c>
      <c r="H113" s="10">
        <v>0.557255845942228</v>
      </c>
      <c r="I113" s="10">
        <v>0.0244102303988996</v>
      </c>
      <c r="J113" s="10">
        <v>0.174525619553787</v>
      </c>
      <c r="K113" s="10">
        <v>0.0180899189507862</v>
      </c>
      <c r="L113" s="10">
        <v>8.13388088794921</v>
      </c>
      <c r="M113" s="10">
        <v>0.093613353822839</v>
      </c>
      <c r="N113" s="10">
        <v>0.0205607939919482</v>
      </c>
      <c r="O113" s="10">
        <v>0.0254616370595671</v>
      </c>
      <c r="P113" s="10">
        <v>312.856374394836</v>
      </c>
      <c r="Q113" s="10">
        <v>0.858291699271655</v>
      </c>
      <c r="R113" s="10">
        <v>24.2989903931394</v>
      </c>
      <c r="S113" s="10">
        <v>0.440806455610596</v>
      </c>
      <c r="T113" s="10">
        <v>0.395657546712178</v>
      </c>
      <c r="U113" s="10">
        <v>2.2907180385289</v>
      </c>
    </row>
    <row r="114" ht="16" spans="1:21">
      <c r="A114" s="14">
        <v>2015</v>
      </c>
      <c r="B114" s="15">
        <v>420000</v>
      </c>
      <c r="C114" s="16" t="s">
        <v>52</v>
      </c>
      <c r="D114" s="10">
        <v>52021.26</v>
      </c>
      <c r="E114" s="10">
        <v>50653.85</v>
      </c>
      <c r="F114" s="10">
        <v>0.875425125230688</v>
      </c>
      <c r="G114" s="10">
        <v>45408.3760683761</v>
      </c>
      <c r="H114" s="10">
        <v>0.571794871794872</v>
      </c>
      <c r="I114" s="10">
        <v>0.0241122564102564</v>
      </c>
      <c r="J114" s="10">
        <v>0.201864289480622</v>
      </c>
      <c r="K114" s="10">
        <v>0.0185124406802004</v>
      </c>
      <c r="L114" s="10">
        <v>8.13094230223188</v>
      </c>
      <c r="M114" s="10">
        <v>0.0935010842341155</v>
      </c>
      <c r="N114" s="10">
        <v>0.0260130503559188</v>
      </c>
      <c r="O114" s="10">
        <v>0.031826756525178</v>
      </c>
      <c r="P114" s="10">
        <v>314.685314685315</v>
      </c>
      <c r="Q114" s="10">
        <v>0.933921038755603</v>
      </c>
      <c r="R114" s="10">
        <v>24.3851500235939</v>
      </c>
      <c r="S114" s="10">
        <v>0.489319140522014</v>
      </c>
      <c r="T114" s="10">
        <v>0.38483060901661</v>
      </c>
      <c r="U114" s="10">
        <v>2.2839412360689</v>
      </c>
    </row>
    <row r="115" ht="16" spans="1:21">
      <c r="A115" s="14">
        <v>2016</v>
      </c>
      <c r="B115" s="15">
        <v>420000</v>
      </c>
      <c r="C115" s="16" t="s">
        <v>52</v>
      </c>
      <c r="D115" s="10">
        <v>56843.63</v>
      </c>
      <c r="E115" s="10">
        <v>55665</v>
      </c>
      <c r="F115" s="10">
        <v>0.899818607021857</v>
      </c>
      <c r="G115" s="10">
        <v>50996.8564146134</v>
      </c>
      <c r="H115" s="10">
        <v>0.585726423109601</v>
      </c>
      <c r="I115" s="10">
        <v>0.0238205607476636</v>
      </c>
      <c r="J115" s="10">
        <v>0.192361106946901</v>
      </c>
      <c r="K115" s="10">
        <v>0.0179906515156058</v>
      </c>
      <c r="L115" s="10">
        <v>8.12710918534638</v>
      </c>
      <c r="M115" s="10">
        <v>0.0784433334332744</v>
      </c>
      <c r="N115" s="10">
        <v>0.0270992114652355</v>
      </c>
      <c r="O115" s="10">
        <v>0.0212090546577519</v>
      </c>
      <c r="P115" s="10">
        <v>316.568047337278</v>
      </c>
      <c r="Q115" s="10">
        <v>1.03531076664768</v>
      </c>
      <c r="R115" s="10">
        <v>24.4673122312601</v>
      </c>
      <c r="S115" s="10">
        <v>0.497763319641412</v>
      </c>
      <c r="T115" s="10">
        <v>0.37419422540701</v>
      </c>
      <c r="U115" s="10">
        <v>2.30931237721022</v>
      </c>
    </row>
    <row r="116" ht="16" spans="1:21">
      <c r="A116" s="14">
        <v>2017</v>
      </c>
      <c r="B116" s="15">
        <v>420000</v>
      </c>
      <c r="C116" s="16" t="s">
        <v>52</v>
      </c>
      <c r="D116" s="10">
        <v>63169.06</v>
      </c>
      <c r="E116" s="10">
        <v>60199</v>
      </c>
      <c r="F116" s="10">
        <v>0.866989660265879</v>
      </c>
      <c r="G116" s="10">
        <v>54678.7940379404</v>
      </c>
      <c r="H116" s="10">
        <v>0.598746612466125</v>
      </c>
      <c r="I116" s="10">
        <v>0.0237282859078591</v>
      </c>
      <c r="J116" s="10">
        <v>0.182459782462737</v>
      </c>
      <c r="K116" s="10">
        <v>0.0188163099234591</v>
      </c>
      <c r="L116" s="10">
        <v>8.12533508671429</v>
      </c>
      <c r="M116" s="10">
        <v>0.0840229461528132</v>
      </c>
      <c r="N116" s="10">
        <v>0.0277448637035048</v>
      </c>
      <c r="O116" s="10">
        <v>0.030170124882503</v>
      </c>
      <c r="P116" s="10">
        <v>317.590102205487</v>
      </c>
      <c r="Q116" s="10">
        <v>1.02470659325903</v>
      </c>
      <c r="R116" s="10">
        <v>24.649030527211</v>
      </c>
      <c r="S116" s="10">
        <v>0.497373438968712</v>
      </c>
      <c r="T116" s="10">
        <v>0.360725124211092</v>
      </c>
      <c r="U116" s="10">
        <v>2.30878945844193</v>
      </c>
    </row>
    <row r="117" ht="16" spans="1:21">
      <c r="A117" s="14">
        <v>2018</v>
      </c>
      <c r="B117" s="15">
        <v>420000</v>
      </c>
      <c r="C117" s="16" t="s">
        <v>52</v>
      </c>
      <c r="D117" s="10">
        <v>71097.12</v>
      </c>
      <c r="E117" s="10">
        <v>66615.7035</v>
      </c>
      <c r="F117" s="10">
        <v>0.852729989053353</v>
      </c>
      <c r="G117" s="10">
        <v>60560.1142470847</v>
      </c>
      <c r="H117" s="10">
        <v>0.609937468311644</v>
      </c>
      <c r="I117" s="10">
        <v>0.0243069460875444</v>
      </c>
      <c r="J117" s="10">
        <v>0.17253343486745</v>
      </c>
      <c r="K117" s="10">
        <v>0.0195623744705154</v>
      </c>
      <c r="L117" s="10">
        <v>8.12474302038557</v>
      </c>
      <c r="M117" s="10">
        <v>0.0831175598496026</v>
      </c>
      <c r="N117" s="10">
        <v>0.0286538003902718</v>
      </c>
      <c r="O117" s="10">
        <v>0.0567625053543382</v>
      </c>
      <c r="P117" s="10">
        <v>318.289402904788</v>
      </c>
      <c r="Q117" s="10">
        <v>1.05517443244015</v>
      </c>
      <c r="R117" s="10">
        <v>24.7520472283322</v>
      </c>
      <c r="S117" s="10">
        <v>0.490176574175432</v>
      </c>
      <c r="T117" s="10">
        <v>0.353376802627195</v>
      </c>
      <c r="U117" s="10">
        <v>2.30037388169315</v>
      </c>
    </row>
    <row r="118" ht="16" spans="1:21">
      <c r="A118" s="14">
        <v>2019</v>
      </c>
      <c r="B118" s="15">
        <v>420000</v>
      </c>
      <c r="C118" s="16" t="s">
        <v>52</v>
      </c>
      <c r="D118" s="10">
        <v>76712.19</v>
      </c>
      <c r="E118" s="10">
        <v>77386.54</v>
      </c>
      <c r="F118" s="10">
        <v>0.873177826877105</v>
      </c>
      <c r="G118" s="10">
        <v>66926.9368942129</v>
      </c>
      <c r="H118" s="10">
        <v>0.618356672853045</v>
      </c>
      <c r="I118" s="10">
        <v>0.0253217310612451</v>
      </c>
      <c r="J118" s="10">
        <v>0.17429835567589</v>
      </c>
      <c r="K118" s="10">
        <v>0.0210852605164102</v>
      </c>
      <c r="L118" s="10">
        <v>8.12415060330663</v>
      </c>
      <c r="M118" s="10">
        <v>0.0867997116379405</v>
      </c>
      <c r="N118" s="10">
        <v>0.0314741684826873</v>
      </c>
      <c r="O118" s="10">
        <v>0.084292927425213</v>
      </c>
      <c r="P118" s="10">
        <v>318.827326519634</v>
      </c>
      <c r="Q118" s="10">
        <v>1.11523388144137</v>
      </c>
      <c r="R118" s="10">
        <v>24.7191867465791</v>
      </c>
      <c r="S118" s="10">
        <v>0.500171696493429</v>
      </c>
      <c r="T118" s="10">
        <v>0.345761517973101</v>
      </c>
      <c r="U118" s="10">
        <v>2.29400280641816</v>
      </c>
    </row>
    <row r="119" ht="16" spans="1:21">
      <c r="A119" s="14">
        <v>2020</v>
      </c>
      <c r="B119" s="15">
        <v>420000</v>
      </c>
      <c r="C119" s="16" t="s">
        <v>52</v>
      </c>
      <c r="D119" s="10">
        <v>73687.46</v>
      </c>
      <c r="E119" s="10">
        <v>74440.47</v>
      </c>
      <c r="F119" s="10">
        <v>0.748993420310116</v>
      </c>
      <c r="G119" s="10">
        <v>56066.2968559206</v>
      </c>
      <c r="H119" s="10">
        <v>0.628894691035683</v>
      </c>
      <c r="I119" s="10">
        <v>0.0281440034812881</v>
      </c>
      <c r="J119" s="10">
        <v>0.194335243986095</v>
      </c>
      <c r="K119" s="10">
        <v>0.0233761576114128</v>
      </c>
      <c r="L119" s="10">
        <v>8.08978917578932</v>
      </c>
      <c r="M119" s="10">
        <v>0.0998374053878082</v>
      </c>
      <c r="N119" s="10">
        <v>0.0387357137043798</v>
      </c>
      <c r="O119" s="10">
        <v>0.108754755897639</v>
      </c>
      <c r="P119" s="10">
        <v>309.037116729424</v>
      </c>
      <c r="Q119" s="10">
        <v>1.39222941785162</v>
      </c>
      <c r="R119" s="10">
        <v>24.5618604972159</v>
      </c>
      <c r="S119" s="10">
        <v>0.41820972223837</v>
      </c>
      <c r="T119" s="10">
        <v>0.306356311548791</v>
      </c>
      <c r="U119" s="10">
        <v>2.25107322457991</v>
      </c>
    </row>
    <row r="120" ht="16" spans="1:21">
      <c r="A120" s="14">
        <v>2021</v>
      </c>
      <c r="B120" s="15">
        <v>420000</v>
      </c>
      <c r="C120" s="16" t="s">
        <v>52</v>
      </c>
      <c r="D120" s="10">
        <v>86551</v>
      </c>
      <c r="E120" s="10">
        <v>86416</v>
      </c>
      <c r="F120" s="10">
        <v>0.774206754931936</v>
      </c>
      <c r="G120" s="10">
        <v>66519.6319084847</v>
      </c>
      <c r="H120" s="10">
        <v>0.64082332761578</v>
      </c>
      <c r="I120" s="10">
        <v>0.0291547684391081</v>
      </c>
      <c r="J120" s="10">
        <v>0.157094260069633</v>
      </c>
      <c r="K120" s="10">
        <v>0.0231621083144345</v>
      </c>
      <c r="L120" s="10">
        <v>8.09742629859721</v>
      </c>
      <c r="M120" s="10">
        <v>0.107002950618073</v>
      </c>
      <c r="N120" s="10">
        <v>0.0417394672118057</v>
      </c>
      <c r="O120" s="10">
        <v>0.0178765930941962</v>
      </c>
      <c r="P120" s="10">
        <v>313.609467455621</v>
      </c>
      <c r="Q120" s="10">
        <v>1.33831870667902</v>
      </c>
      <c r="R120" s="10">
        <v>24.8785104742442</v>
      </c>
      <c r="S120" s="10">
        <v>0.430442872201105</v>
      </c>
      <c r="T120" s="10">
        <v>0.320229900661194</v>
      </c>
      <c r="U120" s="10">
        <v>2.20592584478887</v>
      </c>
    </row>
    <row r="121" ht="16" spans="1:21">
      <c r="A121" s="14">
        <v>2022</v>
      </c>
      <c r="B121" s="15">
        <v>420000</v>
      </c>
      <c r="C121" s="16" t="s">
        <v>52</v>
      </c>
      <c r="D121" s="10">
        <v>90358</v>
      </c>
      <c r="E121" s="10">
        <v>92059</v>
      </c>
      <c r="F121" s="10">
        <v>0.845594419843191</v>
      </c>
      <c r="G121" s="10">
        <v>76314.3176130109</v>
      </c>
      <c r="H121" s="10">
        <v>0.646646132785763</v>
      </c>
      <c r="I121" s="10">
        <v>0.0303321526351814</v>
      </c>
      <c r="J121" s="10">
        <v>0.162096595293667</v>
      </c>
      <c r="K121" s="10">
        <v>0.0237889484032559</v>
      </c>
      <c r="L121" s="10">
        <v>8.08425410630732</v>
      </c>
      <c r="M121" s="10">
        <v>0.117454274321836</v>
      </c>
      <c r="N121" s="10">
        <v>0.057070591202028</v>
      </c>
      <c r="O121" s="10">
        <v>0.0188790217228493</v>
      </c>
      <c r="P121" s="10">
        <v>314.362560516407</v>
      </c>
      <c r="Q121" s="10">
        <v>1.40742505455835</v>
      </c>
      <c r="R121" s="10">
        <v>24.8711312061817</v>
      </c>
      <c r="S121" s="10">
        <v>0.42025190693512</v>
      </c>
      <c r="T121" s="10">
        <v>0.307930916144152</v>
      </c>
      <c r="U121" s="10">
        <v>2.16276827845147</v>
      </c>
    </row>
    <row r="122" ht="16" spans="1:21">
      <c r="A122" s="14">
        <v>2013</v>
      </c>
      <c r="B122" s="15">
        <v>430000</v>
      </c>
      <c r="C122" s="16" t="s">
        <v>53</v>
      </c>
      <c r="D122" s="10">
        <v>35701.65</v>
      </c>
      <c r="E122" s="10">
        <v>36943</v>
      </c>
      <c r="F122" s="10">
        <v>0.75775104904609</v>
      </c>
      <c r="G122" s="10">
        <v>27032.4242424242</v>
      </c>
      <c r="H122" s="10">
        <v>0.476363636363636</v>
      </c>
      <c r="I122" s="10">
        <v>0.0166783333333333</v>
      </c>
      <c r="J122" s="10">
        <v>0.199227868100505</v>
      </c>
      <c r="K122" s="10">
        <v>0.0138892551348045</v>
      </c>
      <c r="L122" s="10">
        <v>8.30312087178944</v>
      </c>
      <c r="M122" s="10">
        <v>0.0662197475493944</v>
      </c>
      <c r="N122" s="10">
        <v>0.00327922464026638</v>
      </c>
      <c r="O122" s="10">
        <v>0.0252827412806007</v>
      </c>
      <c r="P122" s="10">
        <v>311.614730878187</v>
      </c>
      <c r="Q122" s="10">
        <v>0.754930516623346</v>
      </c>
      <c r="R122" s="10">
        <v>24.4946019148925</v>
      </c>
      <c r="S122" s="10">
        <v>0.403882744678321</v>
      </c>
      <c r="T122" s="10">
        <v>0.38987564344325</v>
      </c>
      <c r="U122" s="10">
        <v>2.69708716358401</v>
      </c>
    </row>
    <row r="123" ht="16" spans="1:21">
      <c r="A123" s="14">
        <v>2014</v>
      </c>
      <c r="B123" s="15">
        <v>430000</v>
      </c>
      <c r="C123" s="16" t="s">
        <v>53</v>
      </c>
      <c r="D123" s="10">
        <v>39181.41</v>
      </c>
      <c r="E123" s="10">
        <v>40270.5443</v>
      </c>
      <c r="F123" s="10">
        <v>0.820782572745573</v>
      </c>
      <c r="G123" s="10">
        <v>32132.6879443352</v>
      </c>
      <c r="H123" s="10">
        <v>0.489789744365452</v>
      </c>
      <c r="I123" s="10">
        <v>0.0171880502193314</v>
      </c>
      <c r="J123" s="10">
        <v>0.193718244446763</v>
      </c>
      <c r="K123" s="10">
        <v>0.0142162306375646</v>
      </c>
      <c r="L123" s="10">
        <v>8.30502172601339</v>
      </c>
      <c r="M123" s="10">
        <v>0.0731773017584124</v>
      </c>
      <c r="N123" s="10">
        <v>0.00378381302330254</v>
      </c>
      <c r="O123" s="10">
        <v>0.0287805790281014</v>
      </c>
      <c r="P123" s="10">
        <v>312.134088762984</v>
      </c>
      <c r="Q123" s="10">
        <v>0.786528883788681</v>
      </c>
      <c r="R123" s="10">
        <v>24.5938681530473</v>
      </c>
      <c r="S123" s="10">
        <v>0.414333901310985</v>
      </c>
      <c r="T123" s="10">
        <v>0.380966180215059</v>
      </c>
      <c r="U123" s="10">
        <v>2.64115308151093</v>
      </c>
    </row>
    <row r="124" ht="16" spans="1:21">
      <c r="A124" s="14">
        <v>2015</v>
      </c>
      <c r="B124" s="15">
        <v>430000</v>
      </c>
      <c r="C124" s="16" t="s">
        <v>53</v>
      </c>
      <c r="D124" s="10">
        <v>43155.3</v>
      </c>
      <c r="E124" s="10">
        <v>42753.86</v>
      </c>
      <c r="F124" s="10">
        <v>0.877586146482308</v>
      </c>
      <c r="G124" s="10">
        <v>37861.0430839002</v>
      </c>
      <c r="H124" s="10">
        <v>0.507936507936508</v>
      </c>
      <c r="I124" s="10">
        <v>0.0178479667422525</v>
      </c>
      <c r="J124" s="10">
        <v>0.200523501503227</v>
      </c>
      <c r="K124" s="10">
        <v>0.0144600348300197</v>
      </c>
      <c r="L124" s="10">
        <v>8.28911247232221</v>
      </c>
      <c r="M124" s="10">
        <v>0.0639496471445691</v>
      </c>
      <c r="N124" s="10">
        <v>0.00368132984799535</v>
      </c>
      <c r="O124" s="10">
        <v>0.0317696348103972</v>
      </c>
      <c r="P124" s="10">
        <v>312.322946175637</v>
      </c>
      <c r="Q124" s="10">
        <v>0.831806045145873</v>
      </c>
      <c r="R124" s="10">
        <v>24.5799859281101</v>
      </c>
      <c r="S124" s="10">
        <v>0.393901592930277</v>
      </c>
      <c r="T124" s="10">
        <v>0.366479084468054</v>
      </c>
      <c r="U124" s="10">
        <v>2.62330574001637</v>
      </c>
    </row>
    <row r="125" ht="16" spans="1:21">
      <c r="A125" s="14">
        <v>2016</v>
      </c>
      <c r="B125" s="15">
        <v>430000</v>
      </c>
      <c r="C125" s="16" t="s">
        <v>53</v>
      </c>
      <c r="D125" s="10">
        <v>46606.42</v>
      </c>
      <c r="E125" s="10">
        <v>46382</v>
      </c>
      <c r="F125" s="10">
        <v>0.918966405756235</v>
      </c>
      <c r="G125" s="10">
        <v>42797.479245283</v>
      </c>
      <c r="H125" s="10">
        <v>0.526943396226415</v>
      </c>
      <c r="I125" s="10">
        <v>0.0184908075471698</v>
      </c>
      <c r="J125" s="10">
        <v>0.205265529032363</v>
      </c>
      <c r="K125" s="10">
        <v>0.0151957418121121</v>
      </c>
      <c r="L125" s="10">
        <v>8.2739515191519</v>
      </c>
      <c r="M125" s="10">
        <v>0.0564982903074206</v>
      </c>
      <c r="N125" s="10">
        <v>0.00342359861928144</v>
      </c>
      <c r="O125" s="10">
        <v>0.0226593773802</v>
      </c>
      <c r="P125" s="10">
        <v>312.795089707271</v>
      </c>
      <c r="Q125" s="10">
        <v>0.882088255789457</v>
      </c>
      <c r="R125" s="10">
        <v>24.6193587875493</v>
      </c>
      <c r="S125" s="10">
        <v>0.405140421670151</v>
      </c>
      <c r="T125" s="10">
        <v>0.341617644675645</v>
      </c>
      <c r="U125" s="10">
        <v>2.62229673093043</v>
      </c>
    </row>
    <row r="126" ht="16" spans="1:21">
      <c r="A126" s="14">
        <v>2017</v>
      </c>
      <c r="B126" s="15">
        <v>430000</v>
      </c>
      <c r="C126" s="16" t="s">
        <v>53</v>
      </c>
      <c r="D126" s="10">
        <v>51030.49</v>
      </c>
      <c r="E126" s="10">
        <v>49558</v>
      </c>
      <c r="F126" s="10">
        <v>0.944753917601048</v>
      </c>
      <c r="G126" s="10">
        <v>48182.1649329112</v>
      </c>
      <c r="H126" s="10">
        <v>0.546208352178501</v>
      </c>
      <c r="I126" s="10">
        <v>0.0191950550278908</v>
      </c>
      <c r="J126" s="10">
        <v>0.202887835852442</v>
      </c>
      <c r="K126" s="10">
        <v>0.0168064721341134</v>
      </c>
      <c r="L126" s="10">
        <v>8.2472776879719</v>
      </c>
      <c r="M126" s="10">
        <v>0.0719193835893828</v>
      </c>
      <c r="N126" s="10">
        <v>0.00600654485472137</v>
      </c>
      <c r="O126" s="10">
        <v>0.0331602070468043</v>
      </c>
      <c r="P126" s="10">
        <v>313.172804532578</v>
      </c>
      <c r="Q126" s="10">
        <v>0.932144873640553</v>
      </c>
      <c r="R126" s="10">
        <v>24.7135451170002</v>
      </c>
      <c r="S126" s="10">
        <v>0.407758638528324</v>
      </c>
      <c r="T126" s="10">
        <v>0.31659478362663</v>
      </c>
      <c r="U126" s="10">
        <v>2.62430426716141</v>
      </c>
    </row>
    <row r="127" ht="16" spans="1:21">
      <c r="A127" s="14">
        <v>2018</v>
      </c>
      <c r="B127" s="15">
        <v>430000</v>
      </c>
      <c r="C127" s="16" t="s">
        <v>53</v>
      </c>
      <c r="D127" s="10">
        <v>54762.86</v>
      </c>
      <c r="E127" s="10">
        <v>52948.6035</v>
      </c>
      <c r="F127" s="10">
        <v>0.967669785327157</v>
      </c>
      <c r="G127" s="10">
        <v>52984.4054257724</v>
      </c>
      <c r="H127" s="10">
        <v>0.560964581763376</v>
      </c>
      <c r="I127" s="10">
        <v>0.0199974076865109</v>
      </c>
      <c r="J127" s="10">
        <v>0.205691486579851</v>
      </c>
      <c r="K127" s="10">
        <v>0.0181194155195336</v>
      </c>
      <c r="L127" s="10">
        <v>8.22646113916782</v>
      </c>
      <c r="M127" s="10">
        <v>0.0846520560312912</v>
      </c>
      <c r="N127" s="10">
        <v>0.00775150909586372</v>
      </c>
      <c r="O127" s="10">
        <v>0.0750168677418201</v>
      </c>
      <c r="P127" s="10">
        <v>313.267233238905</v>
      </c>
      <c r="Q127" s="10">
        <v>0.996753345059277</v>
      </c>
      <c r="R127" s="10">
        <v>24.7342917849844</v>
      </c>
      <c r="S127" s="10">
        <v>0.416582025174995</v>
      </c>
      <c r="T127" s="10">
        <v>0.296881064253214</v>
      </c>
      <c r="U127" s="10">
        <v>2.6039877953594</v>
      </c>
    </row>
    <row r="128" ht="16" spans="1:21">
      <c r="A128" s="14">
        <v>2019</v>
      </c>
      <c r="B128" s="15">
        <v>430000</v>
      </c>
      <c r="C128" s="16" t="s">
        <v>53</v>
      </c>
      <c r="D128" s="10">
        <v>60104.17</v>
      </c>
      <c r="E128" s="10">
        <v>57540.26</v>
      </c>
      <c r="F128" s="10">
        <v>0.97021422849494</v>
      </c>
      <c r="G128" s="10">
        <v>58291.9027906627</v>
      </c>
      <c r="H128" s="10">
        <v>0.574548192771084</v>
      </c>
      <c r="I128" s="10">
        <v>0.0211913855421687</v>
      </c>
      <c r="J128" s="10">
        <v>0.200182733787703</v>
      </c>
      <c r="K128" s="10">
        <v>0.0197313332046593</v>
      </c>
      <c r="L128" s="10">
        <v>8.20698735272558</v>
      </c>
      <c r="M128" s="10">
        <v>0.108680128139249</v>
      </c>
      <c r="N128" s="10">
        <v>0.0122998137569215</v>
      </c>
      <c r="O128" s="10">
        <v>0.114568477544299</v>
      </c>
      <c r="P128" s="10">
        <v>313.503305004721</v>
      </c>
      <c r="Q128" s="10">
        <v>1.05678408586733</v>
      </c>
      <c r="R128" s="10">
        <v>24.5441597521007</v>
      </c>
      <c r="S128" s="10">
        <v>0.418204696935136</v>
      </c>
      <c r="T128" s="10">
        <v>0.300691079633329</v>
      </c>
      <c r="U128" s="10">
        <v>2.58798311139981</v>
      </c>
    </row>
    <row r="129" ht="16" spans="1:21">
      <c r="A129" s="14">
        <v>2020</v>
      </c>
      <c r="B129" s="15">
        <v>430000</v>
      </c>
      <c r="C129" s="16" t="s">
        <v>53</v>
      </c>
      <c r="D129" s="10">
        <v>62537</v>
      </c>
      <c r="E129" s="10">
        <v>62900.25</v>
      </c>
      <c r="F129" s="10">
        <v>1.00252430120955</v>
      </c>
      <c r="G129" s="10">
        <v>62674.8924536162</v>
      </c>
      <c r="H129" s="10">
        <v>0.587659894657637</v>
      </c>
      <c r="I129" s="10">
        <v>0.022728848758465</v>
      </c>
      <c r="J129" s="10">
        <v>0.200586145306264</v>
      </c>
      <c r="K129" s="10">
        <v>0.021633217372047</v>
      </c>
      <c r="L129" s="10">
        <v>8.09559870137819</v>
      </c>
      <c r="M129" s="10">
        <v>0.117362213727595</v>
      </c>
      <c r="N129" s="10">
        <v>0.0177155498211474</v>
      </c>
      <c r="O129" s="10">
        <v>0.146848423064517</v>
      </c>
      <c r="P129" s="10">
        <v>313.739376770538</v>
      </c>
      <c r="Q129" s="10">
        <v>1.18350031052462</v>
      </c>
      <c r="R129" s="10">
        <v>24.6035777002889</v>
      </c>
      <c r="S129" s="10">
        <v>0.391359712680477</v>
      </c>
      <c r="T129" s="10">
        <v>0.29852248053805</v>
      </c>
      <c r="U129" s="10">
        <v>2.51419957793187</v>
      </c>
    </row>
    <row r="130" ht="16" spans="1:21">
      <c r="A130" s="14">
        <v>2021</v>
      </c>
      <c r="B130" s="15">
        <v>430000</v>
      </c>
      <c r="C130" s="16" t="s">
        <v>53</v>
      </c>
      <c r="D130" s="10">
        <v>68913</v>
      </c>
      <c r="E130" s="10">
        <v>69440</v>
      </c>
      <c r="F130" s="10">
        <v>0.983938296526459</v>
      </c>
      <c r="G130" s="10">
        <v>67923.9856814592</v>
      </c>
      <c r="H130" s="10">
        <v>0.59710057384476</v>
      </c>
      <c r="I130" s="10">
        <v>0.0241030353367563</v>
      </c>
      <c r="J130" s="10">
        <v>0.180586041322585</v>
      </c>
      <c r="K130" s="10">
        <v>0.0225077673772518</v>
      </c>
      <c r="L130" s="10">
        <v>8.08886878916199</v>
      </c>
      <c r="M130" s="10">
        <v>0.130403185054743</v>
      </c>
      <c r="N130" s="10">
        <v>0.0275905367123497</v>
      </c>
      <c r="O130" s="10">
        <v>0.0203952880440133</v>
      </c>
      <c r="P130" s="10">
        <v>312.653446647781</v>
      </c>
      <c r="Q130" s="10">
        <v>1.21427368282892</v>
      </c>
      <c r="R130" s="10">
        <v>24.7179201125198</v>
      </c>
      <c r="S130" s="10">
        <v>0.406814179618712</v>
      </c>
      <c r="T130" s="10">
        <v>0.305358373347042</v>
      </c>
      <c r="U130" s="10">
        <v>2.45236403388904</v>
      </c>
    </row>
    <row r="131" ht="16" spans="1:21">
      <c r="A131" s="14">
        <v>2022</v>
      </c>
      <c r="B131" s="15">
        <v>430000</v>
      </c>
      <c r="C131" s="16" t="s">
        <v>53</v>
      </c>
      <c r="D131" s="10">
        <v>71917</v>
      </c>
      <c r="E131" s="10">
        <v>73598</v>
      </c>
      <c r="F131" s="10">
        <v>1.00818557941713</v>
      </c>
      <c r="G131" s="10">
        <v>72604.3226790848</v>
      </c>
      <c r="H131" s="10">
        <v>0.603119321623259</v>
      </c>
      <c r="I131" s="10">
        <v>0.0255162174439733</v>
      </c>
      <c r="J131" s="10">
        <v>0.187481338811487</v>
      </c>
      <c r="K131" s="10">
        <v>0.0247116443293116</v>
      </c>
      <c r="L131" s="10">
        <v>8.07682603129881</v>
      </c>
      <c r="M131" s="10">
        <v>0.148626294718516</v>
      </c>
      <c r="N131" s="10">
        <v>0.0534685629938644</v>
      </c>
      <c r="O131" s="10">
        <v>0.0209227332175464</v>
      </c>
      <c r="P131" s="10">
        <v>311.80358829084</v>
      </c>
      <c r="Q131" s="10">
        <v>1.30517046338622</v>
      </c>
      <c r="R131" s="10">
        <v>24.6686521926992</v>
      </c>
      <c r="S131" s="10">
        <v>0.400573187604345</v>
      </c>
      <c r="T131" s="10">
        <v>0.290946327267834</v>
      </c>
      <c r="U131" s="10">
        <v>2.41998362836386</v>
      </c>
    </row>
    <row r="132" ht="16" spans="1:21">
      <c r="A132" s="14">
        <v>2013</v>
      </c>
      <c r="B132" s="15">
        <v>220000</v>
      </c>
      <c r="C132" s="16" t="s">
        <v>54</v>
      </c>
      <c r="D132" s="10">
        <v>35139</v>
      </c>
      <c r="E132" s="10">
        <v>47428</v>
      </c>
      <c r="F132" s="10">
        <v>1.05848598309274</v>
      </c>
      <c r="G132" s="10">
        <v>37403.6731634183</v>
      </c>
      <c r="H132" s="10">
        <v>0.557346326836582</v>
      </c>
      <c r="I132" s="10">
        <v>0.0224709895052474</v>
      </c>
      <c r="J132" s="10">
        <v>0.290901473286734</v>
      </c>
      <c r="K132" s="10">
        <v>0.0125464101231451</v>
      </c>
      <c r="L132" s="10">
        <v>7.2841348061952</v>
      </c>
      <c r="M132" s="10">
        <v>0.169689008156641</v>
      </c>
      <c r="N132" s="10">
        <v>0.00368268649434126</v>
      </c>
      <c r="O132" s="10">
        <v>0.0313393756828138</v>
      </c>
      <c r="P132" s="10">
        <v>142.369263607257</v>
      </c>
      <c r="Q132" s="10">
        <v>1.13456018837705</v>
      </c>
      <c r="R132" s="10">
        <v>22.1632955333396</v>
      </c>
      <c r="S132" s="10">
        <v>0.575568260163981</v>
      </c>
      <c r="T132" s="10">
        <v>0.302580638318183</v>
      </c>
      <c r="U132" s="10">
        <v>2.18086085267355</v>
      </c>
    </row>
    <row r="133" ht="16" spans="1:21">
      <c r="A133" s="14">
        <v>2014</v>
      </c>
      <c r="B133" s="15">
        <v>220000</v>
      </c>
      <c r="C133" s="16" t="s">
        <v>54</v>
      </c>
      <c r="D133" s="10">
        <v>37539</v>
      </c>
      <c r="E133" s="10">
        <v>50160</v>
      </c>
      <c r="F133" s="10">
        <v>1.13777354136357</v>
      </c>
      <c r="G133" s="10">
        <v>42920.5904617714</v>
      </c>
      <c r="H133" s="10">
        <v>0.568130204390613</v>
      </c>
      <c r="I133" s="10">
        <v>0.0234017032551098</v>
      </c>
      <c r="J133" s="10">
        <v>0.292045351928962</v>
      </c>
      <c r="K133" s="10">
        <v>0.0131163698389605</v>
      </c>
      <c r="L133" s="10">
        <v>7.26333662516076</v>
      </c>
      <c r="M133" s="10">
        <v>0.162596588571715</v>
      </c>
      <c r="N133" s="10">
        <v>0.00286760648171374</v>
      </c>
      <c r="O133" s="10">
        <v>0.0329302262579642</v>
      </c>
      <c r="P133" s="10">
        <v>140.981856990395</v>
      </c>
      <c r="Q133" s="10">
        <v>1.26295690563387</v>
      </c>
      <c r="R133" s="10">
        <v>22.2579512293381</v>
      </c>
      <c r="S133" s="10">
        <v>0.61013394872824</v>
      </c>
      <c r="T133" s="10">
        <v>0.307530226257964</v>
      </c>
      <c r="U133" s="10">
        <v>2.15380333951762</v>
      </c>
    </row>
    <row r="134" ht="16" spans="1:21">
      <c r="A134" s="14">
        <v>2015</v>
      </c>
      <c r="B134" s="15">
        <v>220000</v>
      </c>
      <c r="C134" s="16" t="s">
        <v>54</v>
      </c>
      <c r="D134" s="10">
        <v>38128</v>
      </c>
      <c r="E134" s="10">
        <v>51086</v>
      </c>
      <c r="F134" s="10">
        <v>1.26824615691755</v>
      </c>
      <c r="G134" s="10">
        <v>48623.3830845771</v>
      </c>
      <c r="H134" s="10">
        <v>0.576349024110218</v>
      </c>
      <c r="I134" s="10">
        <v>0.0242144278606965</v>
      </c>
      <c r="J134" s="10">
        <v>0.32080754641645</v>
      </c>
      <c r="K134" s="10">
        <v>0.0141154821321621</v>
      </c>
      <c r="L134" s="10">
        <v>7.24351297466548</v>
      </c>
      <c r="M134" s="10">
        <v>0.117364683569575</v>
      </c>
      <c r="N134" s="10">
        <v>0.00264224396087043</v>
      </c>
      <c r="O134" s="10">
        <v>0.0386561489319225</v>
      </c>
      <c r="P134" s="10">
        <v>139.434364994664</v>
      </c>
      <c r="Q134" s="10">
        <v>1.51757935715712</v>
      </c>
      <c r="R134" s="10">
        <v>22.1624911957105</v>
      </c>
      <c r="S134" s="10">
        <v>0.356528249151527</v>
      </c>
      <c r="T134" s="10">
        <v>0.308514673587542</v>
      </c>
      <c r="U134" s="10">
        <v>2.19856966272294</v>
      </c>
    </row>
    <row r="135" ht="16" spans="1:21">
      <c r="A135" s="14">
        <v>2016</v>
      </c>
      <c r="B135" s="15">
        <v>220000</v>
      </c>
      <c r="C135" s="16" t="s">
        <v>54</v>
      </c>
      <c r="D135" s="10">
        <v>40259</v>
      </c>
      <c r="E135" s="10">
        <v>53868</v>
      </c>
      <c r="F135" s="10">
        <v>1.3353025798408</v>
      </c>
      <c r="G135" s="10">
        <v>54239.1897156214</v>
      </c>
      <c r="H135" s="10">
        <v>0.587456174522789</v>
      </c>
      <c r="I135" s="10">
        <v>0.0250199844176081</v>
      </c>
      <c r="J135" s="10">
        <v>0.343623285700585</v>
      </c>
      <c r="K135" s="10">
        <v>0.0133947252325693</v>
      </c>
      <c r="L135" s="10">
        <v>7.22109778821426</v>
      </c>
      <c r="M135" s="10">
        <v>0.117550206195454</v>
      </c>
      <c r="N135" s="10">
        <v>0.0111652440778747</v>
      </c>
      <c r="O135" s="10">
        <v>0.0297633931140309</v>
      </c>
      <c r="P135" s="10">
        <v>136.979722518677</v>
      </c>
      <c r="Q135" s="10">
        <v>1.64391100028771</v>
      </c>
      <c r="R135" s="10">
        <v>22.2532010854238</v>
      </c>
      <c r="S135" s="10">
        <v>0.365675649755443</v>
      </c>
      <c r="T135" s="10">
        <v>0.301927687733768</v>
      </c>
      <c r="U135" s="10">
        <v>2.18840221067393</v>
      </c>
    </row>
    <row r="136" ht="16" spans="1:21">
      <c r="A136" s="14">
        <v>2017</v>
      </c>
      <c r="B136" s="15">
        <v>220000</v>
      </c>
      <c r="C136" s="16" t="s">
        <v>54</v>
      </c>
      <c r="D136" s="10">
        <v>42890</v>
      </c>
      <c r="E136" s="10">
        <v>54838</v>
      </c>
      <c r="F136" s="10">
        <v>1.21625068668742</v>
      </c>
      <c r="G136" s="10">
        <v>52588.6381631037</v>
      </c>
      <c r="H136" s="10">
        <v>0.596991290577989</v>
      </c>
      <c r="I136" s="10">
        <v>0.0254897862232779</v>
      </c>
      <c r="J136" s="10">
        <v>0.340818531404505</v>
      </c>
      <c r="K136" s="10">
        <v>0.0117201336751511</v>
      </c>
      <c r="L136" s="10">
        <v>7.19967834569117</v>
      </c>
      <c r="M136" s="10">
        <v>0.114629582494049</v>
      </c>
      <c r="N136" s="10">
        <v>0.0201355063175243</v>
      </c>
      <c r="O136" s="10">
        <v>0.0497980772752243</v>
      </c>
      <c r="P136" s="10">
        <v>134.791889007471</v>
      </c>
      <c r="Q136" s="10">
        <v>1.64435909174144</v>
      </c>
      <c r="R136" s="10">
        <v>22.3689860857299</v>
      </c>
      <c r="S136" s="10">
        <v>0.365528291521699</v>
      </c>
      <c r="T136" s="10">
        <v>0.296209485442227</v>
      </c>
      <c r="U136" s="10">
        <v>2.18679536679537</v>
      </c>
    </row>
    <row r="137" ht="16" spans="1:21">
      <c r="A137" s="14">
        <v>2018</v>
      </c>
      <c r="B137" s="15">
        <v>220000</v>
      </c>
      <c r="C137" s="16" t="s">
        <v>54</v>
      </c>
      <c r="D137" s="10">
        <v>44925</v>
      </c>
      <c r="E137" s="10">
        <v>55610.924</v>
      </c>
      <c r="F137" s="10">
        <v>1.19927777639553</v>
      </c>
      <c r="G137" s="10">
        <v>54333.4631239936</v>
      </c>
      <c r="H137" s="10">
        <v>0.608695652173913</v>
      </c>
      <c r="I137" s="10">
        <v>0.0265026972624799</v>
      </c>
      <c r="J137" s="10">
        <v>0.336374380209352</v>
      </c>
      <c r="K137" s="10">
        <v>0.0102210391156765</v>
      </c>
      <c r="L137" s="10">
        <v>7.18083880936567</v>
      </c>
      <c r="M137" s="10">
        <v>0.121596527395191</v>
      </c>
      <c r="N137" s="10">
        <v>0.0303852920791199</v>
      </c>
      <c r="O137" s="10">
        <v>0.10222678561908</v>
      </c>
      <c r="P137" s="10">
        <v>132.550693703308</v>
      </c>
      <c r="Q137" s="10">
        <v>1.68444169969255</v>
      </c>
      <c r="R137" s="10">
        <v>22.42750868588</v>
      </c>
      <c r="S137" s="10">
        <v>0.3619932822691</v>
      </c>
      <c r="T137" s="10">
        <v>0.292096891716576</v>
      </c>
      <c r="U137" s="10">
        <v>2.1946464940355</v>
      </c>
    </row>
    <row r="138" ht="16" spans="1:21">
      <c r="A138" s="14">
        <v>2019</v>
      </c>
      <c r="B138" s="15">
        <v>220000</v>
      </c>
      <c r="C138" s="16" t="s">
        <v>54</v>
      </c>
      <c r="D138" s="10">
        <v>47554</v>
      </c>
      <c r="E138" s="10">
        <v>43475</v>
      </c>
      <c r="F138" s="10">
        <v>0.964458353269434</v>
      </c>
      <c r="G138" s="10">
        <v>46201.0221287582</v>
      </c>
      <c r="H138" s="10">
        <v>0.616421568627451</v>
      </c>
      <c r="I138" s="10">
        <v>0.0286006944444444</v>
      </c>
      <c r="J138" s="10">
        <v>0.333387624927517</v>
      </c>
      <c r="K138" s="10">
        <v>0.0126547736807995</v>
      </c>
      <c r="L138" s="10">
        <v>7.15929190479756</v>
      </c>
      <c r="M138" s="10">
        <v>0.11120688508374</v>
      </c>
      <c r="N138" s="10">
        <v>0.0404313197121124</v>
      </c>
      <c r="O138" s="10">
        <v>0.158940077429478</v>
      </c>
      <c r="P138" s="10">
        <v>130.629669156884</v>
      </c>
      <c r="Q138" s="10">
        <v>1.77913838387284</v>
      </c>
      <c r="R138" s="10">
        <v>22.2508352082203</v>
      </c>
      <c r="S138" s="10">
        <v>0.359254016440973</v>
      </c>
      <c r="T138" s="10">
        <v>0.28548282566429</v>
      </c>
      <c r="U138" s="10">
        <v>2.16249330476701</v>
      </c>
    </row>
    <row r="139" ht="16" spans="1:21">
      <c r="A139" s="14">
        <v>2020</v>
      </c>
      <c r="B139" s="15">
        <v>220000</v>
      </c>
      <c r="C139" s="16" t="s">
        <v>54</v>
      </c>
      <c r="D139" s="10">
        <v>50561</v>
      </c>
      <c r="E139" s="10">
        <v>50799.75</v>
      </c>
      <c r="F139" s="10">
        <v>0.999407723983437</v>
      </c>
      <c r="G139" s="10">
        <v>51057.6951443977</v>
      </c>
      <c r="H139" s="10">
        <v>0.626511046269279</v>
      </c>
      <c r="I139" s="10">
        <v>0.0475531054606086</v>
      </c>
      <c r="J139" s="10">
        <v>0.334299934725849</v>
      </c>
      <c r="K139" s="10">
        <v>0.0130140339425587</v>
      </c>
      <c r="L139" s="10">
        <v>7.13966033596492</v>
      </c>
      <c r="M139" s="10">
        <v>0.104264996736292</v>
      </c>
      <c r="N139" s="10">
        <v>0.0377080613577023</v>
      </c>
      <c r="O139" s="10">
        <v>0.182938373041775</v>
      </c>
      <c r="P139" s="10">
        <v>128.014941302028</v>
      </c>
      <c r="Q139" s="10">
        <v>1.85540306788512</v>
      </c>
      <c r="R139" s="10">
        <v>22.2995123807755</v>
      </c>
      <c r="S139" s="10">
        <v>0.31201044386423</v>
      </c>
      <c r="T139" s="10">
        <v>0.285672323759791</v>
      </c>
      <c r="U139" s="10">
        <v>2.07854608825543</v>
      </c>
    </row>
    <row r="140" ht="16" spans="1:21">
      <c r="A140" s="14">
        <v>2021</v>
      </c>
      <c r="B140" s="15">
        <v>220000</v>
      </c>
      <c r="C140" s="16" t="s">
        <v>54</v>
      </c>
      <c r="D140" s="10">
        <v>55148</v>
      </c>
      <c r="E140" s="10">
        <v>55450</v>
      </c>
      <c r="F140" s="10">
        <v>1.03284025754771</v>
      </c>
      <c r="G140" s="10">
        <v>57246.7477149747</v>
      </c>
      <c r="H140" s="10">
        <v>0.633684210526316</v>
      </c>
      <c r="I140" s="10">
        <v>0.0318127157894737</v>
      </c>
      <c r="J140" s="10">
        <v>0.278914143332472</v>
      </c>
      <c r="K140" s="10">
        <v>0.0139549370242635</v>
      </c>
      <c r="L140" s="10">
        <v>7.11350035071968</v>
      </c>
      <c r="M140" s="10">
        <v>0.113995875051277</v>
      </c>
      <c r="N140" s="10">
        <v>0.0082154848903812</v>
      </c>
      <c r="O140" s="10">
        <v>0.0267901365866999</v>
      </c>
      <c r="P140" s="10">
        <v>126.734258271078</v>
      </c>
      <c r="Q140" s="10">
        <v>1.86836019994227</v>
      </c>
      <c r="R140" s="10">
        <v>22.4853260533219</v>
      </c>
      <c r="S140" s="10">
        <v>0.320317841352801</v>
      </c>
      <c r="T140" s="10">
        <v>0.291671098011213</v>
      </c>
      <c r="U140" s="10">
        <v>2.02051921550845</v>
      </c>
    </row>
    <row r="141" ht="16" spans="1:21">
      <c r="A141" s="14">
        <v>2022</v>
      </c>
      <c r="B141" s="15">
        <v>220000</v>
      </c>
      <c r="C141" s="16" t="s">
        <v>54</v>
      </c>
      <c r="D141" s="10">
        <v>54279</v>
      </c>
      <c r="E141" s="10">
        <v>55347</v>
      </c>
      <c r="F141" s="10">
        <v>1.03523892935233</v>
      </c>
      <c r="G141" s="10">
        <v>56515.3156743233</v>
      </c>
      <c r="H141" s="10">
        <v>0.637137989778535</v>
      </c>
      <c r="I141" s="10">
        <v>0.0335893100511073</v>
      </c>
      <c r="J141" s="10">
        <v>0.313251573946217</v>
      </c>
      <c r="K141" s="10">
        <v>0.0146105413438809</v>
      </c>
      <c r="L141" s="10">
        <v>7.07748117578967</v>
      </c>
      <c r="M141" s="10">
        <v>0.122735413204765</v>
      </c>
      <c r="N141" s="10">
        <v>0.00288264251332101</v>
      </c>
      <c r="O141" s="10">
        <v>0.0262085488488934</v>
      </c>
      <c r="P141" s="10">
        <v>125.293489861259</v>
      </c>
      <c r="Q141" s="10">
        <v>2.05286430906297</v>
      </c>
      <c r="R141" s="10">
        <v>22.3525582159212</v>
      </c>
      <c r="S141" s="10">
        <v>0.297056506034436</v>
      </c>
      <c r="T141" s="10">
        <v>0.275298211123333</v>
      </c>
      <c r="U141" s="10">
        <v>1.95604940994816</v>
      </c>
    </row>
    <row r="142" ht="16" spans="1:21">
      <c r="A142" s="14">
        <v>2013</v>
      </c>
      <c r="B142" s="15">
        <v>320000</v>
      </c>
      <c r="C142" s="16" t="s">
        <v>55</v>
      </c>
      <c r="D142" s="10">
        <v>72767.79</v>
      </c>
      <c r="E142" s="10">
        <v>75354</v>
      </c>
      <c r="F142" s="10">
        <v>0.61286718989577</v>
      </c>
      <c r="G142" s="10">
        <v>44401.0009765625</v>
      </c>
      <c r="H142" s="10">
        <v>0.6439208984375</v>
      </c>
      <c r="I142" s="10">
        <v>0.0205621948242188</v>
      </c>
      <c r="J142" s="10">
        <v>0.131016320299784</v>
      </c>
      <c r="K142" s="10">
        <v>0.0250625954095576</v>
      </c>
      <c r="L142" s="10">
        <v>8.47468227146402</v>
      </c>
      <c r="M142" s="10">
        <v>0.574770528429942</v>
      </c>
      <c r="N142" s="10">
        <v>0.00888804267608434</v>
      </c>
      <c r="O142" s="10">
        <v>0.0236362490606476</v>
      </c>
      <c r="P142" s="10">
        <v>764.179104477612</v>
      </c>
      <c r="Q142" s="10">
        <v>1.04190657361321</v>
      </c>
      <c r="R142" s="10">
        <v>24.0687386063836</v>
      </c>
      <c r="S142" s="10">
        <v>0.351784516776918</v>
      </c>
      <c r="T142" s="10">
        <v>0.430744034480551</v>
      </c>
      <c r="U142" s="10">
        <v>2.3359958582945</v>
      </c>
    </row>
    <row r="143" ht="16" spans="1:21">
      <c r="A143" s="14">
        <v>2014</v>
      </c>
      <c r="B143" s="15">
        <v>320000</v>
      </c>
      <c r="C143" s="16" t="s">
        <v>55</v>
      </c>
      <c r="D143" s="10">
        <v>78711.24</v>
      </c>
      <c r="E143" s="10">
        <v>81874</v>
      </c>
      <c r="F143" s="10">
        <v>0.646896445345941</v>
      </c>
      <c r="G143" s="10">
        <v>50644.3907740611</v>
      </c>
      <c r="H143" s="10">
        <v>0.657046250452844</v>
      </c>
      <c r="I143" s="10">
        <v>0.0205124501871755</v>
      </c>
      <c r="J143" s="10">
        <v>0.130270628793546</v>
      </c>
      <c r="K143" s="10">
        <v>0.0254944817639845</v>
      </c>
      <c r="L143" s="10">
        <v>8.47903846989194</v>
      </c>
      <c r="M143" s="10">
        <v>0.53397612234982</v>
      </c>
      <c r="N143" s="10">
        <v>0.00837815534354972</v>
      </c>
      <c r="O143" s="10">
        <v>0.025918823701807</v>
      </c>
      <c r="P143" s="10">
        <v>772.481343283582</v>
      </c>
      <c r="Q143" s="10">
        <v>1.07314720694735</v>
      </c>
      <c r="R143" s="10">
        <v>24.1539643076313</v>
      </c>
      <c r="S143" s="10">
        <v>0.361837406776132</v>
      </c>
      <c r="T143" s="10">
        <v>0.418853780242324</v>
      </c>
      <c r="U143" s="10">
        <v>2.29616258858136</v>
      </c>
    </row>
    <row r="144" ht="16" spans="1:21">
      <c r="A144" s="14">
        <v>2015</v>
      </c>
      <c r="B144" s="15">
        <v>320000</v>
      </c>
      <c r="C144" s="16" t="s">
        <v>55</v>
      </c>
      <c r="D144" s="10">
        <v>85871.21</v>
      </c>
      <c r="E144" s="10">
        <v>87995</v>
      </c>
      <c r="F144" s="10">
        <v>0.649025133357378</v>
      </c>
      <c r="G144" s="10">
        <v>55618.6049308479</v>
      </c>
      <c r="H144" s="10">
        <v>0.6749248346362</v>
      </c>
      <c r="I144" s="10">
        <v>0.0206343836440168</v>
      </c>
      <c r="J144" s="10">
        <v>0.135504568744483</v>
      </c>
      <c r="K144" s="10">
        <v>0.0252783278296955</v>
      </c>
      <c r="L144" s="10">
        <v>8.48311921108249</v>
      </c>
      <c r="M144" s="10">
        <v>0.476868399669361</v>
      </c>
      <c r="N144" s="10">
        <v>0.0080403166614975</v>
      </c>
      <c r="O144" s="10">
        <v>0.0325094090454264</v>
      </c>
      <c r="P144" s="10">
        <v>775.652985074627</v>
      </c>
      <c r="Q144" s="10">
        <v>1.10680434883287</v>
      </c>
      <c r="R144" s="10">
        <v>24.1764823668505</v>
      </c>
      <c r="S144" s="10">
        <v>0.374847556483042</v>
      </c>
      <c r="T144" s="10">
        <v>0.404213545825679</v>
      </c>
      <c r="U144" s="10">
        <v>2.2865842406348</v>
      </c>
    </row>
    <row r="145" ht="16" spans="1:21">
      <c r="A145" s="14">
        <v>2016</v>
      </c>
      <c r="B145" s="15">
        <v>320000</v>
      </c>
      <c r="C145" s="16" t="s">
        <v>55</v>
      </c>
      <c r="D145" s="10">
        <v>92657.94</v>
      </c>
      <c r="E145" s="10">
        <v>96887</v>
      </c>
      <c r="F145" s="10">
        <v>0.642050835866163</v>
      </c>
      <c r="G145" s="10">
        <v>59256.9025175993</v>
      </c>
      <c r="H145" s="10">
        <v>0.68929721990216</v>
      </c>
      <c r="I145" s="10">
        <v>0.0208310106192578</v>
      </c>
      <c r="J145" s="10">
        <v>0.128580404365043</v>
      </c>
      <c r="K145" s="10">
        <v>0.0262035735847935</v>
      </c>
      <c r="L145" s="10">
        <v>8.4867793437275</v>
      </c>
      <c r="M145" s="10">
        <v>0.437344555784096</v>
      </c>
      <c r="N145" s="10">
        <v>0.00821761608462216</v>
      </c>
      <c r="O145" s="10">
        <v>0.0241793424510898</v>
      </c>
      <c r="P145" s="10">
        <v>781.809701492537</v>
      </c>
      <c r="Q145" s="10">
        <v>1.17784796298427</v>
      </c>
      <c r="R145" s="10">
        <v>24.1823049688469</v>
      </c>
      <c r="S145" s="10">
        <v>0.382833296057318</v>
      </c>
      <c r="T145" s="10">
        <v>0.391610181652702</v>
      </c>
      <c r="U145" s="10">
        <v>2.28058616380779</v>
      </c>
    </row>
    <row r="146" ht="16" spans="1:21">
      <c r="A146" s="14">
        <v>2017</v>
      </c>
      <c r="B146" s="15">
        <v>320000</v>
      </c>
      <c r="C146" s="16" t="s">
        <v>55</v>
      </c>
      <c r="D146" s="10">
        <v>102201.57</v>
      </c>
      <c r="E146" s="10">
        <v>107150</v>
      </c>
      <c r="F146" s="10">
        <v>0.620439665633319</v>
      </c>
      <c r="G146" s="10">
        <v>63251.8461355811</v>
      </c>
      <c r="H146" s="10">
        <v>0.70176896592663</v>
      </c>
      <c r="I146" s="10">
        <v>0.0209886857414223</v>
      </c>
      <c r="J146" s="10">
        <v>0.123207577052701</v>
      </c>
      <c r="K146" s="10">
        <v>0.0263196141134601</v>
      </c>
      <c r="L146" s="10">
        <v>8.49142399952227</v>
      </c>
      <c r="M146" s="10">
        <v>0.464519050935253</v>
      </c>
      <c r="N146" s="10">
        <v>0.00906511951815423</v>
      </c>
      <c r="O146" s="10">
        <v>0.0343243643283203</v>
      </c>
      <c r="P146" s="10">
        <v>785.727611940299</v>
      </c>
      <c r="Q146" s="10">
        <v>1.18916394355175</v>
      </c>
      <c r="R146" s="10">
        <v>24.2771502192084</v>
      </c>
      <c r="S146" s="10">
        <v>0.382185587948266</v>
      </c>
      <c r="T146" s="10">
        <v>0.393416544582612</v>
      </c>
      <c r="U146" s="10">
        <v>2.2769600167032</v>
      </c>
    </row>
    <row r="147" ht="16" spans="1:21">
      <c r="A147" s="14">
        <v>2018</v>
      </c>
      <c r="B147" s="15">
        <v>320000</v>
      </c>
      <c r="C147" s="16" t="s">
        <v>55</v>
      </c>
      <c r="D147" s="10">
        <v>110507.5</v>
      </c>
      <c r="E147" s="10">
        <v>115168.408</v>
      </c>
      <c r="F147" s="10">
        <v>0.603033085821328</v>
      </c>
      <c r="G147" s="10">
        <v>66548.9778001421</v>
      </c>
      <c r="H147" s="10">
        <v>0.711934643618281</v>
      </c>
      <c r="I147" s="10">
        <v>0.02138618280843</v>
      </c>
      <c r="J147" s="10">
        <v>0.124520103510872</v>
      </c>
      <c r="K147" s="10">
        <v>0.0268693674120994</v>
      </c>
      <c r="L147" s="10">
        <v>8.49431343460939</v>
      </c>
      <c r="M147" s="10">
        <v>0.471354567653281</v>
      </c>
      <c r="N147" s="10">
        <v>0.010637008140967</v>
      </c>
      <c r="O147" s="10">
        <v>0.0629228496388707</v>
      </c>
      <c r="P147" s="10">
        <v>787.873134328358</v>
      </c>
      <c r="Q147" s="10">
        <v>1.24151893193259</v>
      </c>
      <c r="R147" s="10">
        <v>24.3344209499159</v>
      </c>
      <c r="S147" s="10">
        <v>0.380576262021552</v>
      </c>
      <c r="T147" s="10">
        <v>0.387449092134118</v>
      </c>
      <c r="U147" s="10">
        <v>2.26433197409451</v>
      </c>
    </row>
    <row r="148" ht="16" spans="1:21">
      <c r="A148" s="14">
        <v>2019</v>
      </c>
      <c r="B148" s="15">
        <v>320000</v>
      </c>
      <c r="C148" s="16" t="s">
        <v>55</v>
      </c>
      <c r="D148" s="10">
        <v>116650.1</v>
      </c>
      <c r="E148" s="10">
        <v>123607</v>
      </c>
      <c r="F148" s="10">
        <v>0.598781201591274</v>
      </c>
      <c r="G148" s="10">
        <v>69753.0254447396</v>
      </c>
      <c r="H148" s="10">
        <v>0.724642814972252</v>
      </c>
      <c r="I148" s="10">
        <v>0.0221287519187625</v>
      </c>
      <c r="J148" s="10">
        <v>0.126461835372726</v>
      </c>
      <c r="K148" s="10">
        <v>0.0281735926971075</v>
      </c>
      <c r="L148" s="10">
        <v>8.49764333217152</v>
      </c>
      <c r="M148" s="10">
        <v>0.440184123142044</v>
      </c>
      <c r="N148" s="10">
        <v>0.0149155456086149</v>
      </c>
      <c r="O148" s="10">
        <v>0.0909449596986726</v>
      </c>
      <c r="P148" s="10">
        <v>790.018656716418</v>
      </c>
      <c r="Q148" s="10">
        <v>1.35145139513951</v>
      </c>
      <c r="R148" s="10">
        <v>24.4614897495089</v>
      </c>
      <c r="S148" s="10">
        <v>0.381854063784757</v>
      </c>
      <c r="T148" s="10">
        <v>0.377325232523252</v>
      </c>
      <c r="U148" s="10">
        <v>2.2516427783903</v>
      </c>
    </row>
    <row r="149" ht="16" spans="1:21">
      <c r="A149" s="14">
        <v>2020</v>
      </c>
      <c r="B149" s="15">
        <v>320000</v>
      </c>
      <c r="C149" s="16" t="s">
        <v>55</v>
      </c>
      <c r="D149" s="10">
        <v>121333</v>
      </c>
      <c r="E149" s="10">
        <v>121230.95</v>
      </c>
      <c r="F149" s="10">
        <v>0.576328998323058</v>
      </c>
      <c r="G149" s="10">
        <v>69896.2590077827</v>
      </c>
      <c r="H149" s="10">
        <v>0.734457945027722</v>
      </c>
      <c r="I149" s="10">
        <v>0.00637835319098738</v>
      </c>
      <c r="J149" s="10">
        <v>0.131882534090345</v>
      </c>
      <c r="K149" s="10">
        <v>0.0292383572436695</v>
      </c>
      <c r="L149" s="10">
        <v>8.49556089128912</v>
      </c>
      <c r="M149" s="10">
        <v>0.431290350820026</v>
      </c>
      <c r="N149" s="10">
        <v>0.020308303755458</v>
      </c>
      <c r="O149" s="10">
        <v>0.105908692636836</v>
      </c>
      <c r="P149" s="10">
        <v>790.764925373134</v>
      </c>
      <c r="Q149" s="10">
        <v>1.50303216587863</v>
      </c>
      <c r="R149" s="10">
        <v>24.5014616492054</v>
      </c>
      <c r="S149" s="10">
        <v>0.360732707764107</v>
      </c>
      <c r="T149" s="10">
        <v>0.371549018215562</v>
      </c>
      <c r="U149" s="10">
        <v>2.19447888255228</v>
      </c>
    </row>
    <row r="150" ht="16" spans="1:21">
      <c r="A150" s="14">
        <v>2021</v>
      </c>
      <c r="B150" s="15">
        <v>320000</v>
      </c>
      <c r="C150" s="16" t="s">
        <v>55</v>
      </c>
      <c r="D150" s="10">
        <v>138255</v>
      </c>
      <c r="E150" s="10">
        <v>137039</v>
      </c>
      <c r="F150" s="10">
        <v>0.534000669285486</v>
      </c>
      <c r="G150" s="10">
        <v>73706.7844433033</v>
      </c>
      <c r="H150" s="10">
        <v>0.739447383891828</v>
      </c>
      <c r="I150" s="10">
        <v>0.0248184009406232</v>
      </c>
      <c r="J150" s="10">
        <v>0.123037351651385</v>
      </c>
      <c r="K150" s="10">
        <v>0.0292911393752918</v>
      </c>
      <c r="L150" s="10">
        <v>8.48938202117589</v>
      </c>
      <c r="M150" s="10">
        <v>0.443209373008815</v>
      </c>
      <c r="N150" s="10">
        <v>0.0222005002027389</v>
      </c>
      <c r="O150" s="10">
        <v>0.019604931835451</v>
      </c>
      <c r="P150" s="10">
        <v>793.376865671642</v>
      </c>
      <c r="Q150" s="10">
        <v>1.51602744300312</v>
      </c>
      <c r="R150" s="10">
        <v>24.5642166479074</v>
      </c>
      <c r="S150" s="10">
        <v>0.36375949380028</v>
      </c>
      <c r="T150" s="10">
        <v>0.389554178975811</v>
      </c>
      <c r="U150" s="10">
        <v>2.15535067746631</v>
      </c>
    </row>
    <row r="151" ht="16" spans="1:21">
      <c r="A151" s="14">
        <v>2022</v>
      </c>
      <c r="B151" s="15">
        <v>320000</v>
      </c>
      <c r="C151" s="16" t="s">
        <v>55</v>
      </c>
      <c r="D151" s="10">
        <v>143466</v>
      </c>
      <c r="E151" s="10">
        <v>144390</v>
      </c>
      <c r="F151" s="10">
        <v>0.532968488929436</v>
      </c>
      <c r="G151" s="10">
        <v>76417.7918208486</v>
      </c>
      <c r="H151" s="10">
        <v>0.744216089254257</v>
      </c>
      <c r="I151" s="10">
        <v>0.026061233118027</v>
      </c>
      <c r="J151" s="10">
        <v>0.120870952655147</v>
      </c>
      <c r="K151" s="10">
        <v>0.0314149416042192</v>
      </c>
      <c r="L151" s="10">
        <v>8.47741232140439</v>
      </c>
      <c r="M151" s="10">
        <v>0.44861675019842</v>
      </c>
      <c r="N151" s="10">
        <v>0.0244638965085392</v>
      </c>
      <c r="O151" s="10">
        <v>0.0196114548940816</v>
      </c>
      <c r="P151" s="10">
        <v>794.309701492537</v>
      </c>
      <c r="Q151" s="10">
        <v>1.67029813423453</v>
      </c>
      <c r="R151" s="10">
        <v>24.5098297863093</v>
      </c>
      <c r="S151" s="10">
        <v>0.350170735682816</v>
      </c>
      <c r="T151" s="10">
        <v>0.390602616281689</v>
      </c>
      <c r="U151" s="10">
        <v>2.11254651407709</v>
      </c>
    </row>
    <row r="152" ht="16" spans="1:21">
      <c r="A152" s="14">
        <v>2013</v>
      </c>
      <c r="B152" s="15">
        <v>360000</v>
      </c>
      <c r="C152" s="16" t="s">
        <v>56</v>
      </c>
      <c r="D152" s="10">
        <v>31952.12</v>
      </c>
      <c r="E152" s="10">
        <v>31930</v>
      </c>
      <c r="F152" s="10">
        <v>0.898609809653012</v>
      </c>
      <c r="G152" s="10">
        <v>28709.3386952636</v>
      </c>
      <c r="H152" s="10">
        <v>0.490393208221626</v>
      </c>
      <c r="I152" s="10">
        <v>0.0192548927613941</v>
      </c>
      <c r="J152" s="10">
        <v>0.24253367085775</v>
      </c>
      <c r="K152" s="10">
        <v>0.00947519545181186</v>
      </c>
      <c r="L152" s="10">
        <v>7.76726399675731</v>
      </c>
      <c r="M152" s="10">
        <v>0.15914410287968</v>
      </c>
      <c r="N152" s="10">
        <v>0.00301114669724899</v>
      </c>
      <c r="O152" s="10">
        <v>0.0265192584719095</v>
      </c>
      <c r="P152" s="10">
        <v>268.184541641702</v>
      </c>
      <c r="Q152" s="10">
        <v>0.905824394064419</v>
      </c>
      <c r="R152" s="10">
        <v>23.746379812734</v>
      </c>
      <c r="S152" s="10">
        <v>0.328394008475406</v>
      </c>
      <c r="T152" s="10">
        <v>0.456168445196571</v>
      </c>
      <c r="U152" s="10">
        <v>2.43371107932666</v>
      </c>
    </row>
    <row r="153" ht="16" spans="1:21">
      <c r="A153" s="14">
        <v>2014</v>
      </c>
      <c r="B153" s="15">
        <v>360000</v>
      </c>
      <c r="C153" s="16" t="s">
        <v>56</v>
      </c>
      <c r="D153" s="10">
        <v>34988.34</v>
      </c>
      <c r="E153" s="10">
        <v>34674</v>
      </c>
      <c r="F153" s="10">
        <v>0.962436334392831</v>
      </c>
      <c r="G153" s="10">
        <v>33659.0625</v>
      </c>
      <c r="H153" s="10">
        <v>0.505580357142857</v>
      </c>
      <c r="I153" s="10">
        <v>0.0204556919642857</v>
      </c>
      <c r="J153" s="10">
        <v>0.247750162754184</v>
      </c>
      <c r="K153" s="10">
        <v>0.00977236306309756</v>
      </c>
      <c r="L153" s="10">
        <v>7.76131918094799</v>
      </c>
      <c r="M153" s="10">
        <v>0.167532704017156</v>
      </c>
      <c r="N153" s="10">
        <v>0.00323976563397541</v>
      </c>
      <c r="O153" s="10">
        <v>0.0284535863363076</v>
      </c>
      <c r="P153" s="10">
        <v>268.424206111444</v>
      </c>
      <c r="Q153" s="10">
        <v>0.987127101443725</v>
      </c>
      <c r="R153" s="10">
        <v>23.88533031494</v>
      </c>
      <c r="S153" s="10">
        <v>0.337801095239919</v>
      </c>
      <c r="T153" s="10">
        <v>0.442353106371028</v>
      </c>
      <c r="U153" s="10">
        <v>2.40278738756548</v>
      </c>
    </row>
    <row r="154" ht="16" spans="1:21">
      <c r="A154" s="14">
        <v>2015</v>
      </c>
      <c r="B154" s="15">
        <v>360000</v>
      </c>
      <c r="C154" s="16" t="s">
        <v>56</v>
      </c>
      <c r="D154" s="10">
        <v>37436.45</v>
      </c>
      <c r="E154" s="10">
        <v>36724</v>
      </c>
      <c r="F154" s="10">
        <v>1.03618578264575</v>
      </c>
      <c r="G154" s="10">
        <v>38769.5206243032</v>
      </c>
      <c r="H154" s="10">
        <v>0.523076923076923</v>
      </c>
      <c r="I154" s="10">
        <v>0.0219507023411371</v>
      </c>
      <c r="J154" s="10">
        <v>0.262841683104005</v>
      </c>
      <c r="K154" s="10">
        <v>0.010320182469355</v>
      </c>
      <c r="L154" s="10">
        <v>7.75705114203201</v>
      </c>
      <c r="M154" s="10">
        <v>0.157370397296927</v>
      </c>
      <c r="N154" s="10">
        <v>0.00386451263043103</v>
      </c>
      <c r="O154" s="10">
        <v>0.036951218349433</v>
      </c>
      <c r="P154" s="10">
        <v>268.723786698622</v>
      </c>
      <c r="Q154" s="10">
        <v>1.09338593281648</v>
      </c>
      <c r="R154" s="10">
        <v>23.7395804398774</v>
      </c>
      <c r="S154" s="10">
        <v>0.382565893366863</v>
      </c>
      <c r="T154" s="10">
        <v>0.418702215018265</v>
      </c>
      <c r="U154" s="10">
        <v>2.37902863811832</v>
      </c>
    </row>
    <row r="155" ht="16" spans="1:21">
      <c r="A155" s="14">
        <v>2016</v>
      </c>
      <c r="B155" s="15">
        <v>360000</v>
      </c>
      <c r="C155" s="16" t="s">
        <v>56</v>
      </c>
      <c r="D155" s="10">
        <v>40949.98</v>
      </c>
      <c r="E155" s="10">
        <v>40400</v>
      </c>
      <c r="F155" s="10">
        <v>1.07100105500147</v>
      </c>
      <c r="G155" s="10">
        <v>43803.8478647687</v>
      </c>
      <c r="H155" s="10">
        <v>0.539813167259786</v>
      </c>
      <c r="I155" s="10">
        <v>0.023108340747331</v>
      </c>
      <c r="J155" s="10">
        <v>0.250889137835398</v>
      </c>
      <c r="K155" s="10">
        <v>0.0112737832135127</v>
      </c>
      <c r="L155" s="10">
        <v>7.75448154747038</v>
      </c>
      <c r="M155" s="10">
        <v>0.144589957908704</v>
      </c>
      <c r="N155" s="10">
        <v>0.00429668381497232</v>
      </c>
      <c r="O155" s="10">
        <v>0.0264761972091404</v>
      </c>
      <c r="P155" s="10">
        <v>269.382863990413</v>
      </c>
      <c r="Q155" s="10">
        <v>1.18126284763386</v>
      </c>
      <c r="R155" s="10">
        <v>23.8306533992279</v>
      </c>
      <c r="S155" s="10">
        <v>0.391465364410559</v>
      </c>
      <c r="T155" s="10">
        <v>0.399666097473435</v>
      </c>
      <c r="U155" s="10">
        <v>2.36225078266601</v>
      </c>
    </row>
    <row r="156" ht="16" spans="1:21">
      <c r="A156" s="14">
        <v>2017</v>
      </c>
      <c r="B156" s="15">
        <v>360000</v>
      </c>
      <c r="C156" s="16" t="s">
        <v>56</v>
      </c>
      <c r="D156" s="10">
        <v>44877.94</v>
      </c>
      <c r="E156" s="10">
        <v>43424.3703</v>
      </c>
      <c r="F156" s="10">
        <v>1.09274942110159</v>
      </c>
      <c r="G156" s="10">
        <v>48958.8561294613</v>
      </c>
      <c r="H156" s="10">
        <v>0.557082686765684</v>
      </c>
      <c r="I156" s="10">
        <v>0.0232385058745289</v>
      </c>
      <c r="J156" s="10">
        <v>0.252721317315495</v>
      </c>
      <c r="K156" s="10">
        <v>0.0126567478773725</v>
      </c>
      <c r="L156" s="10">
        <v>7.74802852443238</v>
      </c>
      <c r="M156" s="10">
        <v>0.148122761098027</v>
      </c>
      <c r="N156" s="10">
        <v>0.00476032616224989</v>
      </c>
      <c r="O156" s="10">
        <v>0.0391439131553427</v>
      </c>
      <c r="P156" s="10">
        <v>270.281605751947</v>
      </c>
      <c r="Q156" s="10">
        <v>1.27221881370356</v>
      </c>
      <c r="R156" s="10">
        <v>23.9446508529599</v>
      </c>
      <c r="S156" s="10">
        <v>0.401666435767016</v>
      </c>
      <c r="T156" s="10">
        <v>0.394323826864845</v>
      </c>
      <c r="U156" s="10">
        <v>2.35598852137139</v>
      </c>
    </row>
    <row r="157" ht="16" spans="1:21">
      <c r="A157" s="14">
        <v>2018</v>
      </c>
      <c r="B157" s="15">
        <v>360000</v>
      </c>
      <c r="C157" s="16" t="s">
        <v>56</v>
      </c>
      <c r="D157" s="10">
        <v>50346.88</v>
      </c>
      <c r="E157" s="10">
        <v>47433.9457</v>
      </c>
      <c r="F157" s="10">
        <v>1.08013174300618</v>
      </c>
      <c r="G157" s="10">
        <v>54369.1840017727</v>
      </c>
      <c r="H157" s="10">
        <v>0.573454464879238</v>
      </c>
      <c r="I157" s="10">
        <v>0.0233636162198094</v>
      </c>
      <c r="J157" s="10">
        <v>0.249322738978276</v>
      </c>
      <c r="K157" s="10">
        <v>0.0136768683556006</v>
      </c>
      <c r="L157" s="10">
        <v>7.73848812249465</v>
      </c>
      <c r="M157" s="10">
        <v>0.140372205225277</v>
      </c>
      <c r="N157" s="10">
        <v>0.00509849668742984</v>
      </c>
      <c r="O157" s="10">
        <v>0.0786133999515771</v>
      </c>
      <c r="P157" s="10">
        <v>270.401437986818</v>
      </c>
      <c r="Q157" s="10">
        <v>1.33640217463078</v>
      </c>
      <c r="R157" s="10">
        <v>24.0634345196327</v>
      </c>
      <c r="S157" s="10">
        <v>0.398199546585081</v>
      </c>
      <c r="T157" s="10">
        <v>0.363797239891709</v>
      </c>
      <c r="U157" s="10">
        <v>2.33879668049793</v>
      </c>
    </row>
    <row r="158" ht="16" spans="1:21">
      <c r="A158" s="14">
        <v>2019</v>
      </c>
      <c r="B158" s="15">
        <v>360000</v>
      </c>
      <c r="C158" s="16" t="s">
        <v>56</v>
      </c>
      <c r="D158" s="10">
        <v>54640.14</v>
      </c>
      <c r="E158" s="10">
        <v>53164</v>
      </c>
      <c r="F158" s="10">
        <v>1.08622344205</v>
      </c>
      <c r="G158" s="10">
        <v>59331.7083969885</v>
      </c>
      <c r="H158" s="10">
        <v>0.590788308237378</v>
      </c>
      <c r="I158" s="10">
        <v>0.0251317537643933</v>
      </c>
      <c r="J158" s="10">
        <v>0.257485415914997</v>
      </c>
      <c r="K158" s="10">
        <v>0.0155797124127894</v>
      </c>
      <c r="L158" s="10">
        <v>7.73105314400713</v>
      </c>
      <c r="M158" s="10">
        <v>0.142319252613784</v>
      </c>
      <c r="N158" s="10">
        <v>0.0060245750446948</v>
      </c>
      <c r="O158" s="10">
        <v>0.124402780198887</v>
      </c>
      <c r="P158" s="10">
        <v>270.581186339125</v>
      </c>
      <c r="Q158" s="10">
        <v>1.43889886611019</v>
      </c>
      <c r="R158" s="10">
        <v>24.1754200639868</v>
      </c>
      <c r="S158" s="10">
        <v>0.4081557365419</v>
      </c>
      <c r="T158" s="10">
        <v>0.355701677929891</v>
      </c>
      <c r="U158" s="10">
        <v>2.31362370220309</v>
      </c>
    </row>
    <row r="159" ht="16" spans="1:21">
      <c r="A159" s="14">
        <v>2020</v>
      </c>
      <c r="B159" s="15">
        <v>360000</v>
      </c>
      <c r="C159" s="16" t="s">
        <v>56</v>
      </c>
      <c r="D159" s="10">
        <v>57068.79</v>
      </c>
      <c r="E159" s="10">
        <v>56871.06</v>
      </c>
      <c r="F159" s="10">
        <v>1.12447924412655</v>
      </c>
      <c r="G159" s="10">
        <v>64154.2904892025</v>
      </c>
      <c r="H159" s="10">
        <v>0.604337242752821</v>
      </c>
      <c r="I159" s="10">
        <v>0.020960101792432</v>
      </c>
      <c r="J159" s="10">
        <v>0.256405631836165</v>
      </c>
      <c r="K159" s="10">
        <v>0.0167061833837561</v>
      </c>
      <c r="L159" s="10">
        <v>7.72488843932307</v>
      </c>
      <c r="M159" s="10">
        <v>0.155239705996432</v>
      </c>
      <c r="N159" s="10">
        <v>0.00905321542161198</v>
      </c>
      <c r="O159" s="10">
        <v>0.149298875184237</v>
      </c>
      <c r="P159" s="10">
        <v>270.760934691432</v>
      </c>
      <c r="Q159" s="10">
        <v>1.60612830657048</v>
      </c>
      <c r="R159" s="10">
        <v>24.2228602204537</v>
      </c>
      <c r="S159" s="10">
        <v>0.402288418276317</v>
      </c>
      <c r="T159" s="10">
        <v>0.348754945310682</v>
      </c>
      <c r="U159" s="10">
        <v>2.27053765973735</v>
      </c>
    </row>
    <row r="160" ht="16" spans="1:21">
      <c r="A160" s="14">
        <v>2021</v>
      </c>
      <c r="B160" s="15">
        <v>360000</v>
      </c>
      <c r="C160" s="16" t="s">
        <v>56</v>
      </c>
      <c r="D160" s="10">
        <v>66020</v>
      </c>
      <c r="E160" s="10">
        <v>65560</v>
      </c>
      <c r="F160" s="10">
        <v>1.07692779387867</v>
      </c>
      <c r="G160" s="10">
        <v>71114.4273859956</v>
      </c>
      <c r="H160" s="10">
        <v>0.614567190613239</v>
      </c>
      <c r="I160" s="10">
        <v>0.0298575603276511</v>
      </c>
      <c r="J160" s="10">
        <v>0.225371633174421</v>
      </c>
      <c r="K160" s="10">
        <v>0.0168356972354649</v>
      </c>
      <c r="L160" s="10">
        <v>7.71512360363211</v>
      </c>
      <c r="M160" s="10">
        <v>0.16658772353308</v>
      </c>
      <c r="N160" s="10">
        <v>0.0137249478674257</v>
      </c>
      <c r="O160" s="10">
        <v>0.0214125748462843</v>
      </c>
      <c r="P160" s="10">
        <v>270.641102456561</v>
      </c>
      <c r="Q160" s="10">
        <v>1.57305265557634</v>
      </c>
      <c r="R160" s="10">
        <v>24.4595679059175</v>
      </c>
      <c r="S160" s="10">
        <v>0.409239032043932</v>
      </c>
      <c r="T160" s="10">
        <v>0.36418710062425</v>
      </c>
      <c r="U160" s="10">
        <v>2.23099978591308</v>
      </c>
    </row>
    <row r="161" ht="16" spans="1:21">
      <c r="A161" s="14">
        <v>2022</v>
      </c>
      <c r="B161" s="15">
        <v>360000</v>
      </c>
      <c r="C161" s="16" t="s">
        <v>56</v>
      </c>
      <c r="D161" s="10">
        <v>69019</v>
      </c>
      <c r="E161" s="10">
        <v>70923</v>
      </c>
      <c r="F161" s="10">
        <v>1.11761182936317</v>
      </c>
      <c r="G161" s="10">
        <v>77042.6504403182</v>
      </c>
      <c r="H161" s="10">
        <v>0.620803886925795</v>
      </c>
      <c r="I161" s="10">
        <v>0.0323418065371025</v>
      </c>
      <c r="J161" s="10">
        <v>0.231445386335531</v>
      </c>
      <c r="K161" s="10">
        <v>0.0178815776996072</v>
      </c>
      <c r="L161" s="10">
        <v>7.69302574841789</v>
      </c>
      <c r="M161" s="10">
        <v>0.214148812384266</v>
      </c>
      <c r="N161" s="10">
        <v>0.0235113956006638</v>
      </c>
      <c r="O161" s="10">
        <v>0.021873232352357</v>
      </c>
      <c r="P161" s="10">
        <v>271.300179748352</v>
      </c>
      <c r="Q161" s="10">
        <v>1.68608564160724</v>
      </c>
      <c r="R161" s="10">
        <v>24.4488261079929</v>
      </c>
      <c r="S161" s="10">
        <v>0.411789016396594</v>
      </c>
      <c r="T161" s="10">
        <v>0.351584875920266</v>
      </c>
      <c r="U161" s="10">
        <v>2.191863964687</v>
      </c>
    </row>
    <row r="162" ht="16" spans="1:21">
      <c r="A162" s="14">
        <v>2013</v>
      </c>
      <c r="B162" s="15">
        <v>210000</v>
      </c>
      <c r="C162" s="16" t="s">
        <v>57</v>
      </c>
      <c r="D162" s="10">
        <v>43956</v>
      </c>
      <c r="E162" s="10">
        <v>61996.1727</v>
      </c>
      <c r="F162" s="10">
        <v>1.30709362375578</v>
      </c>
      <c r="G162" s="10">
        <v>57520.5040091638</v>
      </c>
      <c r="H162" s="10">
        <v>0.664604810996564</v>
      </c>
      <c r="I162" s="10">
        <v>0.0221771821305842</v>
      </c>
      <c r="J162" s="10">
        <v>0.270478114197659</v>
      </c>
      <c r="K162" s="10">
        <v>0.0232149946899338</v>
      </c>
      <c r="L162" s="10">
        <v>7.83156963726632</v>
      </c>
      <c r="M162" s="10">
        <v>0.369094540002499</v>
      </c>
      <c r="N162" s="10">
        <v>0.00902607138394902</v>
      </c>
      <c r="O162" s="10">
        <v>0.0303097850984965</v>
      </c>
      <c r="P162" s="10">
        <v>293.544048419637</v>
      </c>
      <c r="Q162" s="10">
        <v>1.54731373120653</v>
      </c>
      <c r="R162" s="10">
        <v>23.8568783951458</v>
      </c>
      <c r="S162" s="10">
        <v>0.550862104868602</v>
      </c>
      <c r="T162" s="10">
        <v>0.41853733705385</v>
      </c>
      <c r="U162" s="10">
        <v>2.62739887806318</v>
      </c>
    </row>
    <row r="163" ht="16" spans="1:21">
      <c r="A163" s="14">
        <v>2014</v>
      </c>
      <c r="B163" s="15">
        <v>210000</v>
      </c>
      <c r="C163" s="16" t="s">
        <v>57</v>
      </c>
      <c r="D163" s="10">
        <v>45915</v>
      </c>
      <c r="E163" s="10">
        <v>65201.1844</v>
      </c>
      <c r="F163" s="10">
        <v>1.23495308528541</v>
      </c>
      <c r="G163" s="10">
        <v>56748.0495640202</v>
      </c>
      <c r="H163" s="10">
        <v>0.670491050940799</v>
      </c>
      <c r="I163" s="10">
        <v>0.0229068609453878</v>
      </c>
      <c r="J163" s="10">
        <v>0.253126732149188</v>
      </c>
      <c r="K163" s="10">
        <v>0.0217313307399991</v>
      </c>
      <c r="L163" s="10">
        <v>7.84863325204163</v>
      </c>
      <c r="M163" s="10">
        <v>0.349684894910041</v>
      </c>
      <c r="N163" s="10">
        <v>0.0108590461257284</v>
      </c>
      <c r="O163" s="10">
        <v>0.0323228151824905</v>
      </c>
      <c r="P163" s="10">
        <v>293.073301950235</v>
      </c>
      <c r="Q163" s="10">
        <v>1.64905796052073</v>
      </c>
      <c r="R163" s="10">
        <v>23.9674736539583</v>
      </c>
      <c r="S163" s="10">
        <v>0.592089165422432</v>
      </c>
      <c r="T163" s="10">
        <v>0.390063768058045</v>
      </c>
      <c r="U163" s="10">
        <v>2.59869538021625</v>
      </c>
    </row>
    <row r="164" ht="16" spans="1:21">
      <c r="A164" s="14">
        <v>2015</v>
      </c>
      <c r="B164" s="15">
        <v>210000</v>
      </c>
      <c r="C164" s="16" t="s">
        <v>57</v>
      </c>
      <c r="D164" s="10">
        <v>46482</v>
      </c>
      <c r="E164" s="10">
        <v>65354.4122</v>
      </c>
      <c r="F164" s="10">
        <v>0.88657219338654</v>
      </c>
      <c r="G164" s="10">
        <v>41304.4951590595</v>
      </c>
      <c r="H164" s="10">
        <v>0.680497925311203</v>
      </c>
      <c r="I164" s="10">
        <v>0.0231823420931305</v>
      </c>
      <c r="J164" s="10">
        <v>0.22116297135619</v>
      </c>
      <c r="K164" s="10">
        <v>0.0179807890036269</v>
      </c>
      <c r="L164" s="10">
        <v>7.78733638228949</v>
      </c>
      <c r="M164" s="10">
        <v>0.295689361365244</v>
      </c>
      <c r="N164" s="10">
        <v>0.0132353304997947</v>
      </c>
      <c r="O164" s="10">
        <v>0.0398048767212758</v>
      </c>
      <c r="P164" s="10">
        <v>291.72831203766</v>
      </c>
      <c r="Q164" s="10">
        <v>1.79526132714507</v>
      </c>
      <c r="R164" s="10">
        <v>23.9144110032976</v>
      </c>
      <c r="S164" s="10">
        <v>0.413887968016309</v>
      </c>
      <c r="T164" s="10">
        <v>0.352082848844401</v>
      </c>
      <c r="U164" s="10">
        <v>2.58157087169279</v>
      </c>
    </row>
    <row r="165" ht="16" spans="1:21">
      <c r="A165" s="14">
        <v>2016</v>
      </c>
      <c r="B165" s="15">
        <v>210000</v>
      </c>
      <c r="C165" s="16" t="s">
        <v>57</v>
      </c>
      <c r="D165" s="10">
        <v>47069</v>
      </c>
      <c r="E165" s="10">
        <v>50791</v>
      </c>
      <c r="F165" s="10">
        <v>0.328172122103715</v>
      </c>
      <c r="G165" s="10">
        <v>15466.2583776288</v>
      </c>
      <c r="H165" s="10">
        <v>0.688698867575688</v>
      </c>
      <c r="I165" s="10">
        <v>0.0230810954471921</v>
      </c>
      <c r="J165" s="10">
        <v>0.223842589187201</v>
      </c>
      <c r="K165" s="10">
        <v>0.0182771337501532</v>
      </c>
      <c r="L165" s="10">
        <v>7.74116862260271</v>
      </c>
      <c r="M165" s="10">
        <v>0.281935446855462</v>
      </c>
      <c r="N165" s="10">
        <v>0.0158499448326591</v>
      </c>
      <c r="O165" s="10">
        <v>0.0301167095745985</v>
      </c>
      <c r="P165" s="10">
        <v>290.988567585743</v>
      </c>
      <c r="Q165" s="10">
        <v>1.89705038617139</v>
      </c>
      <c r="R165" s="10">
        <v>23.9411255550329</v>
      </c>
      <c r="S165" s="10">
        <v>0.421581463773446</v>
      </c>
      <c r="T165" s="10">
        <v>0.324506558783867</v>
      </c>
      <c r="U165" s="10">
        <v>2.55228631317444</v>
      </c>
    </row>
    <row r="166" ht="16" spans="1:21">
      <c r="A166" s="14">
        <v>2017</v>
      </c>
      <c r="B166" s="15">
        <v>210000</v>
      </c>
      <c r="C166" s="16" t="s">
        <v>57</v>
      </c>
      <c r="D166" s="10">
        <v>50221</v>
      </c>
      <c r="E166" s="10">
        <v>53526.6544</v>
      </c>
      <c r="F166" s="10">
        <v>0.307783155856728</v>
      </c>
      <c r="G166" s="10">
        <v>15484.0909090909</v>
      </c>
      <c r="H166" s="10">
        <v>0.694805194805195</v>
      </c>
      <c r="I166" s="10">
        <v>0.0227503478664193</v>
      </c>
      <c r="J166" s="10">
        <v>0.224341953625594</v>
      </c>
      <c r="K166" s="10">
        <v>0.0198166468446043</v>
      </c>
      <c r="L166" s="10">
        <v>7.7339724957581</v>
      </c>
      <c r="M166" s="10">
        <v>0.309982985294796</v>
      </c>
      <c r="N166" s="10">
        <v>0.0177859217259024</v>
      </c>
      <c r="O166" s="10">
        <v>0.046120522749274</v>
      </c>
      <c r="P166" s="10">
        <v>289.979825151311</v>
      </c>
      <c r="Q166" s="10">
        <v>1.90286036970451</v>
      </c>
      <c r="R166" s="10">
        <v>24.0011968711001</v>
      </c>
      <c r="S166" s="10">
        <v>0.400885078135804</v>
      </c>
      <c r="T166" s="10">
        <v>0.324482551975292</v>
      </c>
      <c r="U166" s="10">
        <v>2.54550083654616</v>
      </c>
    </row>
    <row r="167" ht="16" spans="1:21">
      <c r="A167" s="14">
        <v>2018</v>
      </c>
      <c r="B167" s="15">
        <v>210000</v>
      </c>
      <c r="C167" s="16" t="s">
        <v>57</v>
      </c>
      <c r="D167" s="10">
        <v>54657</v>
      </c>
      <c r="E167" s="10">
        <v>58007.5158</v>
      </c>
      <c r="F167" s="10">
        <v>0.294497325875673</v>
      </c>
      <c r="G167" s="10">
        <v>16135.5846655791</v>
      </c>
      <c r="H167" s="10">
        <v>0.7026334187835</v>
      </c>
      <c r="I167" s="10">
        <v>0.022447168492193</v>
      </c>
      <c r="J167" s="10">
        <v>0.226435847812679</v>
      </c>
      <c r="K167" s="10">
        <v>0.0195691282618405</v>
      </c>
      <c r="L167" s="10">
        <v>7.72338554375663</v>
      </c>
      <c r="M167" s="10">
        <v>0.322562922949321</v>
      </c>
      <c r="N167" s="10">
        <v>0.0201820463197295</v>
      </c>
      <c r="O167" s="10">
        <v>0.082329048722911</v>
      </c>
      <c r="P167" s="10">
        <v>288.567585743107</v>
      </c>
      <c r="Q167" s="10">
        <v>1.91339869420046</v>
      </c>
      <c r="R167" s="10">
        <v>24.036205647405</v>
      </c>
      <c r="S167" s="10">
        <v>0.387605537951128</v>
      </c>
      <c r="T167" s="10">
        <v>0.32873396992833</v>
      </c>
      <c r="U167" s="10">
        <v>2.54789847161572</v>
      </c>
    </row>
    <row r="168" ht="16" spans="1:21">
      <c r="A168" s="14">
        <v>2019</v>
      </c>
      <c r="B168" s="15">
        <v>210000</v>
      </c>
      <c r="C168" s="16" t="s">
        <v>57</v>
      </c>
      <c r="D168" s="10">
        <v>58019</v>
      </c>
      <c r="E168" s="10">
        <v>57191</v>
      </c>
      <c r="F168" s="10">
        <v>0.279399191244523</v>
      </c>
      <c r="G168" s="10">
        <v>16236.9668415712</v>
      </c>
      <c r="H168" s="10">
        <v>0.712181435585691</v>
      </c>
      <c r="I168" s="10">
        <v>0.0243428571428571</v>
      </c>
      <c r="J168" s="10">
        <v>0.229526097049724</v>
      </c>
      <c r="K168" s="10">
        <v>0.0204568180629483</v>
      </c>
      <c r="L168" s="10">
        <v>7.71353000625171</v>
      </c>
      <c r="M168" s="10">
        <v>0.292312013936665</v>
      </c>
      <c r="N168" s="10">
        <v>0.0224334447783772</v>
      </c>
      <c r="O168" s="10">
        <v>0.117717613547211</v>
      </c>
      <c r="P168" s="10">
        <v>287.626092804304</v>
      </c>
      <c r="Q168" s="10">
        <v>1.99485139990264</v>
      </c>
      <c r="R168" s="10">
        <v>23.825162445304</v>
      </c>
      <c r="S168" s="10">
        <v>0.38907597172434</v>
      </c>
      <c r="T168" s="10">
        <v>0.323963098413618</v>
      </c>
      <c r="U168" s="10">
        <v>2.46939408989322</v>
      </c>
    </row>
    <row r="169" ht="16" spans="1:21">
      <c r="A169" s="14">
        <v>2020</v>
      </c>
      <c r="B169" s="15">
        <v>210000</v>
      </c>
      <c r="C169" s="16" t="s">
        <v>57</v>
      </c>
      <c r="D169" s="10">
        <v>58629</v>
      </c>
      <c r="E169" s="10">
        <v>58872.39</v>
      </c>
      <c r="F169" s="10">
        <v>0.28487445871929</v>
      </c>
      <c r="G169" s="10">
        <v>16745.2621311672</v>
      </c>
      <c r="H169" s="10">
        <v>0.721504112808461</v>
      </c>
      <c r="I169" s="10">
        <v>0.011437062279671</v>
      </c>
      <c r="J169" s="10">
        <v>0.238789511982536</v>
      </c>
      <c r="K169" s="10">
        <v>0.0219501983095708</v>
      </c>
      <c r="L169" s="10">
        <v>7.71020519443253</v>
      </c>
      <c r="M169" s="10">
        <v>0.261515876760197</v>
      </c>
      <c r="N169" s="10">
        <v>0.0253008628065602</v>
      </c>
      <c r="O169" s="10">
        <v>0.146624151386968</v>
      </c>
      <c r="P169" s="10">
        <v>286.146603900471</v>
      </c>
      <c r="Q169" s="10">
        <v>2.08742373477694</v>
      </c>
      <c r="R169" s="10">
        <v>23.8099702381387</v>
      </c>
      <c r="S169" s="10">
        <v>0.358272627681777</v>
      </c>
      <c r="T169" s="10">
        <v>0.316095860287709</v>
      </c>
      <c r="U169" s="10">
        <v>2.31381088825215</v>
      </c>
    </row>
    <row r="170" ht="16" spans="1:21">
      <c r="A170" s="14">
        <v>2021</v>
      </c>
      <c r="B170" s="15">
        <v>210000</v>
      </c>
      <c r="C170" s="16" t="s">
        <v>57</v>
      </c>
      <c r="D170" s="10">
        <v>64992</v>
      </c>
      <c r="E170" s="10">
        <v>65026</v>
      </c>
      <c r="F170" s="10">
        <v>0.265161206107065</v>
      </c>
      <c r="G170" s="10">
        <v>17286.2659535794</v>
      </c>
      <c r="H170" s="10">
        <v>0.728068101205959</v>
      </c>
      <c r="I170" s="10">
        <v>0.0278647907306692</v>
      </c>
      <c r="J170" s="10">
        <v>0.211521790384301</v>
      </c>
      <c r="K170" s="10">
        <v>0.0217785465822739</v>
      </c>
      <c r="L170" s="10">
        <v>7.69165682281055</v>
      </c>
      <c r="M170" s="10">
        <v>0.279546669326611</v>
      </c>
      <c r="N170" s="10">
        <v>0.027389832967591</v>
      </c>
      <c r="O170" s="10">
        <v>0.022997152650574</v>
      </c>
      <c r="P170" s="10">
        <v>284.398117014122</v>
      </c>
      <c r="Q170" s="10">
        <v>1.92730517419612</v>
      </c>
      <c r="R170" s="10">
        <v>23.8839009189196</v>
      </c>
      <c r="S170" s="10">
        <v>0.354881299987305</v>
      </c>
      <c r="T170" s="10">
        <v>0.340466820217995</v>
      </c>
      <c r="U170" s="10">
        <v>2.24025602331269</v>
      </c>
    </row>
    <row r="171" ht="16" spans="1:21">
      <c r="A171" s="14">
        <v>2022</v>
      </c>
      <c r="B171" s="15">
        <v>210000</v>
      </c>
      <c r="C171" s="16" t="s">
        <v>57</v>
      </c>
      <c r="D171" s="10">
        <v>68422</v>
      </c>
      <c r="E171" s="10">
        <v>68775</v>
      </c>
      <c r="F171" s="10">
        <v>0.26273186102707</v>
      </c>
      <c r="G171" s="10">
        <v>18045.1153184475</v>
      </c>
      <c r="H171" s="10">
        <v>0.73004527043126</v>
      </c>
      <c r="I171" s="10">
        <v>0.0281201096020967</v>
      </c>
      <c r="J171" s="10">
        <v>0.215514412286088</v>
      </c>
      <c r="K171" s="10">
        <v>0.0215401219727955</v>
      </c>
      <c r="L171" s="10">
        <v>7.66011431917393</v>
      </c>
      <c r="M171" s="10">
        <v>0.276873746361804</v>
      </c>
      <c r="N171" s="10">
        <v>0.033696892746504</v>
      </c>
      <c r="O171" s="10">
        <v>0.0218964584178921</v>
      </c>
      <c r="P171" s="10">
        <v>282.246133154001</v>
      </c>
      <c r="Q171" s="10">
        <v>1.88443806134024</v>
      </c>
      <c r="R171" s="10">
        <v>23.8048830696321</v>
      </c>
      <c r="S171" s="10">
        <v>0.330471343678125</v>
      </c>
      <c r="T171" s="10">
        <v>0.344465605822501</v>
      </c>
      <c r="U171" s="10">
        <v>2.21031746031746</v>
      </c>
    </row>
    <row r="172" ht="31" spans="1:21">
      <c r="A172" s="14">
        <v>2013</v>
      </c>
      <c r="B172" s="15">
        <v>150000</v>
      </c>
      <c r="C172" s="16" t="s">
        <v>58</v>
      </c>
      <c r="D172" s="10">
        <v>46320</v>
      </c>
      <c r="E172" s="10">
        <v>67835.6008</v>
      </c>
      <c r="F172" s="10">
        <v>1.24797233243215</v>
      </c>
      <c r="G172" s="10">
        <v>57912.016293279</v>
      </c>
      <c r="H172" s="10">
        <v>0.59837067209776</v>
      </c>
      <c r="I172" s="10">
        <v>0.016260733197556</v>
      </c>
      <c r="J172" s="10">
        <v>0.32345247708999</v>
      </c>
      <c r="K172" s="10">
        <v>0.010286480460658</v>
      </c>
      <c r="L172" s="10">
        <v>7.22256601882217</v>
      </c>
      <c r="M172" s="10">
        <v>0.0652055607246937</v>
      </c>
      <c r="N172" s="10">
        <v>0.00340051262245005</v>
      </c>
      <c r="O172" s="10">
        <v>0.0273188880306169</v>
      </c>
      <c r="P172" s="10">
        <v>20.7523245984784</v>
      </c>
      <c r="Q172" s="10">
        <v>1.13621098276044</v>
      </c>
      <c r="R172" s="10">
        <v>24.0385574189703</v>
      </c>
      <c r="S172" s="10">
        <v>0.448913310628138</v>
      </c>
      <c r="T172" s="10">
        <v>0.335627260278782</v>
      </c>
      <c r="U172" s="10">
        <v>2.89415692821369</v>
      </c>
    </row>
    <row r="173" ht="31" spans="1:21">
      <c r="A173" s="14">
        <v>2014</v>
      </c>
      <c r="B173" s="15">
        <v>150000</v>
      </c>
      <c r="C173" s="16" t="s">
        <v>58</v>
      </c>
      <c r="D173" s="10">
        <v>49585</v>
      </c>
      <c r="E173" s="10">
        <v>71046.3688</v>
      </c>
      <c r="F173" s="10">
        <v>1.44691072691681</v>
      </c>
      <c r="G173" s="10">
        <v>71832.7072274398</v>
      </c>
      <c r="H173" s="10">
        <v>0.60963658636178</v>
      </c>
      <c r="I173" s="10">
        <v>0.016595100040833</v>
      </c>
      <c r="J173" s="10">
        <v>0.31905874224803</v>
      </c>
      <c r="K173" s="10">
        <v>0.0100454508068629</v>
      </c>
      <c r="L173" s="10">
        <v>7.2152399787301</v>
      </c>
      <c r="M173" s="10">
        <v>0.0735442491487227</v>
      </c>
      <c r="N173" s="10">
        <v>0.00114655129871198</v>
      </c>
      <c r="O173" s="10">
        <v>0.0276386636179698</v>
      </c>
      <c r="P173" s="10">
        <v>20.7016060862215</v>
      </c>
      <c r="Q173" s="10">
        <v>1.22938181638729</v>
      </c>
      <c r="R173" s="10">
        <v>24.2207883414566</v>
      </c>
      <c r="S173" s="10">
        <v>0.465332039282131</v>
      </c>
      <c r="T173" s="10">
        <v>0.329678735339113</v>
      </c>
      <c r="U173" s="10">
        <v>2.84182036888532</v>
      </c>
    </row>
    <row r="174" ht="31" spans="1:21">
      <c r="A174" s="14">
        <v>2015</v>
      </c>
      <c r="B174" s="15">
        <v>150000</v>
      </c>
      <c r="C174" s="16" t="s">
        <v>58</v>
      </c>
      <c r="D174" s="10">
        <v>52972</v>
      </c>
      <c r="E174" s="10">
        <v>71100.5442</v>
      </c>
      <c r="F174" s="10">
        <v>1.05816819831647</v>
      </c>
      <c r="G174" s="10">
        <v>56156.6393442623</v>
      </c>
      <c r="H174" s="10">
        <v>0.620901639344262</v>
      </c>
      <c r="I174" s="10">
        <v>0.0172461885245902</v>
      </c>
      <c r="J174" s="10">
        <v>0.328342729168276</v>
      </c>
      <c r="K174" s="10">
        <v>0.0105075025098463</v>
      </c>
      <c r="L174" s="10">
        <v>7.2086003379602</v>
      </c>
      <c r="M174" s="10">
        <v>0.0612361580044791</v>
      </c>
      <c r="N174" s="10">
        <v>0.00118850876515561</v>
      </c>
      <c r="O174" s="10">
        <v>0.0309136381187737</v>
      </c>
      <c r="P174" s="10">
        <v>20.625528317836</v>
      </c>
      <c r="Q174" s="10">
        <v>1.3237060776894</v>
      </c>
      <c r="R174" s="10">
        <v>24.1478571635145</v>
      </c>
      <c r="S174" s="10">
        <v>0.316897057687852</v>
      </c>
      <c r="T174" s="10">
        <v>0.318263958606842</v>
      </c>
      <c r="U174" s="10">
        <v>2.8390868596882</v>
      </c>
    </row>
    <row r="175" ht="31" spans="1:21">
      <c r="A175" s="14">
        <v>2016</v>
      </c>
      <c r="B175" s="15">
        <v>150000</v>
      </c>
      <c r="C175" s="16" t="s">
        <v>58</v>
      </c>
      <c r="D175" s="10">
        <v>56560</v>
      </c>
      <c r="E175" s="10">
        <v>72064</v>
      </c>
      <c r="F175" s="10">
        <v>1.09360228583032</v>
      </c>
      <c r="G175" s="10">
        <v>61904.802955665</v>
      </c>
      <c r="H175" s="10">
        <v>0.633825944170772</v>
      </c>
      <c r="I175" s="10">
        <v>0.0179268883415435</v>
      </c>
      <c r="J175" s="10">
        <v>0.327089845024766</v>
      </c>
      <c r="K175" s="10">
        <v>0.0106976003132864</v>
      </c>
      <c r="L175" s="10">
        <v>7.18992217074581</v>
      </c>
      <c r="M175" s="10">
        <v>0.0560712806306339</v>
      </c>
      <c r="N175" s="10">
        <v>0.000873865968540825</v>
      </c>
      <c r="O175" s="10">
        <v>0.0200799097851232</v>
      </c>
      <c r="P175" s="10">
        <v>20.5917159763314</v>
      </c>
      <c r="Q175" s="10">
        <v>1.40406039465383</v>
      </c>
      <c r="R175" s="10">
        <v>24.3235786949624</v>
      </c>
      <c r="S175" s="10">
        <v>0.320241056471322</v>
      </c>
      <c r="T175" s="10">
        <v>0.315976880624832</v>
      </c>
      <c r="U175" s="10">
        <v>2.84046860194677</v>
      </c>
    </row>
    <row r="176" ht="31" spans="1:21">
      <c r="A176" s="14">
        <v>2017</v>
      </c>
      <c r="B176" s="15">
        <v>150000</v>
      </c>
      <c r="C176" s="16" t="s">
        <v>58</v>
      </c>
      <c r="D176" s="10">
        <v>61196</v>
      </c>
      <c r="E176" s="10">
        <v>63764</v>
      </c>
      <c r="F176" s="10">
        <v>0.940600479255744</v>
      </c>
      <c r="G176" s="10">
        <v>57596.2186600904</v>
      </c>
      <c r="H176" s="10">
        <v>0.646115906288533</v>
      </c>
      <c r="I176" s="10">
        <v>0.0184172626387176</v>
      </c>
      <c r="J176" s="10">
        <v>0.303995140319907</v>
      </c>
      <c r="K176" s="10">
        <v>0.00888219303132614</v>
      </c>
      <c r="L176" s="10">
        <v>7.18311170174328</v>
      </c>
      <c r="M176" s="10">
        <v>0.0628746303219874</v>
      </c>
      <c r="N176" s="10">
        <v>0.00131627522972728</v>
      </c>
      <c r="O176" s="10">
        <v>0.0352724038635799</v>
      </c>
      <c r="P176" s="10">
        <v>20.5663567202029</v>
      </c>
      <c r="Q176" s="10">
        <v>1.44018566125882</v>
      </c>
      <c r="R176" s="10">
        <v>24.4737227649808</v>
      </c>
      <c r="S176" s="10">
        <v>0.311623629858841</v>
      </c>
      <c r="T176" s="10">
        <v>0.313597035863634</v>
      </c>
      <c r="U176" s="10">
        <v>2.83455181182454</v>
      </c>
    </row>
    <row r="177" ht="31" spans="1:21">
      <c r="A177" s="14">
        <v>2018</v>
      </c>
      <c r="B177" s="15">
        <v>150000</v>
      </c>
      <c r="C177" s="16" t="s">
        <v>58</v>
      </c>
      <c r="D177" s="10">
        <v>66491</v>
      </c>
      <c r="E177" s="10">
        <v>68302</v>
      </c>
      <c r="F177" s="10">
        <v>0.622486848235527</v>
      </c>
      <c r="G177" s="10">
        <v>41484.0450867052</v>
      </c>
      <c r="H177" s="10">
        <v>0.655243600330305</v>
      </c>
      <c r="I177" s="10">
        <v>0.018797853014038</v>
      </c>
      <c r="J177" s="10">
        <v>0.299250346946868</v>
      </c>
      <c r="K177" s="10">
        <v>0.00800571842783505</v>
      </c>
      <c r="L177" s="10">
        <v>7.1731917424866</v>
      </c>
      <c r="M177" s="10">
        <v>0.0643269044904838</v>
      </c>
      <c r="N177" s="10">
        <v>0.00122918318794607</v>
      </c>
      <c r="O177" s="10">
        <v>0.0814781299563838</v>
      </c>
      <c r="P177" s="10">
        <v>20.4733727810651</v>
      </c>
      <c r="Q177" s="10">
        <v>1.36828533901665</v>
      </c>
      <c r="R177" s="10">
        <v>24.5759442446339</v>
      </c>
      <c r="S177" s="10">
        <v>0.300623265265662</v>
      </c>
      <c r="T177" s="10">
        <v>0.316229678826328</v>
      </c>
      <c r="U177" s="10">
        <v>2.77512135043107</v>
      </c>
    </row>
    <row r="178" ht="31" spans="1:21">
      <c r="A178" s="14">
        <v>2019</v>
      </c>
      <c r="B178" s="15">
        <v>150000</v>
      </c>
      <c r="C178" s="16" t="s">
        <v>58</v>
      </c>
      <c r="D178" s="10">
        <v>71170</v>
      </c>
      <c r="E178" s="10">
        <v>67852.13</v>
      </c>
      <c r="F178" s="10">
        <v>0.622838862061874</v>
      </c>
      <c r="G178" s="10">
        <v>44391.7760382609</v>
      </c>
      <c r="H178" s="10">
        <v>0.664596273291925</v>
      </c>
      <c r="I178" s="10">
        <v>0.0195458799171843</v>
      </c>
      <c r="J178" s="10">
        <v>0.294983877995643</v>
      </c>
      <c r="K178" s="10">
        <v>0.00858731561365287</v>
      </c>
      <c r="L178" s="10">
        <v>7.14834574390007</v>
      </c>
      <c r="M178" s="10">
        <v>0.0638828816267248</v>
      </c>
      <c r="N178" s="10">
        <v>0.00130602759622367</v>
      </c>
      <c r="O178" s="10">
        <v>0.123524885984023</v>
      </c>
      <c r="P178" s="10">
        <v>20.414201183432</v>
      </c>
      <c r="Q178" s="10">
        <v>1.3411834422658</v>
      </c>
      <c r="R178" s="10">
        <v>24.382651392</v>
      </c>
      <c r="S178" s="10">
        <v>0.293455337690632</v>
      </c>
      <c r="T178" s="10">
        <v>0.317129992737836</v>
      </c>
      <c r="U178" s="10">
        <v>2.66845514624092</v>
      </c>
    </row>
    <row r="179" ht="31" spans="1:21">
      <c r="A179" s="14">
        <v>2020</v>
      </c>
      <c r="B179" s="15">
        <v>150000</v>
      </c>
      <c r="C179" s="16" t="s">
        <v>58</v>
      </c>
      <c r="D179" s="10">
        <v>71640</v>
      </c>
      <c r="E179" s="10">
        <v>72062.35</v>
      </c>
      <c r="F179" s="10">
        <v>0.611878821679302</v>
      </c>
      <c r="G179" s="10">
        <v>43944.2559489863</v>
      </c>
      <c r="H179" s="10">
        <v>0.674989596337911</v>
      </c>
      <c r="I179" s="10">
        <v>0.0350389513108614</v>
      </c>
      <c r="J179" s="10">
        <v>0.30358500405609</v>
      </c>
      <c r="K179" s="10">
        <v>0.0093330803105806</v>
      </c>
      <c r="L179" s="10">
        <v>7.12447826249342</v>
      </c>
      <c r="M179" s="10">
        <v>0.060841406883764</v>
      </c>
      <c r="N179" s="10">
        <v>0.00208309189940897</v>
      </c>
      <c r="O179" s="10">
        <v>0.153459949009155</v>
      </c>
      <c r="P179" s="10">
        <v>20.312764158918</v>
      </c>
      <c r="Q179" s="10">
        <v>1.34715436319388</v>
      </c>
      <c r="R179" s="10">
        <v>24.3458332356602</v>
      </c>
      <c r="S179" s="10">
        <v>0.275843087263878</v>
      </c>
      <c r="T179" s="10">
        <v>0.324348128404218</v>
      </c>
      <c r="U179" s="10">
        <v>2.49610671817468</v>
      </c>
    </row>
    <row r="180" ht="31" spans="1:21">
      <c r="A180" s="14">
        <v>2021</v>
      </c>
      <c r="B180" s="15">
        <v>150000</v>
      </c>
      <c r="C180" s="16" t="s">
        <v>58</v>
      </c>
      <c r="D180" s="10">
        <v>88137</v>
      </c>
      <c r="E180" s="10">
        <v>85422</v>
      </c>
      <c r="F180" s="10">
        <v>0.547796728979802</v>
      </c>
      <c r="G180" s="10">
        <v>48311.1065232771</v>
      </c>
      <c r="H180" s="10">
        <v>0.682083333333333</v>
      </c>
      <c r="I180" s="10">
        <v>0.0211170416666667</v>
      </c>
      <c r="J180" s="10">
        <v>0.246017669847869</v>
      </c>
      <c r="K180" s="10">
        <v>0.00897947084947557</v>
      </c>
      <c r="L180" s="10">
        <v>7.10496544826984</v>
      </c>
      <c r="M180" s="10">
        <v>0.0583396532174242</v>
      </c>
      <c r="N180" s="10">
        <v>0.00194405178115846</v>
      </c>
      <c r="O180" s="10">
        <v>0.0169980156855334</v>
      </c>
      <c r="P180" s="10">
        <v>20.2874049027895</v>
      </c>
      <c r="Q180" s="10">
        <v>1.17948644051781</v>
      </c>
      <c r="R180" s="10">
        <v>24.5500997950241</v>
      </c>
      <c r="S180" s="10">
        <v>0.239076821317207</v>
      </c>
      <c r="T180" s="10">
        <v>0.39893224983464</v>
      </c>
      <c r="U180" s="10">
        <v>2.42007962043955</v>
      </c>
    </row>
    <row r="181" ht="31" spans="1:21">
      <c r="A181" s="14">
        <v>2022</v>
      </c>
      <c r="B181" s="15">
        <v>150000</v>
      </c>
      <c r="C181" s="16" t="s">
        <v>58</v>
      </c>
      <c r="D181" s="10">
        <v>97433</v>
      </c>
      <c r="E181" s="10">
        <v>96474</v>
      </c>
      <c r="F181" s="10">
        <v>0.582982812579031</v>
      </c>
      <c r="G181" s="10">
        <v>56790.1986885868</v>
      </c>
      <c r="H181" s="10">
        <v>0.685964181591004</v>
      </c>
      <c r="I181" s="10">
        <v>0.0222619325281133</v>
      </c>
      <c r="J181" s="10">
        <v>0.250074180487325</v>
      </c>
      <c r="K181" s="10">
        <v>0.008957795792021</v>
      </c>
      <c r="L181" s="10">
        <v>7.08170858610557</v>
      </c>
      <c r="M181" s="10">
        <v>0.0647910034247015</v>
      </c>
      <c r="N181" s="10">
        <v>0.00219334812667547</v>
      </c>
      <c r="O181" s="10">
        <v>0.015143640786869</v>
      </c>
      <c r="P181" s="10">
        <v>20.2958579881657</v>
      </c>
      <c r="Q181" s="10">
        <v>1.15092843186298</v>
      </c>
      <c r="R181" s="10">
        <v>24.5463720346224</v>
      </c>
      <c r="S181" s="10">
        <v>0.212553818264219</v>
      </c>
      <c r="T181" s="10">
        <v>0.417343269670656</v>
      </c>
      <c r="U181" s="10">
        <v>2.35705921287103</v>
      </c>
    </row>
    <row r="182" ht="31" spans="1:21">
      <c r="A182" s="14">
        <v>2013</v>
      </c>
      <c r="B182" s="15">
        <v>640000</v>
      </c>
      <c r="C182" s="16" t="s">
        <v>59</v>
      </c>
      <c r="D182" s="10">
        <v>35135</v>
      </c>
      <c r="E182" s="10">
        <v>39613</v>
      </c>
      <c r="F182" s="10">
        <v>1.13893542982343</v>
      </c>
      <c r="G182" s="10">
        <v>39806.3063063063</v>
      </c>
      <c r="H182" s="10">
        <v>0.528528528528528</v>
      </c>
      <c r="I182" s="10">
        <v>0.0156833333333333</v>
      </c>
      <c r="J182" s="10">
        <v>0.396305365811746</v>
      </c>
      <c r="K182" s="10">
        <v>0.00898062465094299</v>
      </c>
      <c r="L182" s="10">
        <v>5.84354441703136</v>
      </c>
      <c r="M182" s="10">
        <v>0.0856114318855523</v>
      </c>
      <c r="N182" s="10">
        <v>0.000614340335953946</v>
      </c>
      <c r="O182" s="10">
        <v>0.0345531211066718</v>
      </c>
      <c r="P182" s="10">
        <v>100.301204819277</v>
      </c>
      <c r="Q182" s="10">
        <v>1.67983417107016</v>
      </c>
      <c r="R182" s="10">
        <v>20.878782336246</v>
      </c>
      <c r="S182" s="10">
        <v>0.287193366842806</v>
      </c>
      <c r="T182" s="10">
        <v>0.363577780641835</v>
      </c>
      <c r="U182" s="10">
        <v>2.82616133701803</v>
      </c>
    </row>
    <row r="183" ht="31" spans="1:21">
      <c r="A183" s="14">
        <v>2014</v>
      </c>
      <c r="B183" s="15">
        <v>640000</v>
      </c>
      <c r="C183" s="16" t="s">
        <v>59</v>
      </c>
      <c r="D183" s="10">
        <v>36815</v>
      </c>
      <c r="E183" s="10">
        <v>41834</v>
      </c>
      <c r="F183" s="10">
        <v>1.28290957597316</v>
      </c>
      <c r="G183" s="10">
        <v>46811.0619469027</v>
      </c>
      <c r="H183" s="10">
        <v>0.548672566371681</v>
      </c>
      <c r="I183" s="10">
        <v>0.0164353982300885</v>
      </c>
      <c r="J183" s="10">
        <v>0.404405998625652</v>
      </c>
      <c r="K183" s="10">
        <v>0.00964388212943126</v>
      </c>
      <c r="L183" s="10">
        <v>5.8406416573734</v>
      </c>
      <c r="M183" s="10">
        <v>0.134958648288128</v>
      </c>
      <c r="N183" s="10">
        <v>0.00128541978252961</v>
      </c>
      <c r="O183" s="10">
        <v>0.0414863575730628</v>
      </c>
      <c r="P183" s="10">
        <v>102.10843373494</v>
      </c>
      <c r="Q183" s="10">
        <v>1.85071749060188</v>
      </c>
      <c r="R183" s="10">
        <v>20.9794105114936</v>
      </c>
      <c r="S183" s="10">
        <v>0.297991026314726</v>
      </c>
      <c r="T183" s="10">
        <v>0.356117870568738</v>
      </c>
      <c r="U183" s="10">
        <v>2.76872770511296</v>
      </c>
    </row>
    <row r="184" ht="31" spans="1:21">
      <c r="A184" s="14">
        <v>2015</v>
      </c>
      <c r="B184" s="15">
        <v>640000</v>
      </c>
      <c r="C184" s="16" t="s">
        <v>59</v>
      </c>
      <c r="D184" s="10">
        <v>37876</v>
      </c>
      <c r="E184" s="10">
        <v>43805</v>
      </c>
      <c r="F184" s="10">
        <v>1.35901760099248</v>
      </c>
      <c r="G184" s="10">
        <v>51249.269005848</v>
      </c>
      <c r="H184" s="10">
        <v>0.570175438596491</v>
      </c>
      <c r="I184" s="10">
        <v>0.0168138888888889</v>
      </c>
      <c r="J184" s="10">
        <v>0.441292548654726</v>
      </c>
      <c r="K184" s="10">
        <v>0.00987989454911995</v>
      </c>
      <c r="L184" s="10">
        <v>5.83773044716594</v>
      </c>
      <c r="M184" s="10">
        <v>0.0902906722493603</v>
      </c>
      <c r="N184" s="10">
        <v>0.00136465844770102</v>
      </c>
      <c r="O184" s="10">
        <v>0.0524989920136466</v>
      </c>
      <c r="P184" s="10">
        <v>103.012048192771</v>
      </c>
      <c r="Q184" s="10">
        <v>1.98411258432194</v>
      </c>
      <c r="R184" s="10">
        <v>21.0717289236906</v>
      </c>
      <c r="S184" s="10">
        <v>0.403117003954408</v>
      </c>
      <c r="T184" s="10">
        <v>0.339109870512522</v>
      </c>
      <c r="U184" s="10">
        <v>2.7619256497423</v>
      </c>
    </row>
    <row r="185" ht="31" spans="1:21">
      <c r="A185" s="14">
        <v>2016</v>
      </c>
      <c r="B185" s="15">
        <v>640000</v>
      </c>
      <c r="C185" s="16" t="s">
        <v>59</v>
      </c>
      <c r="D185" s="10">
        <v>40339</v>
      </c>
      <c r="E185" s="10">
        <v>47194</v>
      </c>
      <c r="F185" s="10">
        <v>1.36415114690444</v>
      </c>
      <c r="G185" s="10">
        <v>54593.5251798561</v>
      </c>
      <c r="H185" s="10">
        <v>0.58705035971223</v>
      </c>
      <c r="I185" s="10">
        <v>0.0168559712230216</v>
      </c>
      <c r="J185" s="10">
        <v>0.450952757604084</v>
      </c>
      <c r="K185" s="10">
        <v>0.0107596534119508</v>
      </c>
      <c r="L185" s="10">
        <v>5.83773044716594</v>
      </c>
      <c r="M185" s="10">
        <v>0.0776731430215</v>
      </c>
      <c r="N185" s="10">
        <v>0.00145610124397785</v>
      </c>
      <c r="O185" s="10">
        <v>0.0395216437765154</v>
      </c>
      <c r="P185" s="10">
        <v>104.668674698795</v>
      </c>
      <c r="Q185" s="10">
        <v>2.03778313079744</v>
      </c>
      <c r="R185" s="10">
        <v>21.1073263034585</v>
      </c>
      <c r="S185" s="10">
        <v>0.4064859423312</v>
      </c>
      <c r="T185" s="10">
        <v>0.332710145969656</v>
      </c>
      <c r="U185" s="10">
        <v>2.75609013398295</v>
      </c>
    </row>
    <row r="186" ht="31" spans="1:21">
      <c r="A186" s="14">
        <v>2017</v>
      </c>
      <c r="B186" s="15">
        <v>640000</v>
      </c>
      <c r="C186" s="16" t="s">
        <v>59</v>
      </c>
      <c r="D186" s="10">
        <v>45718</v>
      </c>
      <c r="E186" s="10">
        <v>50765</v>
      </c>
      <c r="F186" s="10">
        <v>1.16500953035653</v>
      </c>
      <c r="G186" s="10">
        <v>52884.8226950355</v>
      </c>
      <c r="H186" s="10">
        <v>0.609929078014184</v>
      </c>
      <c r="I186" s="10">
        <v>0.0171703546099291</v>
      </c>
      <c r="J186" s="10">
        <v>0.428844170858982</v>
      </c>
      <c r="K186" s="10">
        <v>0.0121662656625941</v>
      </c>
      <c r="L186" s="10">
        <v>5.8406416573734</v>
      </c>
      <c r="M186" s="10">
        <v>0.106320691810143</v>
      </c>
      <c r="N186" s="10">
        <v>0.00208417960816173</v>
      </c>
      <c r="O186" s="10">
        <v>0.0688027997375246</v>
      </c>
      <c r="P186" s="10">
        <v>106.174698795181</v>
      </c>
      <c r="Q186" s="10">
        <v>1.97875511670781</v>
      </c>
      <c r="R186" s="10">
        <v>21.0007452231218</v>
      </c>
      <c r="S186" s="10">
        <v>0.39174452395088</v>
      </c>
      <c r="T186" s="10">
        <v>0.3528419210699</v>
      </c>
      <c r="U186" s="10">
        <v>2.74464518532315</v>
      </c>
    </row>
    <row r="187" ht="31" spans="1:21">
      <c r="A187" s="14">
        <v>2018</v>
      </c>
      <c r="B187" s="15">
        <v>640000</v>
      </c>
      <c r="C187" s="16" t="s">
        <v>59</v>
      </c>
      <c r="D187" s="10">
        <v>49614</v>
      </c>
      <c r="E187" s="10">
        <v>54094.1675</v>
      </c>
      <c r="F187" s="10">
        <v>0.868843610050709</v>
      </c>
      <c r="G187" s="10">
        <v>42955.1385915493</v>
      </c>
      <c r="H187" s="10">
        <v>0.62112676056338</v>
      </c>
      <c r="I187" s="10">
        <v>0.0176412676056338</v>
      </c>
      <c r="J187" s="10">
        <v>0.404173551364595</v>
      </c>
      <c r="K187" s="10">
        <v>0.0129848156800182</v>
      </c>
      <c r="L187" s="10">
        <v>5.84354441703136</v>
      </c>
      <c r="M187" s="10">
        <v>0.0711954731924107</v>
      </c>
      <c r="N187" s="10">
        <v>0.00344994587203008</v>
      </c>
      <c r="O187" s="10">
        <v>0.13694792319526</v>
      </c>
      <c r="P187" s="10">
        <v>106.927710843374</v>
      </c>
      <c r="Q187" s="10">
        <v>1.93935388296963</v>
      </c>
      <c r="R187" s="10">
        <v>21.0437721674444</v>
      </c>
      <c r="S187" s="10">
        <v>0.378924277818928</v>
      </c>
      <c r="T187" s="10">
        <v>0.339296906159193</v>
      </c>
      <c r="U187" s="10">
        <v>2.72420567133584</v>
      </c>
    </row>
    <row r="188" ht="31" spans="1:21">
      <c r="A188" s="14">
        <v>2019</v>
      </c>
      <c r="B188" s="15">
        <v>640000</v>
      </c>
      <c r="C188" s="16" t="s">
        <v>59</v>
      </c>
      <c r="D188" s="10">
        <v>52537</v>
      </c>
      <c r="E188" s="10">
        <v>54217</v>
      </c>
      <c r="F188" s="10">
        <v>0.729807632781112</v>
      </c>
      <c r="G188" s="10">
        <v>38154.5873288703</v>
      </c>
      <c r="H188" s="10">
        <v>0.635983263598326</v>
      </c>
      <c r="I188" s="10">
        <v>0.0188532775453278</v>
      </c>
      <c r="J188" s="10">
        <v>0.381766039749233</v>
      </c>
      <c r="K188" s="10">
        <v>0.0145405095371482</v>
      </c>
      <c r="L188" s="10">
        <v>5.83773044716594</v>
      </c>
      <c r="M188" s="10">
        <v>0.0642205708950247</v>
      </c>
      <c r="N188" s="10">
        <v>0.0039749233026544</v>
      </c>
      <c r="O188" s="10">
        <v>0.203790156062425</v>
      </c>
      <c r="P188" s="10">
        <v>107.981927710843</v>
      </c>
      <c r="Q188" s="10">
        <v>1.92524743230626</v>
      </c>
      <c r="R188" s="10">
        <v>21.1646481000404</v>
      </c>
      <c r="S188" s="10">
        <v>0.373322662398293</v>
      </c>
      <c r="T188" s="10">
        <v>0.339469120981726</v>
      </c>
      <c r="U188" s="10">
        <v>2.6697775703842</v>
      </c>
    </row>
    <row r="189" ht="31" spans="1:21">
      <c r="A189" s="14">
        <v>2020</v>
      </c>
      <c r="B189" s="15">
        <v>640000</v>
      </c>
      <c r="C189" s="16" t="s">
        <v>59</v>
      </c>
      <c r="D189" s="10">
        <v>55021</v>
      </c>
      <c r="E189" s="10">
        <v>54527.82</v>
      </c>
      <c r="F189" s="10">
        <v>0.71913435986634</v>
      </c>
      <c r="G189" s="10">
        <v>39460.6278493648</v>
      </c>
      <c r="H189" s="10">
        <v>0.649098474341193</v>
      </c>
      <c r="I189" s="10">
        <v>0.0203438280166435</v>
      </c>
      <c r="J189" s="10">
        <v>0.371741273412026</v>
      </c>
      <c r="K189" s="10">
        <v>0.0150746909991659</v>
      </c>
      <c r="L189" s="10">
        <v>5.8406416573734</v>
      </c>
      <c r="M189" s="10">
        <v>0.0310760053585421</v>
      </c>
      <c r="N189" s="10">
        <v>0.00424891944493592</v>
      </c>
      <c r="O189" s="10">
        <v>0.23995189950206</v>
      </c>
      <c r="P189" s="10">
        <v>108.584337349398</v>
      </c>
      <c r="Q189" s="10">
        <v>1.96713848798119</v>
      </c>
      <c r="R189" s="10">
        <v>21.1814428090683</v>
      </c>
      <c r="S189" s="10">
        <v>0.328943710032101</v>
      </c>
      <c r="T189" s="10">
        <v>0.330232793266436</v>
      </c>
      <c r="U189" s="10">
        <v>2.5718194254446</v>
      </c>
    </row>
    <row r="190" ht="31" spans="1:21">
      <c r="A190" s="14">
        <v>2021</v>
      </c>
      <c r="B190" s="15">
        <v>640000</v>
      </c>
      <c r="C190" s="16" t="s">
        <v>59</v>
      </c>
      <c r="D190" s="10">
        <v>63461</v>
      </c>
      <c r="E190" s="10">
        <v>62549</v>
      </c>
      <c r="F190" s="10">
        <v>0.633735171926651</v>
      </c>
      <c r="G190" s="10">
        <v>40106.2581494325</v>
      </c>
      <c r="H190" s="10">
        <v>0.660689655172414</v>
      </c>
      <c r="I190" s="10">
        <v>0.0222143448275862</v>
      </c>
      <c r="J190" s="10">
        <v>0.309077633930517</v>
      </c>
      <c r="K190" s="10">
        <v>0.0153526437382852</v>
      </c>
      <c r="L190" s="10">
        <v>5.84354441703136</v>
      </c>
      <c r="M190" s="10">
        <v>0.04668275140578</v>
      </c>
      <c r="N190" s="10">
        <v>0.00546939976461357</v>
      </c>
      <c r="O190" s="10">
        <v>0.0277014951397062</v>
      </c>
      <c r="P190" s="10">
        <v>109.186746987952</v>
      </c>
      <c r="Q190" s="10">
        <v>1.80556209406739</v>
      </c>
      <c r="R190" s="10">
        <v>21.2905385403141</v>
      </c>
      <c r="S190" s="10">
        <v>0.290985571683885</v>
      </c>
      <c r="T190" s="10">
        <v>0.384072185170655</v>
      </c>
      <c r="U190" s="10">
        <v>2.49664210732216</v>
      </c>
    </row>
    <row r="191" ht="31" spans="1:21">
      <c r="A191" s="14">
        <v>2022</v>
      </c>
      <c r="B191" s="15">
        <v>640000</v>
      </c>
      <c r="C191" s="16" t="s">
        <v>59</v>
      </c>
      <c r="D191" s="10">
        <v>70263</v>
      </c>
      <c r="E191" s="10">
        <v>69781</v>
      </c>
      <c r="F191" s="10">
        <v>0.627725873692144</v>
      </c>
      <c r="G191" s="10">
        <v>44014.9655885841</v>
      </c>
      <c r="H191" s="10">
        <v>0.663461538461538</v>
      </c>
      <c r="I191" s="10">
        <v>0.0236891483516484</v>
      </c>
      <c r="J191" s="10">
        <v>0.30836892214865</v>
      </c>
      <c r="K191" s="10">
        <v>0.015550581828155</v>
      </c>
      <c r="L191" s="10">
        <v>5.8171111599632</v>
      </c>
      <c r="M191" s="10">
        <v>0.0424284801943345</v>
      </c>
      <c r="N191" s="10">
        <v>0.00667045410022333</v>
      </c>
      <c r="O191" s="10">
        <v>0.0251859695176899</v>
      </c>
      <c r="P191" s="10">
        <v>109.638554216867</v>
      </c>
      <c r="Q191" s="10">
        <v>1.74065548720762</v>
      </c>
      <c r="R191" s="10">
        <v>21.3462835258471</v>
      </c>
      <c r="S191" s="10">
        <v>0.262194883046664</v>
      </c>
      <c r="T191" s="10">
        <v>0.408259217176664</v>
      </c>
      <c r="U191" s="10">
        <v>2.44637857577602</v>
      </c>
    </row>
    <row r="192" ht="16" spans="1:21">
      <c r="A192" s="14">
        <v>2013</v>
      </c>
      <c r="B192" s="15">
        <v>630000</v>
      </c>
      <c r="C192" s="16" t="s">
        <v>60</v>
      </c>
      <c r="D192" s="10">
        <v>30005</v>
      </c>
      <c r="E192" s="10">
        <v>36875</v>
      </c>
      <c r="F192" s="10">
        <v>1.37810074125956</v>
      </c>
      <c r="G192" s="10">
        <v>41350.2626970228</v>
      </c>
      <c r="H192" s="10">
        <v>0.492119089316988</v>
      </c>
      <c r="I192" s="10">
        <v>0.00887478108581436</v>
      </c>
      <c r="J192" s="10">
        <v>0.716757135352828</v>
      </c>
      <c r="K192" s="10">
        <v>0.00803712134477324</v>
      </c>
      <c r="L192" s="10">
        <v>5.69035945432406</v>
      </c>
      <c r="M192" s="10">
        <v>0.0507060164594642</v>
      </c>
      <c r="N192" s="10">
        <v>0.0156948578766124</v>
      </c>
      <c r="O192" s="10">
        <v>0.0393771085040565</v>
      </c>
      <c r="P192" s="10">
        <v>7.90530250588398</v>
      </c>
      <c r="Q192" s="10">
        <v>1.98340629195121</v>
      </c>
      <c r="R192" s="10">
        <v>20.6588313235198</v>
      </c>
      <c r="S192" s="10">
        <v>0.320784451059359</v>
      </c>
      <c r="T192" s="10">
        <v>0.293001809373723</v>
      </c>
      <c r="U192" s="10">
        <v>3.14948932219127</v>
      </c>
    </row>
    <row r="193" ht="16" spans="1:21">
      <c r="A193" s="14">
        <v>2014</v>
      </c>
      <c r="B193" s="15">
        <v>630000</v>
      </c>
      <c r="C193" s="16" t="s">
        <v>60</v>
      </c>
      <c r="D193" s="10">
        <v>32218</v>
      </c>
      <c r="E193" s="10">
        <v>39671</v>
      </c>
      <c r="F193" s="10">
        <v>1.5485360177518</v>
      </c>
      <c r="G193" s="10">
        <v>49674.1319444444</v>
      </c>
      <c r="H193" s="10">
        <v>0.508680555555556</v>
      </c>
      <c r="I193" s="10">
        <v>0.00918524305555556</v>
      </c>
      <c r="J193" s="10">
        <v>0.729214699355956</v>
      </c>
      <c r="K193" s="10">
        <v>0.00775017589435514</v>
      </c>
      <c r="L193" s="10">
        <v>5.68017260901707</v>
      </c>
      <c r="M193" s="10">
        <v>0.0571123126048601</v>
      </c>
      <c r="N193" s="10">
        <v>0.0157493099529144</v>
      </c>
      <c r="O193" s="10">
        <v>0.0437005466255345</v>
      </c>
      <c r="P193" s="10">
        <v>7.97452582029628</v>
      </c>
      <c r="Q193" s="10">
        <v>2.25779617903339</v>
      </c>
      <c r="R193" s="10">
        <v>20.7854799360507</v>
      </c>
      <c r="S193" s="10">
        <v>0.335985278995508</v>
      </c>
      <c r="T193" s="10">
        <v>0.273042160523895</v>
      </c>
      <c r="U193" s="10">
        <v>3.06288617328024</v>
      </c>
    </row>
    <row r="194" ht="16" spans="1:21">
      <c r="A194" s="14">
        <v>2015</v>
      </c>
      <c r="B194" s="15">
        <v>630000</v>
      </c>
      <c r="C194" s="16" t="s">
        <v>60</v>
      </c>
      <c r="D194" s="10">
        <v>34883</v>
      </c>
      <c r="E194" s="10">
        <v>41252</v>
      </c>
      <c r="F194" s="10">
        <v>1.5965340626554</v>
      </c>
      <c r="G194" s="10">
        <v>55643.5008665511</v>
      </c>
      <c r="H194" s="10">
        <v>0.516464471403813</v>
      </c>
      <c r="I194" s="10">
        <v>0.00995840554592721</v>
      </c>
      <c r="J194" s="10">
        <v>0.753217304823471</v>
      </c>
      <c r="K194" s="10">
        <v>0.00575832918945798</v>
      </c>
      <c r="L194" s="10">
        <v>5.67675380226828</v>
      </c>
      <c r="M194" s="10">
        <v>0.0599137991049229</v>
      </c>
      <c r="N194" s="10">
        <v>0.0233117851815017</v>
      </c>
      <c r="O194" s="10">
        <v>0.0524</v>
      </c>
      <c r="P194" s="10">
        <v>7.98837048317873</v>
      </c>
      <c r="Q194" s="10">
        <v>2.48036300348086</v>
      </c>
      <c r="R194" s="10">
        <v>20.911085141724</v>
      </c>
      <c r="S194" s="10">
        <v>0.345400298359025</v>
      </c>
      <c r="T194" s="10">
        <v>0.256787667826952</v>
      </c>
      <c r="U194" s="10">
        <v>3.09365939745367</v>
      </c>
    </row>
    <row r="195" ht="16" spans="1:21">
      <c r="A195" s="14">
        <v>2016</v>
      </c>
      <c r="B195" s="15">
        <v>630000</v>
      </c>
      <c r="C195" s="16" t="s">
        <v>60</v>
      </c>
      <c r="D195" s="10">
        <v>38968</v>
      </c>
      <c r="E195" s="10">
        <v>43531</v>
      </c>
      <c r="F195" s="10">
        <v>1.56232840315295</v>
      </c>
      <c r="G195" s="10">
        <v>60619.4158075601</v>
      </c>
      <c r="H195" s="10">
        <v>0.536082474226804</v>
      </c>
      <c r="I195" s="10">
        <v>0.0106288659793814</v>
      </c>
      <c r="J195" s="10">
        <v>0.674842795146577</v>
      </c>
      <c r="K195" s="10">
        <v>0.00619962802231866</v>
      </c>
      <c r="L195" s="10">
        <v>5.66642668811243</v>
      </c>
      <c r="M195" s="10">
        <v>0.0449802143299973</v>
      </c>
      <c r="N195" s="10">
        <v>0.0252059162164556</v>
      </c>
      <c r="O195" s="10">
        <v>0.0319024444247631</v>
      </c>
      <c r="P195" s="10">
        <v>8.05759379759103</v>
      </c>
      <c r="Q195" s="10">
        <v>2.47088831812948</v>
      </c>
      <c r="R195" s="10">
        <v>21.0058742047746</v>
      </c>
      <c r="S195" s="10">
        <v>0.340935258170224</v>
      </c>
      <c r="T195" s="10">
        <v>0.264546984323798</v>
      </c>
      <c r="U195" s="10">
        <v>3.08829639889197</v>
      </c>
    </row>
    <row r="196" ht="16" spans="1:21">
      <c r="A196" s="14">
        <v>2017</v>
      </c>
      <c r="B196" s="15">
        <v>630000</v>
      </c>
      <c r="C196" s="16" t="s">
        <v>60</v>
      </c>
      <c r="D196" s="10">
        <v>42211</v>
      </c>
      <c r="E196" s="10">
        <v>44047</v>
      </c>
      <c r="F196" s="10">
        <v>1.57541276215975</v>
      </c>
      <c r="G196" s="10">
        <v>66272.1843003413</v>
      </c>
      <c r="H196" s="10">
        <v>0.554607508532423</v>
      </c>
      <c r="I196" s="10">
        <v>0.0114290102389078</v>
      </c>
      <c r="J196" s="10">
        <v>0.620538720538721</v>
      </c>
      <c r="K196" s="10">
        <v>0.00726542533771449</v>
      </c>
      <c r="L196" s="10">
        <v>5.65948221575962</v>
      </c>
      <c r="M196" s="10">
        <v>0.0179607301935013</v>
      </c>
      <c r="N196" s="10">
        <v>0.0274715021702974</v>
      </c>
      <c r="O196" s="10">
        <v>0.0680272199910754</v>
      </c>
      <c r="P196" s="10">
        <v>8.11297244912086</v>
      </c>
      <c r="Q196" s="10">
        <v>2.5242343109813</v>
      </c>
      <c r="R196" s="10">
        <v>21.0947486158406</v>
      </c>
      <c r="S196" s="10">
        <v>0.341933390126161</v>
      </c>
      <c r="T196" s="10">
        <v>0.277149000040566</v>
      </c>
      <c r="U196" s="10">
        <v>3.08275206087508</v>
      </c>
    </row>
    <row r="197" ht="16" spans="1:21">
      <c r="A197" s="14">
        <v>2018</v>
      </c>
      <c r="B197" s="15">
        <v>630000</v>
      </c>
      <c r="C197" s="16" t="s">
        <v>60</v>
      </c>
      <c r="D197" s="10">
        <v>46854</v>
      </c>
      <c r="E197" s="10">
        <v>47689.4526</v>
      </c>
      <c r="F197" s="10">
        <v>1.51639343158661</v>
      </c>
      <c r="G197" s="10">
        <v>70988.9122657581</v>
      </c>
      <c r="H197" s="10">
        <v>0.572402044293015</v>
      </c>
      <c r="I197" s="10">
        <v>0.0119741056218058</v>
      </c>
      <c r="J197" s="10">
        <v>0.599203056768559</v>
      </c>
      <c r="K197" s="10">
        <v>0.00629548762736536</v>
      </c>
      <c r="L197" s="10">
        <v>5.65248918026865</v>
      </c>
      <c r="M197" s="10">
        <v>0.0175109454148472</v>
      </c>
      <c r="N197" s="10">
        <v>0.0288791848617176</v>
      </c>
      <c r="O197" s="10">
        <v>0.15646288209607</v>
      </c>
      <c r="P197" s="10">
        <v>8.12681711200332</v>
      </c>
      <c r="Q197" s="10">
        <v>2.39535662299854</v>
      </c>
      <c r="R197" s="10">
        <v>21.1633215080166</v>
      </c>
      <c r="S197" s="10">
        <v>0.327474526928675</v>
      </c>
      <c r="T197" s="10">
        <v>0.282933042212518</v>
      </c>
      <c r="U197" s="10">
        <v>3.03232945251612</v>
      </c>
    </row>
    <row r="198" ht="16" spans="1:21">
      <c r="A198" s="14">
        <v>2019</v>
      </c>
      <c r="B198" s="15">
        <v>630000</v>
      </c>
      <c r="C198" s="16" t="s">
        <v>60</v>
      </c>
      <c r="D198" s="10">
        <v>49976</v>
      </c>
      <c r="E198" s="10">
        <v>48981.46</v>
      </c>
      <c r="F198" s="10">
        <v>1.48767522610588</v>
      </c>
      <c r="G198" s="10">
        <v>74159.349279661</v>
      </c>
      <c r="H198" s="10">
        <v>0.588135593220339</v>
      </c>
      <c r="I198" s="10">
        <v>0.0124037288135593</v>
      </c>
      <c r="J198" s="10">
        <v>0.629903777498215</v>
      </c>
      <c r="K198" s="10">
        <v>0.00699398184352793</v>
      </c>
      <c r="L198" s="10">
        <v>5.64190707093811</v>
      </c>
      <c r="M198" s="10">
        <v>0.0127789136717555</v>
      </c>
      <c r="N198" s="10">
        <v>0.0030940804460916</v>
      </c>
      <c r="O198" s="10">
        <v>0.219332392642209</v>
      </c>
      <c r="P198" s="10">
        <v>8.1683511006507</v>
      </c>
      <c r="Q198" s="10">
        <v>2.25757709700452</v>
      </c>
      <c r="R198" s="10">
        <v>20.9553162871656</v>
      </c>
      <c r="S198" s="10">
        <v>0.322498384958009</v>
      </c>
      <c r="T198" s="10">
        <v>0.27945326578491</v>
      </c>
      <c r="U198" s="10">
        <v>2.94199495608314</v>
      </c>
    </row>
    <row r="199" ht="16" spans="1:21">
      <c r="A199" s="14">
        <v>2020</v>
      </c>
      <c r="B199" s="15">
        <v>630000</v>
      </c>
      <c r="C199" s="16" t="s">
        <v>60</v>
      </c>
      <c r="D199" s="10">
        <v>50845</v>
      </c>
      <c r="E199" s="10">
        <v>50818.6</v>
      </c>
      <c r="F199" s="10">
        <v>1.27636474562596</v>
      </c>
      <c r="G199" s="10">
        <v>64782.5060941821</v>
      </c>
      <c r="H199" s="10">
        <v>0.600337268128162</v>
      </c>
      <c r="I199" s="10">
        <v>0.0124976391231029</v>
      </c>
      <c r="J199" s="10">
        <v>0.637125390391388</v>
      </c>
      <c r="K199" s="10">
        <v>0.00708352714466077</v>
      </c>
      <c r="L199" s="10">
        <v>5.63121178182137</v>
      </c>
      <c r="M199" s="10">
        <v>0.00762682337696857</v>
      </c>
      <c r="N199" s="10">
        <v>0.00350853877334042</v>
      </c>
      <c r="O199" s="10">
        <v>0.278134128513522</v>
      </c>
      <c r="P199" s="10">
        <v>8.20988508929807</v>
      </c>
      <c r="Q199" s="10">
        <v>2.18560369459765</v>
      </c>
      <c r="R199" s="10">
        <v>20.9323677696225</v>
      </c>
      <c r="S199" s="10">
        <v>0.291481161538973</v>
      </c>
      <c r="T199" s="10">
        <v>0.263206857598512</v>
      </c>
      <c r="U199" s="10">
        <v>2.87684329930319</v>
      </c>
    </row>
    <row r="200" ht="16" spans="1:21">
      <c r="A200" s="14">
        <v>2021</v>
      </c>
      <c r="B200" s="15">
        <v>630000</v>
      </c>
      <c r="C200" s="16" t="s">
        <v>60</v>
      </c>
      <c r="D200" s="10">
        <v>57036</v>
      </c>
      <c r="E200" s="10">
        <v>56398</v>
      </c>
      <c r="F200" s="10">
        <v>1.10194562513806</v>
      </c>
      <c r="G200" s="10">
        <v>62797.9147416638</v>
      </c>
      <c r="H200" s="10">
        <v>0.609427609427609</v>
      </c>
      <c r="I200" s="10">
        <v>0.0129840067340067</v>
      </c>
      <c r="J200" s="10">
        <v>0.54283477592981</v>
      </c>
      <c r="K200" s="10">
        <v>0.00790952113674633</v>
      </c>
      <c r="L200" s="10">
        <v>5.62401750618734</v>
      </c>
      <c r="M200" s="10">
        <v>0.0093386753714809</v>
      </c>
      <c r="N200" s="10">
        <v>0.00416655342530501</v>
      </c>
      <c r="O200" s="10">
        <v>0.0286668045257156</v>
      </c>
      <c r="P200" s="10">
        <v>8.22372975218053</v>
      </c>
      <c r="Q200" s="10">
        <v>2.014247732711</v>
      </c>
      <c r="R200" s="10">
        <v>21.1517767936927</v>
      </c>
      <c r="S200" s="10">
        <v>0.279991728457062</v>
      </c>
      <c r="T200" s="10">
        <v>0.289563085285516</v>
      </c>
      <c r="U200" s="10">
        <v>2.77455160246986</v>
      </c>
    </row>
    <row r="201" ht="16" spans="1:21">
      <c r="A201" s="14">
        <v>2022</v>
      </c>
      <c r="B201" s="15">
        <v>630000</v>
      </c>
      <c r="C201" s="16" t="s">
        <v>60</v>
      </c>
      <c r="D201" s="10">
        <v>60946</v>
      </c>
      <c r="E201" s="10">
        <v>60724</v>
      </c>
      <c r="F201" s="10">
        <v>0.951260240483832</v>
      </c>
      <c r="G201" s="10">
        <v>57927.7517536986</v>
      </c>
      <c r="H201" s="10">
        <v>0.615126050420168</v>
      </c>
      <c r="I201" s="10">
        <v>0.0135991596638655</v>
      </c>
      <c r="J201" s="10">
        <v>0.539314989098336</v>
      </c>
      <c r="K201" s="10">
        <v>0.00796028482322744</v>
      </c>
      <c r="L201" s="10">
        <v>5.54517744447956</v>
      </c>
      <c r="M201" s="10">
        <v>0.0113237131896338</v>
      </c>
      <c r="N201" s="10">
        <v>0.00442414373637292</v>
      </c>
      <c r="O201" s="10">
        <v>0.0278072751359258</v>
      </c>
      <c r="P201" s="10">
        <v>8.23757441506299</v>
      </c>
      <c r="Q201" s="10">
        <v>1.94429111583363</v>
      </c>
      <c r="R201" s="10">
        <v>21.2057142340914</v>
      </c>
      <c r="S201" s="10">
        <v>0.232412441696796</v>
      </c>
      <c r="T201" s="10">
        <v>0.345072171777109</v>
      </c>
      <c r="U201" s="10">
        <v>2.67957941339236</v>
      </c>
    </row>
    <row r="202" ht="16" spans="1:21">
      <c r="A202" s="14">
        <v>2013</v>
      </c>
      <c r="B202" s="15">
        <v>370000</v>
      </c>
      <c r="C202" s="16" t="s">
        <v>61</v>
      </c>
      <c r="D202" s="10">
        <v>48673.11</v>
      </c>
      <c r="E202" s="10">
        <v>56884.9371</v>
      </c>
      <c r="F202" s="10">
        <v>0.777054471182381</v>
      </c>
      <c r="G202" s="10">
        <v>37747.896572953</v>
      </c>
      <c r="H202" s="10">
        <v>0.534578288528627</v>
      </c>
      <c r="I202" s="10">
        <v>0.0174281243587113</v>
      </c>
      <c r="J202" s="10">
        <v>0.141106321141088</v>
      </c>
      <c r="K202" s="10">
        <v>0.0248351472088509</v>
      </c>
      <c r="L202" s="10">
        <v>8.67248607582227</v>
      </c>
      <c r="M202" s="10">
        <v>0.348655086251143</v>
      </c>
      <c r="N202" s="10">
        <v>0.00378926291021306</v>
      </c>
      <c r="O202" s="10">
        <v>0.0224701072779617</v>
      </c>
      <c r="P202" s="10">
        <v>616.445287792536</v>
      </c>
      <c r="Q202" s="10">
        <v>0.945441373090319</v>
      </c>
      <c r="R202" s="10">
        <v>24.9243816582597</v>
      </c>
      <c r="S202" s="10">
        <v>0.470907796714705</v>
      </c>
      <c r="T202" s="10">
        <v>0.411354693173201</v>
      </c>
      <c r="U202" s="10">
        <v>2.515392532984</v>
      </c>
    </row>
    <row r="203" ht="16" spans="1:21">
      <c r="A203" s="14">
        <v>2014</v>
      </c>
      <c r="B203" s="15">
        <v>370000</v>
      </c>
      <c r="C203" s="16" t="s">
        <v>61</v>
      </c>
      <c r="D203" s="10">
        <v>51932.94</v>
      </c>
      <c r="E203" s="10">
        <v>60879.1048</v>
      </c>
      <c r="F203" s="10">
        <v>0.836941750632203</v>
      </c>
      <c r="G203" s="10">
        <v>43327.4367862969</v>
      </c>
      <c r="H203" s="10">
        <v>0.547716150081566</v>
      </c>
      <c r="I203" s="10">
        <v>0.0183183625611746</v>
      </c>
      <c r="J203" s="10">
        <v>0.141050284786942</v>
      </c>
      <c r="K203" s="10">
        <v>0.0256834000330873</v>
      </c>
      <c r="L203" s="10">
        <v>8.6652683094816</v>
      </c>
      <c r="M203" s="10">
        <v>0.335032713078141</v>
      </c>
      <c r="N203" s="10">
        <v>0.00490971899446182</v>
      </c>
      <c r="O203" s="10">
        <v>0.0238829439013054</v>
      </c>
      <c r="P203" s="10">
        <v>620.366856419987</v>
      </c>
      <c r="Q203" s="10">
        <v>0.98589536541749</v>
      </c>
      <c r="R203" s="10">
        <v>24.9520112921992</v>
      </c>
      <c r="S203" s="10">
        <v>0.494566202131766</v>
      </c>
      <c r="T203" s="10">
        <v>0.397405799727424</v>
      </c>
      <c r="U203" s="10">
        <v>2.45935027773102</v>
      </c>
    </row>
    <row r="204" ht="16" spans="1:21">
      <c r="A204" s="14">
        <v>2015</v>
      </c>
      <c r="B204" s="15">
        <v>370000</v>
      </c>
      <c r="C204" s="16" t="s">
        <v>61</v>
      </c>
      <c r="D204" s="10">
        <v>56204.93</v>
      </c>
      <c r="E204" s="10">
        <v>64168.3001</v>
      </c>
      <c r="F204" s="10">
        <v>0.873819652443171</v>
      </c>
      <c r="G204" s="10">
        <v>48968.6195013177</v>
      </c>
      <c r="H204" s="10">
        <v>0.569734441516319</v>
      </c>
      <c r="I204" s="10">
        <v>0.0192642610987229</v>
      </c>
      <c r="J204" s="10">
        <v>0.148868486926828</v>
      </c>
      <c r="K204" s="10">
        <v>0.0258133477304626</v>
      </c>
      <c r="L204" s="10">
        <v>8.66094715506093</v>
      </c>
      <c r="M204" s="10">
        <v>0.271049760530162</v>
      </c>
      <c r="N204" s="10">
        <v>0.00556260942541708</v>
      </c>
      <c r="O204" s="10">
        <v>0.0266706294945812</v>
      </c>
      <c r="P204" s="10">
        <v>624.035420619861</v>
      </c>
      <c r="Q204" s="10">
        <v>1.00268047054738</v>
      </c>
      <c r="R204" s="10">
        <v>24.9571307689326</v>
      </c>
      <c r="S204" s="10">
        <v>0.389787805125089</v>
      </c>
      <c r="T204" s="10">
        <v>0.382654353142047</v>
      </c>
      <c r="U204" s="10">
        <v>2.43967517401392</v>
      </c>
    </row>
    <row r="205" ht="16" spans="1:21">
      <c r="A205" s="14">
        <v>2016</v>
      </c>
      <c r="B205" s="15">
        <v>370000</v>
      </c>
      <c r="C205" s="16" t="s">
        <v>61</v>
      </c>
      <c r="D205" s="10">
        <v>59239.34</v>
      </c>
      <c r="E205" s="10">
        <v>68733</v>
      </c>
      <c r="F205" s="10">
        <v>0.907431440119124</v>
      </c>
      <c r="G205" s="10">
        <v>53467.3017146295</v>
      </c>
      <c r="H205" s="10">
        <v>0.591296500551489</v>
      </c>
      <c r="I205" s="10">
        <v>0.0200128346535646</v>
      </c>
      <c r="J205" s="10">
        <v>0.148650074452244</v>
      </c>
      <c r="K205" s="10">
        <v>0.0266511874069347</v>
      </c>
      <c r="L205" s="10">
        <v>8.65312170864048</v>
      </c>
      <c r="M205" s="10">
        <v>0.264907364390555</v>
      </c>
      <c r="N205" s="10">
        <v>0.00673814082110189</v>
      </c>
      <c r="O205" s="10">
        <v>0.0198253920442459</v>
      </c>
      <c r="P205" s="10">
        <v>630.803289057558</v>
      </c>
      <c r="Q205" s="10">
        <v>1.0504467985535</v>
      </c>
      <c r="R205" s="10">
        <v>25.0517963306415</v>
      </c>
      <c r="S205" s="10">
        <v>0.39961029568177</v>
      </c>
      <c r="T205" s="10">
        <v>0.369215060625399</v>
      </c>
      <c r="U205" s="10">
        <v>2.43743729396589</v>
      </c>
    </row>
    <row r="206" ht="16" spans="1:21">
      <c r="A206" s="14">
        <v>2017</v>
      </c>
      <c r="B206" s="15">
        <v>370000</v>
      </c>
      <c r="C206" s="16" t="s">
        <v>61</v>
      </c>
      <c r="D206" s="10">
        <v>62993.2</v>
      </c>
      <c r="E206" s="10">
        <v>72807.1389</v>
      </c>
      <c r="F206" s="10">
        <v>0.876065390615453</v>
      </c>
      <c r="G206" s="10">
        <v>55021.1502043257</v>
      </c>
      <c r="H206" s="10">
        <v>0.607893949965115</v>
      </c>
      <c r="I206" s="10">
        <v>0.0200871623641981</v>
      </c>
      <c r="J206" s="10">
        <v>0.146559629023632</v>
      </c>
      <c r="K206" s="10">
        <v>0.0278201646985262</v>
      </c>
      <c r="L206" s="10">
        <v>8.64699262895108</v>
      </c>
      <c r="M206" s="10">
        <v>0.283468587779173</v>
      </c>
      <c r="N206" s="10">
        <v>0.00811971034134714</v>
      </c>
      <c r="O206" s="10">
        <v>0.0300241096551297</v>
      </c>
      <c r="P206" s="10">
        <v>634.598355471221</v>
      </c>
      <c r="Q206" s="10">
        <v>1.07242831138781</v>
      </c>
      <c r="R206" s="10">
        <v>25.2060938374559</v>
      </c>
      <c r="S206" s="10">
        <v>0.405126951807669</v>
      </c>
      <c r="T206" s="10">
        <v>0.357325021702181</v>
      </c>
      <c r="U206" s="10">
        <v>2.43345680645588</v>
      </c>
    </row>
    <row r="207" ht="16" spans="1:21">
      <c r="A207" s="14">
        <v>2018</v>
      </c>
      <c r="B207" s="15">
        <v>370000</v>
      </c>
      <c r="C207" s="16" t="s">
        <v>61</v>
      </c>
      <c r="D207" s="10">
        <v>66284.31</v>
      </c>
      <c r="E207" s="10">
        <v>76267.2567</v>
      </c>
      <c r="F207" s="10">
        <v>0.862220254497824</v>
      </c>
      <c r="G207" s="10">
        <v>57026.924203632</v>
      </c>
      <c r="H207" s="10">
        <v>0.614567827726506</v>
      </c>
      <c r="I207" s="10">
        <v>0.0202519896794681</v>
      </c>
      <c r="J207" s="10">
        <v>0.1510889151959</v>
      </c>
      <c r="K207" s="10">
        <v>0.0246565207977926</v>
      </c>
      <c r="L207" s="10">
        <v>8.63426486300208</v>
      </c>
      <c r="M207" s="10">
        <v>0.290313628582017</v>
      </c>
      <c r="N207" s="10">
        <v>0.0123025286238783</v>
      </c>
      <c r="O207" s="10">
        <v>0.0628303737946163</v>
      </c>
      <c r="P207" s="10">
        <v>637.381404174573</v>
      </c>
      <c r="Q207" s="10">
        <v>1.12349041019432</v>
      </c>
      <c r="R207" s="10">
        <v>25.3039640642778</v>
      </c>
      <c r="S207" s="10">
        <v>0.412314381782745</v>
      </c>
      <c r="T207" s="10">
        <v>0.339285419564314</v>
      </c>
      <c r="U207" s="10">
        <v>2.42676566239185</v>
      </c>
    </row>
    <row r="208" ht="16" spans="1:21">
      <c r="A208" s="14">
        <v>2019</v>
      </c>
      <c r="B208" s="15">
        <v>370000</v>
      </c>
      <c r="C208" s="16" t="s">
        <v>61</v>
      </c>
      <c r="D208" s="10">
        <v>69900.89</v>
      </c>
      <c r="E208" s="10">
        <v>70652.62</v>
      </c>
      <c r="F208" s="10">
        <v>0.747851474477215</v>
      </c>
      <c r="G208" s="10">
        <v>52200.4917230952</v>
      </c>
      <c r="H208" s="10">
        <v>0.618642390659014</v>
      </c>
      <c r="I208" s="10">
        <v>0.0216103700771819</v>
      </c>
      <c r="J208" s="10">
        <v>0.150914155697791</v>
      </c>
      <c r="K208" s="10">
        <v>0.0211894756912696</v>
      </c>
      <c r="L208" s="10">
        <v>8.62353322718756</v>
      </c>
      <c r="M208" s="10">
        <v>0.29044643857075</v>
      </c>
      <c r="N208" s="10">
        <v>0.0157359247524472</v>
      </c>
      <c r="O208" s="10">
        <v>0.0922076608473147</v>
      </c>
      <c r="P208" s="10">
        <v>639.21568627451</v>
      </c>
      <c r="Q208" s="10">
        <v>1.18659450953707</v>
      </c>
      <c r="R208" s="10">
        <v>25.1865249123384</v>
      </c>
      <c r="S208" s="10">
        <v>0.41467242222553</v>
      </c>
      <c r="T208" s="10">
        <v>0.322582062786626</v>
      </c>
      <c r="U208" s="10">
        <v>2.38137834036568</v>
      </c>
    </row>
    <row r="209" ht="16" spans="1:21">
      <c r="A209" s="14">
        <v>2020</v>
      </c>
      <c r="B209" s="15">
        <v>370000</v>
      </c>
      <c r="C209" s="16" t="s">
        <v>61</v>
      </c>
      <c r="D209" s="10">
        <v>71825</v>
      </c>
      <c r="E209" s="10">
        <v>72151.35</v>
      </c>
      <c r="F209" s="10">
        <v>0.750745957249396</v>
      </c>
      <c r="G209" s="10">
        <v>53765.8183423837</v>
      </c>
      <c r="H209" s="10">
        <v>0.63049680275455</v>
      </c>
      <c r="I209" s="10">
        <v>0.0122182390555829</v>
      </c>
      <c r="J209" s="10">
        <v>0.152851444129113</v>
      </c>
      <c r="K209" s="10">
        <v>0.0231034768716809</v>
      </c>
      <c r="L209" s="10">
        <v>8.61431990214696</v>
      </c>
      <c r="M209" s="10">
        <v>0.303398051050713</v>
      </c>
      <c r="N209" s="10">
        <v>0.0261529818044952</v>
      </c>
      <c r="O209" s="10">
        <v>0.112537344329942</v>
      </c>
      <c r="P209" s="10">
        <v>642.947501581278</v>
      </c>
      <c r="Q209" s="10">
        <v>1.31063075735389</v>
      </c>
      <c r="R209" s="10">
        <v>25.2333219607939</v>
      </c>
      <c r="S209" s="10">
        <v>0.401768175586759</v>
      </c>
      <c r="T209" s="10">
        <v>0.315756433538192</v>
      </c>
      <c r="U209" s="10">
        <v>2.33168026449101</v>
      </c>
    </row>
    <row r="210" ht="16" spans="1:21">
      <c r="A210" s="14">
        <v>2021</v>
      </c>
      <c r="B210" s="15">
        <v>370000</v>
      </c>
      <c r="C210" s="16" t="s">
        <v>61</v>
      </c>
      <c r="D210" s="10">
        <v>81510</v>
      </c>
      <c r="E210" s="10">
        <v>81727</v>
      </c>
      <c r="F210" s="10">
        <v>0.699028558672979</v>
      </c>
      <c r="G210" s="10">
        <v>56963.7478915781</v>
      </c>
      <c r="H210" s="10">
        <v>0.639429695181908</v>
      </c>
      <c r="I210" s="10">
        <v>0.0238929400196657</v>
      </c>
      <c r="J210" s="10">
        <v>0.139826268895882</v>
      </c>
      <c r="K210" s="10">
        <v>0.0234649067513563</v>
      </c>
      <c r="L210" s="10">
        <v>8.6079475546847</v>
      </c>
      <c r="M210" s="10">
        <v>0.353319485201846</v>
      </c>
      <c r="N210" s="10">
        <v>0.0298978464003707</v>
      </c>
      <c r="O210" s="10">
        <v>0.0200172065949765</v>
      </c>
      <c r="P210" s="10">
        <v>643.26375711575</v>
      </c>
      <c r="Q210" s="10">
        <v>1.3084344894492</v>
      </c>
      <c r="R210" s="10">
        <v>25.3159045723062</v>
      </c>
      <c r="S210" s="10">
        <v>0.406810481302006</v>
      </c>
      <c r="T210" s="10">
        <v>0.324513244010271</v>
      </c>
      <c r="U210" s="10">
        <v>2.26344137732038</v>
      </c>
    </row>
    <row r="211" ht="16" spans="1:21">
      <c r="A211" s="14">
        <v>2022</v>
      </c>
      <c r="B211" s="15">
        <v>370000</v>
      </c>
      <c r="C211" s="16" t="s">
        <v>61</v>
      </c>
      <c r="D211" s="10">
        <v>86143</v>
      </c>
      <c r="E211" s="10">
        <v>86003</v>
      </c>
      <c r="F211" s="10">
        <v>0.701851648479049</v>
      </c>
      <c r="G211" s="10">
        <v>60480.16494508</v>
      </c>
      <c r="H211" s="10">
        <v>0.645380301092197</v>
      </c>
      <c r="I211" s="10">
        <v>0.0248654235953951</v>
      </c>
      <c r="J211" s="10">
        <v>0.137018209139625</v>
      </c>
      <c r="K211" s="10">
        <v>0.0248970781107804</v>
      </c>
      <c r="L211" s="10">
        <v>8.58260632996447</v>
      </c>
      <c r="M211" s="10">
        <v>0.370847175453801</v>
      </c>
      <c r="N211" s="10">
        <v>0.0369027677389814</v>
      </c>
      <c r="O211" s="10">
        <v>0.020188412697869</v>
      </c>
      <c r="P211" s="10">
        <v>642.820999367489</v>
      </c>
      <c r="Q211" s="10">
        <v>1.38773215311344</v>
      </c>
      <c r="R211" s="10">
        <v>25.3030735599532</v>
      </c>
      <c r="S211" s="10">
        <v>0.379508751737045</v>
      </c>
      <c r="T211" s="10">
        <v>0.323110317903465</v>
      </c>
      <c r="U211" s="10">
        <v>2.21845318860244</v>
      </c>
    </row>
    <row r="212" ht="16" spans="1:21">
      <c r="A212" s="14">
        <v>2013</v>
      </c>
      <c r="B212" s="15">
        <v>140000</v>
      </c>
      <c r="C212" s="16" t="s">
        <v>62</v>
      </c>
      <c r="D212" s="10">
        <v>33847.89</v>
      </c>
      <c r="E212" s="10">
        <v>34983.8343</v>
      </c>
      <c r="F212" s="10">
        <v>0.9203066604378</v>
      </c>
      <c r="G212" s="10">
        <v>31207.6379066478</v>
      </c>
      <c r="H212" s="10">
        <v>0.528712871287129</v>
      </c>
      <c r="I212" s="10">
        <v>0.0191461669024045</v>
      </c>
      <c r="J212" s="10">
        <v>0.252597770955686</v>
      </c>
      <c r="K212" s="10">
        <v>0.0129287815336359</v>
      </c>
      <c r="L212" s="10">
        <v>7.52563997504154</v>
      </c>
      <c r="M212" s="10">
        <v>0.0815842657167645</v>
      </c>
      <c r="N212" s="10">
        <v>0.00440219567538708</v>
      </c>
      <c r="O212" s="10">
        <v>0.0327238137346503</v>
      </c>
      <c r="P212" s="10">
        <v>225.590299936184</v>
      </c>
      <c r="Q212" s="10">
        <v>1.24195224906567</v>
      </c>
      <c r="R212" s="10">
        <v>23.8032463561813</v>
      </c>
      <c r="S212" s="10">
        <v>0.428732314468767</v>
      </c>
      <c r="T212" s="10">
        <v>0.510035704751735</v>
      </c>
      <c r="U212" s="10">
        <v>2.80010064159014</v>
      </c>
    </row>
    <row r="213" ht="16" spans="1:21">
      <c r="A213" s="14">
        <v>2014</v>
      </c>
      <c r="B213" s="15">
        <v>140000</v>
      </c>
      <c r="C213" s="16" t="s">
        <v>62</v>
      </c>
      <c r="D213" s="10">
        <v>34248.08</v>
      </c>
      <c r="E213" s="10">
        <v>35070</v>
      </c>
      <c r="F213" s="10">
        <v>1.02148296361216</v>
      </c>
      <c r="G213" s="10">
        <v>35018.5090702948</v>
      </c>
      <c r="H213" s="10">
        <v>0.543083900226757</v>
      </c>
      <c r="I213" s="10">
        <v>0.0202159297052154</v>
      </c>
      <c r="J213" s="10">
        <v>0.254895946158235</v>
      </c>
      <c r="K213" s="10">
        <v>0.0125829578245016</v>
      </c>
      <c r="L213" s="10">
        <v>7.51860721681525</v>
      </c>
      <c r="M213" s="10">
        <v>0.082445140433413</v>
      </c>
      <c r="N213" s="10">
        <v>0.00400671368450644</v>
      </c>
      <c r="O213" s="10">
        <v>0.0356459440912135</v>
      </c>
      <c r="P213" s="10">
        <v>225.143586470964</v>
      </c>
      <c r="Q213" s="10">
        <v>1.35867363390576</v>
      </c>
      <c r="R213" s="10">
        <v>23.8657108076181</v>
      </c>
      <c r="S213" s="10">
        <v>0.472760796051163</v>
      </c>
      <c r="T213" s="10">
        <v>0.477002323331707</v>
      </c>
      <c r="U213" s="10">
        <v>2.73231921898059</v>
      </c>
    </row>
    <row r="214" ht="16" spans="1:21">
      <c r="A214" s="14">
        <v>2015</v>
      </c>
      <c r="B214" s="15">
        <v>140000</v>
      </c>
      <c r="C214" s="16" t="s">
        <v>62</v>
      </c>
      <c r="D214" s="10">
        <v>33592.71</v>
      </c>
      <c r="E214" s="10">
        <v>34918.71</v>
      </c>
      <c r="F214" s="10">
        <v>1.18905663884289</v>
      </c>
      <c r="G214" s="10">
        <v>39994.7428246661</v>
      </c>
      <c r="H214" s="10">
        <v>0.55868144359193</v>
      </c>
      <c r="I214" s="10">
        <v>0.0210356635407786</v>
      </c>
      <c r="J214" s="10">
        <v>0.288923997161299</v>
      </c>
      <c r="K214" s="10">
        <v>0.0111965445574668</v>
      </c>
      <c r="L214" s="10">
        <v>7.51043055637801</v>
      </c>
      <c r="M214" s="10">
        <v>0.0772541499104457</v>
      </c>
      <c r="N214" s="10">
        <v>0.00432563955256666</v>
      </c>
      <c r="O214" s="10">
        <v>0.0435884897435031</v>
      </c>
      <c r="P214" s="10">
        <v>224.569240587109</v>
      </c>
      <c r="Q214" s="10">
        <v>1.55948261295664</v>
      </c>
      <c r="R214" s="10">
        <v>23.8501313849367</v>
      </c>
      <c r="S214" s="10">
        <v>0.451581561961407</v>
      </c>
      <c r="T214" s="10">
        <v>0.38839512013788</v>
      </c>
      <c r="U214" s="10">
        <v>2.73196530569071</v>
      </c>
    </row>
    <row r="215" ht="16" spans="1:21">
      <c r="A215" s="14">
        <v>2016</v>
      </c>
      <c r="B215" s="15">
        <v>140000</v>
      </c>
      <c r="C215" s="16" t="s">
        <v>62</v>
      </c>
      <c r="D215" s="10">
        <v>33972.42</v>
      </c>
      <c r="E215" s="10">
        <v>35532</v>
      </c>
      <c r="F215" s="10">
        <v>1.18847351503382</v>
      </c>
      <c r="G215" s="10">
        <v>40404.0409789414</v>
      </c>
      <c r="H215" s="10">
        <v>0.57256687535572</v>
      </c>
      <c r="I215" s="10">
        <v>0.0215221115537849</v>
      </c>
      <c r="J215" s="10">
        <v>0.286758353981116</v>
      </c>
      <c r="K215" s="10">
        <v>0.0111015619768298</v>
      </c>
      <c r="L215" s="10">
        <v>7.51316354523408</v>
      </c>
      <c r="M215" s="10">
        <v>0.0926388619165606</v>
      </c>
      <c r="N215" s="10">
        <v>0.00356257952186433</v>
      </c>
      <c r="O215" s="10">
        <v>0.0322778745061274</v>
      </c>
      <c r="P215" s="10">
        <v>224.250159540523</v>
      </c>
      <c r="Q215" s="10">
        <v>1.6932783097837</v>
      </c>
      <c r="R215" s="10">
        <v>23.8902510950323</v>
      </c>
      <c r="S215" s="10">
        <v>0.477064220183486</v>
      </c>
      <c r="T215" s="10">
        <v>0.371760530368981</v>
      </c>
      <c r="U215" s="10">
        <v>2.7129537790121</v>
      </c>
    </row>
    <row r="216" ht="16" spans="1:21">
      <c r="A216" s="14">
        <v>2017</v>
      </c>
      <c r="B216" s="15">
        <v>140000</v>
      </c>
      <c r="C216" s="16" t="s">
        <v>62</v>
      </c>
      <c r="D216" s="10">
        <v>41242.23</v>
      </c>
      <c r="E216" s="10">
        <v>42060</v>
      </c>
      <c r="F216" s="10">
        <v>0.417040519735162</v>
      </c>
      <c r="G216" s="10">
        <v>17209.5156695157</v>
      </c>
      <c r="H216" s="10">
        <v>0.586039886039886</v>
      </c>
      <c r="I216" s="10">
        <v>0.021737150997151</v>
      </c>
      <c r="J216" s="10">
        <v>0.259130230663546</v>
      </c>
      <c r="K216" s="10">
        <v>0.0102341638877958</v>
      </c>
      <c r="L216" s="10">
        <v>7.50218648660293</v>
      </c>
      <c r="M216" s="10">
        <v>0.0801159462314368</v>
      </c>
      <c r="N216" s="10">
        <v>0.00650014153255594</v>
      </c>
      <c r="O216" s="10">
        <v>0.0453341549125605</v>
      </c>
      <c r="P216" s="10">
        <v>223.994894703255</v>
      </c>
      <c r="Q216" s="10">
        <v>1.5509137479892</v>
      </c>
      <c r="R216" s="10">
        <v>24.0218141414545</v>
      </c>
      <c r="S216" s="10">
        <v>0.418280483005737</v>
      </c>
      <c r="T216" s="10">
        <v>0.406460788577978</v>
      </c>
      <c r="U216" s="10">
        <v>2.70040786058584</v>
      </c>
    </row>
    <row r="217" ht="16" spans="1:21">
      <c r="A217" s="14">
        <v>2018</v>
      </c>
      <c r="B217" s="15">
        <v>140000</v>
      </c>
      <c r="C217" s="16" t="s">
        <v>62</v>
      </c>
      <c r="D217" s="10">
        <v>45516.63</v>
      </c>
      <c r="E217" s="10">
        <v>45328</v>
      </c>
      <c r="F217" s="10">
        <v>0.400100938081601</v>
      </c>
      <c r="G217" s="10">
        <v>18232.0125071388</v>
      </c>
      <c r="H217" s="10">
        <v>0.598515134209023</v>
      </c>
      <c r="I217" s="10">
        <v>0.0218612221587664</v>
      </c>
      <c r="J217" s="10">
        <v>0.268244966506038</v>
      </c>
      <c r="K217" s="10">
        <v>0.0110152336431029</v>
      </c>
      <c r="L217" s="10">
        <v>7.48941208350872</v>
      </c>
      <c r="M217" s="10">
        <v>0.0860960390021368</v>
      </c>
      <c r="N217" s="10">
        <v>0.00944723995964432</v>
      </c>
      <c r="O217" s="10">
        <v>0.0919278861518602</v>
      </c>
      <c r="P217" s="10">
        <v>223.484365028717</v>
      </c>
      <c r="Q217" s="10">
        <v>1.57017690075886</v>
      </c>
      <c r="R217" s="10">
        <v>24.1348431278728</v>
      </c>
      <c r="S217" s="10">
        <v>0.408776734072352</v>
      </c>
      <c r="T217" s="10">
        <v>0.392289808937154</v>
      </c>
      <c r="U217" s="10">
        <v>2.64127659574468</v>
      </c>
    </row>
    <row r="218" ht="16" spans="1:21">
      <c r="A218" s="14">
        <v>2019</v>
      </c>
      <c r="B218" s="15">
        <v>140000</v>
      </c>
      <c r="C218" s="16" t="s">
        <v>62</v>
      </c>
      <c r="D218" s="10">
        <v>48468.67</v>
      </c>
      <c r="E218" s="10">
        <v>45724</v>
      </c>
      <c r="F218" s="10">
        <v>0.411437712393878</v>
      </c>
      <c r="G218" s="10">
        <v>19956.0820776094</v>
      </c>
      <c r="H218" s="10">
        <v>0.612810980840721</v>
      </c>
      <c r="I218" s="10">
        <v>0.0229340863597369</v>
      </c>
      <c r="J218" s="10">
        <v>0.27528299217055</v>
      </c>
      <c r="K218" s="10">
        <v>0.0112737872606358</v>
      </c>
      <c r="L218" s="10">
        <v>7.47420480649612</v>
      </c>
      <c r="M218" s="10">
        <v>0.0853349566078672</v>
      </c>
      <c r="N218" s="10">
        <v>0.00645693802471465</v>
      </c>
      <c r="O218" s="10">
        <v>0.146893105603245</v>
      </c>
      <c r="P218" s="10">
        <v>223.165283982131</v>
      </c>
      <c r="Q218" s="10">
        <v>1.63582327138949</v>
      </c>
      <c r="R218" s="10">
        <v>24.045782079047</v>
      </c>
      <c r="S218" s="10">
        <v>0.414495094802377</v>
      </c>
      <c r="T218" s="10">
        <v>0.388094283558155</v>
      </c>
      <c r="U218" s="10">
        <v>2.5780499147419</v>
      </c>
    </row>
    <row r="219" ht="16" spans="1:21">
      <c r="A219" s="14">
        <v>2020</v>
      </c>
      <c r="B219" s="15">
        <v>140000</v>
      </c>
      <c r="C219" s="16" t="s">
        <v>62</v>
      </c>
      <c r="D219" s="10">
        <v>51051</v>
      </c>
      <c r="E219" s="10">
        <v>50527.92</v>
      </c>
      <c r="F219" s="10">
        <v>0.432751235966788</v>
      </c>
      <c r="G219" s="10">
        <v>22115.6961152127</v>
      </c>
      <c r="H219" s="10">
        <v>0.625214899713467</v>
      </c>
      <c r="I219" s="10">
        <v>0.0459827507163324</v>
      </c>
      <c r="J219" s="10">
        <v>0.283620399650138</v>
      </c>
      <c r="K219" s="10">
        <v>0.0118333495929489</v>
      </c>
      <c r="L219" s="10">
        <v>7.46049030582534</v>
      </c>
      <c r="M219" s="10">
        <v>0.0844700935208235</v>
      </c>
      <c r="N219" s="10">
        <v>0.00252192244724035</v>
      </c>
      <c r="O219" s="10">
        <v>0.181794882145821</v>
      </c>
      <c r="P219" s="10">
        <v>222.718570516911</v>
      </c>
      <c r="Q219" s="10">
        <v>1.70296766018525</v>
      </c>
      <c r="R219" s="10">
        <v>24.0358087811158</v>
      </c>
      <c r="S219" s="10">
        <v>0.378249119738052</v>
      </c>
      <c r="T219" s="10">
        <v>0.379493821346072</v>
      </c>
      <c r="U219" s="10">
        <v>2.50706153624442</v>
      </c>
    </row>
    <row r="220" ht="16" spans="1:21">
      <c r="A220" s="14">
        <v>2021</v>
      </c>
      <c r="B220" s="15">
        <v>140000</v>
      </c>
      <c r="C220" s="16" t="s">
        <v>62</v>
      </c>
      <c r="D220" s="10">
        <v>65625</v>
      </c>
      <c r="E220" s="10">
        <v>64821</v>
      </c>
      <c r="F220" s="10">
        <v>0.366844341391294</v>
      </c>
      <c r="G220" s="10">
        <v>24108.8414521708</v>
      </c>
      <c r="H220" s="10">
        <v>0.634195402298851</v>
      </c>
      <c r="I220" s="10">
        <v>0.0255969540229885</v>
      </c>
      <c r="J220" s="10">
        <v>0.218063523156569</v>
      </c>
      <c r="K220" s="10">
        <v>0.0110137527109277</v>
      </c>
      <c r="L220" s="10">
        <v>7.44716835960004</v>
      </c>
      <c r="M220" s="10">
        <v>0.097405506681125</v>
      </c>
      <c r="N220" s="10">
        <v>0.00587982720022387</v>
      </c>
      <c r="O220" s="10">
        <v>0.022099307401707</v>
      </c>
      <c r="P220" s="10">
        <v>222.08040842374</v>
      </c>
      <c r="Q220" s="10">
        <v>1.48302915558976</v>
      </c>
      <c r="R220" s="10">
        <v>24.1723636344026</v>
      </c>
      <c r="S220" s="10">
        <v>0.338747901217294</v>
      </c>
      <c r="T220" s="10">
        <v>0.461015111235483</v>
      </c>
      <c r="U220" s="10">
        <v>2.44532270708126</v>
      </c>
    </row>
    <row r="221" ht="16" spans="1:21">
      <c r="A221" s="14">
        <v>2022</v>
      </c>
      <c r="B221" s="15">
        <v>140000</v>
      </c>
      <c r="C221" s="16" t="s">
        <v>62</v>
      </c>
      <c r="D221" s="10">
        <v>73506</v>
      </c>
      <c r="E221" s="10">
        <v>73675</v>
      </c>
      <c r="F221" s="10">
        <v>0.34728401682509</v>
      </c>
      <c r="G221" s="10">
        <v>25523.9286355973</v>
      </c>
      <c r="H221" s="10">
        <v>0.639471416259696</v>
      </c>
      <c r="I221" s="10">
        <v>0.0271677678827923</v>
      </c>
      <c r="J221" s="10">
        <v>0.226249711732769</v>
      </c>
      <c r="K221" s="10">
        <v>0.0106988828911933</v>
      </c>
      <c r="L221" s="10">
        <v>7.42177579364465</v>
      </c>
      <c r="M221" s="10">
        <v>0.0723247862913786</v>
      </c>
      <c r="N221" s="10">
        <v>0.00630982766505498</v>
      </c>
      <c r="O221" s="10">
        <v>0.0189561130242066</v>
      </c>
      <c r="P221" s="10">
        <v>222.144224633057</v>
      </c>
      <c r="Q221" s="10">
        <v>1.46210116518592</v>
      </c>
      <c r="R221" s="10">
        <v>24.1498876693563</v>
      </c>
      <c r="S221" s="10">
        <v>0.295603875875062</v>
      </c>
      <c r="T221" s="10">
        <v>0.498747259018367</v>
      </c>
      <c r="U221" s="10">
        <v>2.4218587269497</v>
      </c>
    </row>
    <row r="222" ht="16" spans="1:21">
      <c r="A222" s="14">
        <v>2013</v>
      </c>
      <c r="B222" s="15">
        <v>610000</v>
      </c>
      <c r="C222" s="16" t="s">
        <v>63</v>
      </c>
      <c r="D222" s="10">
        <v>41905.81</v>
      </c>
      <c r="E222" s="10">
        <v>43117</v>
      </c>
      <c r="F222" s="10">
        <v>0.935789103071913</v>
      </c>
      <c r="G222" s="10">
        <v>39127.4973711882</v>
      </c>
      <c r="H222" s="10">
        <v>0.515772870662461</v>
      </c>
      <c r="I222" s="10">
        <v>0.028328785488959</v>
      </c>
      <c r="J222" s="10">
        <v>0.230425515862537</v>
      </c>
      <c r="K222" s="10">
        <v>0.0215489959384863</v>
      </c>
      <c r="L222" s="10">
        <v>7.64491934495886</v>
      </c>
      <c r="M222" s="10">
        <v>0.0783740805009619</v>
      </c>
      <c r="N222" s="10">
        <v>0.033528235693538</v>
      </c>
      <c r="O222" s="10">
        <v>0.0300423566838935</v>
      </c>
      <c r="P222" s="10">
        <v>185.019455252918</v>
      </c>
      <c r="Q222" s="10">
        <v>1.01976938649767</v>
      </c>
      <c r="R222" s="10">
        <v>23.8758218504171</v>
      </c>
      <c r="S222" s="10">
        <v>0.32976221912055</v>
      </c>
      <c r="T222" s="10">
        <v>0.449966677983578</v>
      </c>
      <c r="U222" s="10">
        <v>3.15087422447829</v>
      </c>
    </row>
    <row r="223" ht="16" spans="1:21">
      <c r="A223" s="14">
        <v>2014</v>
      </c>
      <c r="B223" s="15">
        <v>610000</v>
      </c>
      <c r="C223" s="16" t="s">
        <v>63</v>
      </c>
      <c r="D223" s="10">
        <v>45610.01</v>
      </c>
      <c r="E223" s="10">
        <v>46929</v>
      </c>
      <c r="F223" s="10">
        <v>0.98789943973567</v>
      </c>
      <c r="G223" s="10">
        <v>44922.7070812647</v>
      </c>
      <c r="H223" s="10">
        <v>0.53018029788346</v>
      </c>
      <c r="I223" s="10">
        <v>0.0287330284818396</v>
      </c>
      <c r="J223" s="10">
        <v>0.227692572906192</v>
      </c>
      <c r="K223" s="10">
        <v>0.0210758799023129</v>
      </c>
      <c r="L223" s="10">
        <v>7.650168700845</v>
      </c>
      <c r="M223" s="10">
        <v>0.0965921907771872</v>
      </c>
      <c r="N223" s="10">
        <v>0.0367774745007901</v>
      </c>
      <c r="O223" s="10">
        <v>0.032558793276828</v>
      </c>
      <c r="P223" s="10">
        <v>186.13813229572</v>
      </c>
      <c r="Q223" s="10">
        <v>1.08244217784801</v>
      </c>
      <c r="R223" s="10">
        <v>23.9906944926799</v>
      </c>
      <c r="S223" s="10">
        <v>0.340106306565149</v>
      </c>
      <c r="T223" s="10">
        <v>0.438580663697745</v>
      </c>
      <c r="U223" s="10">
        <v>3.07186081694402</v>
      </c>
    </row>
    <row r="224" ht="16" spans="1:21">
      <c r="A224" s="14">
        <v>2015</v>
      </c>
      <c r="B224" s="15">
        <v>610000</v>
      </c>
      <c r="C224" s="16" t="s">
        <v>63</v>
      </c>
      <c r="D224" s="10">
        <v>46653.98</v>
      </c>
      <c r="E224" s="10">
        <v>47626</v>
      </c>
      <c r="F224" s="10">
        <v>1.03818356537868</v>
      </c>
      <c r="G224" s="10">
        <v>48315.7566302652</v>
      </c>
      <c r="H224" s="10">
        <v>0.547321892875715</v>
      </c>
      <c r="I224" s="10">
        <v>0.0285931617264691</v>
      </c>
      <c r="J224" s="10">
        <v>0.244413591972646</v>
      </c>
      <c r="K224" s="10">
        <v>0.0219664279169553</v>
      </c>
      <c r="L224" s="10">
        <v>7.65302041380419</v>
      </c>
      <c r="M224" s="10">
        <v>0.106128276755984</v>
      </c>
      <c r="N224" s="10">
        <v>0.0403278432073659</v>
      </c>
      <c r="O224" s="10">
        <v>0.0425148725054194</v>
      </c>
      <c r="P224" s="10">
        <v>187.062256809339</v>
      </c>
      <c r="Q224" s="10">
        <v>1.21575803964512</v>
      </c>
      <c r="R224" s="10">
        <v>23.8997652139242</v>
      </c>
      <c r="S224" s="10">
        <v>0.383215634567681</v>
      </c>
      <c r="T224" s="10">
        <v>0.396859007307752</v>
      </c>
      <c r="U224" s="10">
        <v>3.0406260789504</v>
      </c>
    </row>
    <row r="225" ht="16" spans="1:21">
      <c r="A225" s="14">
        <v>2016</v>
      </c>
      <c r="B225" s="15">
        <v>610000</v>
      </c>
      <c r="C225" s="16" t="s">
        <v>63</v>
      </c>
      <c r="D225" s="10">
        <v>49341.32</v>
      </c>
      <c r="E225" s="10">
        <v>51015</v>
      </c>
      <c r="F225" s="10">
        <v>1.09343004756954</v>
      </c>
      <c r="G225" s="10">
        <v>53756.4532782654</v>
      </c>
      <c r="H225" s="10">
        <v>0.564016520392359</v>
      </c>
      <c r="I225" s="10">
        <v>0.0277814661848219</v>
      </c>
      <c r="J225" s="10">
        <v>0.230352623675561</v>
      </c>
      <c r="K225" s="10">
        <v>0.0220287606716441</v>
      </c>
      <c r="L225" s="10">
        <v>7.65491704784832</v>
      </c>
      <c r="M225" s="10">
        <v>0.104442155225824</v>
      </c>
      <c r="N225" s="10">
        <v>0.0421505003727856</v>
      </c>
      <c r="O225" s="10">
        <v>0.0292463797792689</v>
      </c>
      <c r="P225" s="10">
        <v>188.424124513619</v>
      </c>
      <c r="Q225" s="10">
        <v>1.2560118241292</v>
      </c>
      <c r="R225" s="10">
        <v>23.9699946474926</v>
      </c>
      <c r="S225" s="10">
        <v>0.403275262787596</v>
      </c>
      <c r="T225" s="10">
        <v>0.37944848733054</v>
      </c>
      <c r="U225" s="10">
        <v>3.02681992337165</v>
      </c>
    </row>
    <row r="226" ht="16" spans="1:21">
      <c r="A226" s="14">
        <v>2017</v>
      </c>
      <c r="B226" s="15">
        <v>610000</v>
      </c>
      <c r="C226" s="16" t="s">
        <v>63</v>
      </c>
      <c r="D226" s="10">
        <v>55215.87</v>
      </c>
      <c r="E226" s="10">
        <v>57266.31</v>
      </c>
      <c r="F226" s="10">
        <v>1.10924534891843</v>
      </c>
      <c r="G226" s="10">
        <v>61012.756147541</v>
      </c>
      <c r="H226" s="10">
        <v>0.580686475409836</v>
      </c>
      <c r="I226" s="10">
        <v>0.0273917520491803</v>
      </c>
      <c r="J226" s="10">
        <v>0.224978228979905</v>
      </c>
      <c r="K226" s="10">
        <v>0.0214653531096468</v>
      </c>
      <c r="L226" s="10">
        <v>7.65491704784832</v>
      </c>
      <c r="M226" s="10">
        <v>0.126407548839267</v>
      </c>
      <c r="N226" s="10">
        <v>0.0428872796702913</v>
      </c>
      <c r="O226" s="10">
        <v>0.0443482618110695</v>
      </c>
      <c r="P226" s="10">
        <v>189.88326848249</v>
      </c>
      <c r="Q226" s="10">
        <v>1.24241786387873</v>
      </c>
      <c r="R226" s="10">
        <v>24.0710681452759</v>
      </c>
      <c r="S226" s="10">
        <v>0.401015204787296</v>
      </c>
      <c r="T226" s="10">
        <v>0.383398141895825</v>
      </c>
      <c r="U226" s="10">
        <v>3.0014612761812</v>
      </c>
    </row>
    <row r="227" ht="16" spans="1:21">
      <c r="A227" s="14">
        <v>2018</v>
      </c>
      <c r="B227" s="15">
        <v>610000</v>
      </c>
      <c r="C227" s="16" t="s">
        <v>63</v>
      </c>
      <c r="D227" s="10">
        <v>61115.2</v>
      </c>
      <c r="E227" s="10">
        <v>63477.4749</v>
      </c>
      <c r="F227" s="10">
        <v>1.09835040326791</v>
      </c>
      <c r="G227" s="10">
        <v>66895.4350546935</v>
      </c>
      <c r="H227" s="10">
        <v>0.596540320529127</v>
      </c>
      <c r="I227" s="10">
        <v>0.0268330704655304</v>
      </c>
      <c r="J227" s="10">
        <v>0.221405151637923</v>
      </c>
      <c r="K227" s="10">
        <v>0.0222380053379222</v>
      </c>
      <c r="L227" s="10">
        <v>7.65539064482615</v>
      </c>
      <c r="M227" s="10">
        <v>0.147331552633667</v>
      </c>
      <c r="N227" s="10">
        <v>0.0470008645930356</v>
      </c>
      <c r="O227" s="10">
        <v>0.0983543411341623</v>
      </c>
      <c r="P227" s="10">
        <v>191.196498054475</v>
      </c>
      <c r="Q227" s="10">
        <v>1.27449408777081</v>
      </c>
      <c r="R227" s="10">
        <v>24.1470899706476</v>
      </c>
      <c r="S227" s="10">
        <v>0.397224113374461</v>
      </c>
      <c r="T227" s="10">
        <v>0.379589756869756</v>
      </c>
      <c r="U227" s="10">
        <v>2.97146169624543</v>
      </c>
    </row>
    <row r="228" ht="16" spans="1:21">
      <c r="A228" s="14">
        <v>2019</v>
      </c>
      <c r="B228" s="15">
        <v>610000</v>
      </c>
      <c r="C228" s="16" t="s">
        <v>63</v>
      </c>
      <c r="D228" s="10">
        <v>65506.46</v>
      </c>
      <c r="E228" s="10">
        <v>66649.02</v>
      </c>
      <c r="F228" s="10">
        <v>1.04500451312749</v>
      </c>
      <c r="G228" s="10">
        <v>68341.8113793103</v>
      </c>
      <c r="H228" s="10">
        <v>0.612829614604463</v>
      </c>
      <c r="I228" s="10">
        <v>0.0284480223123732</v>
      </c>
      <c r="J228" s="10">
        <v>0.22065428097328</v>
      </c>
      <c r="K228" s="10">
        <v>0.0226639346804584</v>
      </c>
      <c r="L228" s="10">
        <v>7.65633716643018</v>
      </c>
      <c r="M228" s="10">
        <v>0.136490264876014</v>
      </c>
      <c r="N228" s="10">
        <v>0.0568890250143449</v>
      </c>
      <c r="O228" s="10">
        <v>0.13802210660174</v>
      </c>
      <c r="P228" s="10">
        <v>191.828793774319</v>
      </c>
      <c r="Q228" s="10">
        <v>1.32256524975575</v>
      </c>
      <c r="R228" s="10">
        <v>24.050660671654</v>
      </c>
      <c r="S228" s="10">
        <v>0.395957073957477</v>
      </c>
      <c r="T228" s="10">
        <v>0.366759455980646</v>
      </c>
      <c r="U228" s="10">
        <v>2.92860619828006</v>
      </c>
    </row>
    <row r="229" ht="16" spans="1:21">
      <c r="A229" s="14">
        <v>2020</v>
      </c>
      <c r="B229" s="15">
        <v>610000</v>
      </c>
      <c r="C229" s="16" t="s">
        <v>63</v>
      </c>
      <c r="D229" s="10">
        <v>65866.92</v>
      </c>
      <c r="E229" s="10">
        <v>66291.58</v>
      </c>
      <c r="F229" s="10">
        <v>1.07861216935154</v>
      </c>
      <c r="G229" s="10">
        <v>70945.9540701087</v>
      </c>
      <c r="H229" s="10">
        <v>0.626548672566372</v>
      </c>
      <c r="I229" s="10">
        <v>0.0305953982300885</v>
      </c>
      <c r="J229" s="10">
        <v>0.226385306429975</v>
      </c>
      <c r="K229" s="10">
        <v>0.0243072410731104</v>
      </c>
      <c r="L229" s="10">
        <v>7.65207074611648</v>
      </c>
      <c r="M229" s="10">
        <v>0.144759984008672</v>
      </c>
      <c r="N229" s="10">
        <v>0.0676064134450164</v>
      </c>
      <c r="O229" s="10">
        <v>0.168582099707466</v>
      </c>
      <c r="P229" s="10">
        <v>192.363813229572</v>
      </c>
      <c r="Q229" s="10">
        <v>1.49555318077504</v>
      </c>
      <c r="R229" s="10">
        <v>24.119647360959</v>
      </c>
      <c r="S229" s="10">
        <v>0.369257441156911</v>
      </c>
      <c r="T229" s="10">
        <v>0.3359793342841</v>
      </c>
      <c r="U229" s="10">
        <v>2.84379693601682</v>
      </c>
    </row>
    <row r="230" ht="16" spans="1:21">
      <c r="A230" s="14">
        <v>2021</v>
      </c>
      <c r="B230" s="15">
        <v>610000</v>
      </c>
      <c r="C230" s="16" t="s">
        <v>63</v>
      </c>
      <c r="D230" s="10">
        <v>76171</v>
      </c>
      <c r="E230" s="10">
        <v>75360</v>
      </c>
      <c r="F230" s="10">
        <v>0.903579515421978</v>
      </c>
      <c r="G230" s="10">
        <v>68834.9799941482</v>
      </c>
      <c r="H230" s="10">
        <v>0.636317653009611</v>
      </c>
      <c r="I230" s="10">
        <v>0.0324567526555387</v>
      </c>
      <c r="J230" s="10">
        <v>0.199731754847834</v>
      </c>
      <c r="K230" s="10">
        <v>0.0232596672830551</v>
      </c>
      <c r="L230" s="10">
        <v>7.64539769942863</v>
      </c>
      <c r="M230" s="10">
        <v>0.157551645491456</v>
      </c>
      <c r="N230" s="10">
        <v>0.0777990618059406</v>
      </c>
      <c r="O230" s="10">
        <v>0.0202946712834933</v>
      </c>
      <c r="P230" s="10">
        <v>192.315175097276</v>
      </c>
      <c r="Q230" s="10">
        <v>1.46252535547462</v>
      </c>
      <c r="R230" s="10">
        <v>24.1067646091337</v>
      </c>
      <c r="S230" s="10">
        <v>0.340302838153225</v>
      </c>
      <c r="T230" s="10">
        <v>0.383049429481072</v>
      </c>
      <c r="U230" s="10">
        <v>2.76113936927772</v>
      </c>
    </row>
    <row r="231" ht="16" spans="1:21">
      <c r="A231" s="14">
        <v>2022</v>
      </c>
      <c r="B231" s="15">
        <v>610000</v>
      </c>
      <c r="C231" s="16" t="s">
        <v>63</v>
      </c>
      <c r="D231" s="10">
        <v>83030</v>
      </c>
      <c r="E231" s="10">
        <v>82864</v>
      </c>
      <c r="F231" s="10">
        <v>0.89596739553175</v>
      </c>
      <c r="G231" s="10">
        <v>74372.9942567004</v>
      </c>
      <c r="H231" s="10">
        <v>0.640040444893832</v>
      </c>
      <c r="I231" s="10">
        <v>0.0329715874620829</v>
      </c>
      <c r="J231" s="10">
        <v>0.203928047213306</v>
      </c>
      <c r="K231" s="10">
        <v>0.0234346346632885</v>
      </c>
      <c r="L231" s="10">
        <v>7.63336964967958</v>
      </c>
      <c r="M231" s="10">
        <v>0.146409252029648</v>
      </c>
      <c r="N231" s="10">
        <v>0.092840959614108</v>
      </c>
      <c r="O231" s="10">
        <v>0.0195022778349605</v>
      </c>
      <c r="P231" s="10">
        <v>192.412451361868</v>
      </c>
      <c r="Q231" s="10">
        <v>1.48094566693668</v>
      </c>
      <c r="R231" s="10">
        <v>24.1434073684007</v>
      </c>
      <c r="S231" s="10">
        <v>0.316753049801755</v>
      </c>
      <c r="T231" s="10">
        <v>0.403980729759853</v>
      </c>
      <c r="U231" s="10">
        <v>2.70192307692308</v>
      </c>
    </row>
    <row r="232" ht="16" spans="1:21">
      <c r="A232" s="14">
        <v>2013</v>
      </c>
      <c r="B232" s="15">
        <v>310000</v>
      </c>
      <c r="C232" s="16" t="s">
        <v>64</v>
      </c>
      <c r="D232" s="10">
        <v>95746</v>
      </c>
      <c r="E232" s="10">
        <v>90993</v>
      </c>
      <c r="F232" s="10">
        <v>0.243396641110838</v>
      </c>
      <c r="G232" s="10">
        <v>23071.0784313725</v>
      </c>
      <c r="H232" s="10">
        <v>0.895833333333333</v>
      </c>
      <c r="I232" s="10">
        <v>0.0206197303921569</v>
      </c>
      <c r="J232" s="10">
        <v>0.193976926491439</v>
      </c>
      <c r="K232" s="10">
        <v>0.0334759805379222</v>
      </c>
      <c r="L232" s="10">
        <v>7.22177008171029</v>
      </c>
      <c r="M232" s="10">
        <v>1.17774975112157</v>
      </c>
      <c r="N232" s="10">
        <v>0.0229131920651954</v>
      </c>
      <c r="O232" s="10">
        <v>0.0341239306846635</v>
      </c>
      <c r="P232" s="10">
        <v>3885.71428571429</v>
      </c>
      <c r="Q232" s="10">
        <v>1.7129968410755</v>
      </c>
      <c r="R232" s="10">
        <v>20.7862594263538</v>
      </c>
      <c r="S232" s="10">
        <v>0.368771036153094</v>
      </c>
      <c r="T232" s="10">
        <v>0.334652065798717</v>
      </c>
      <c r="U232" s="10">
        <v>2.33642232403165</v>
      </c>
    </row>
    <row r="233" ht="16" spans="1:21">
      <c r="A233" s="14">
        <v>2014</v>
      </c>
      <c r="B233" s="15">
        <v>310000</v>
      </c>
      <c r="C233" s="16" t="s">
        <v>64</v>
      </c>
      <c r="D233" s="10">
        <v>102827</v>
      </c>
      <c r="E233" s="10">
        <v>97370</v>
      </c>
      <c r="F233" s="10">
        <v>0.238087756927241</v>
      </c>
      <c r="G233" s="10">
        <v>24387.6368058371</v>
      </c>
      <c r="H233" s="10">
        <v>0.892987434130523</v>
      </c>
      <c r="I233" s="10">
        <v>0.0205368463721119</v>
      </c>
      <c r="J233" s="10">
        <v>0.193676245953668</v>
      </c>
      <c r="K233" s="10">
        <v>0.0341098861091105</v>
      </c>
      <c r="L233" s="10">
        <v>7.21937113960448</v>
      </c>
      <c r="M233" s="10">
        <v>1.13376477059573</v>
      </c>
      <c r="N233" s="10">
        <v>0.0234449817568798</v>
      </c>
      <c r="O233" s="10">
        <v>0.0358533348107227</v>
      </c>
      <c r="P233" s="10">
        <v>3915.87301587302</v>
      </c>
      <c r="Q233" s="10">
        <v>1.7106320588212</v>
      </c>
      <c r="R233" s="10">
        <v>20.8758075945808</v>
      </c>
      <c r="S233" s="10">
        <v>0.368166744493427</v>
      </c>
      <c r="T233" s="10">
        <v>0.320536767208288</v>
      </c>
      <c r="U233" s="10">
        <v>2.30469044922612</v>
      </c>
    </row>
    <row r="234" ht="16" spans="1:21">
      <c r="A234" s="14">
        <v>2015</v>
      </c>
      <c r="B234" s="15">
        <v>310000</v>
      </c>
      <c r="C234" s="16" t="s">
        <v>64</v>
      </c>
      <c r="D234" s="10">
        <v>109186</v>
      </c>
      <c r="E234" s="10">
        <v>103795.536</v>
      </c>
      <c r="F234" s="10">
        <v>0.236274035779373</v>
      </c>
      <c r="G234" s="10">
        <v>25844.9959316517</v>
      </c>
      <c r="H234" s="10">
        <v>0.885272579332791</v>
      </c>
      <c r="I234" s="10">
        <v>0.0208146053702197</v>
      </c>
      <c r="J234" s="10">
        <v>0.229040800386804</v>
      </c>
      <c r="K234" s="10">
        <v>0.0348177133930896</v>
      </c>
      <c r="L234" s="10">
        <v>7.21634965692709</v>
      </c>
      <c r="M234" s="10">
        <v>1.04067054710455</v>
      </c>
      <c r="N234" s="10">
        <v>0.0246877673224979</v>
      </c>
      <c r="O234" s="10">
        <v>0.0433113177371964</v>
      </c>
      <c r="P234" s="10">
        <v>3901.5873015873</v>
      </c>
      <c r="Q234" s="10">
        <v>1.81170826049764</v>
      </c>
      <c r="R234" s="10">
        <v>20.905031518437</v>
      </c>
      <c r="S234" s="10">
        <v>0.431647264477257</v>
      </c>
      <c r="T234" s="10">
        <v>0.293398296574553</v>
      </c>
      <c r="U234" s="10">
        <v>2.28235294117647</v>
      </c>
    </row>
    <row r="235" ht="16" spans="1:21">
      <c r="A235" s="14">
        <v>2016</v>
      </c>
      <c r="B235" s="15">
        <v>310000</v>
      </c>
      <c r="C235" s="16" t="s">
        <v>64</v>
      </c>
      <c r="D235" s="10">
        <v>121369</v>
      </c>
      <c r="E235" s="10">
        <v>116562</v>
      </c>
      <c r="F235" s="10">
        <v>0.226047445377589</v>
      </c>
      <c r="G235" s="10">
        <v>27385.0020267531</v>
      </c>
      <c r="H235" s="10">
        <v>0.890149979732469</v>
      </c>
      <c r="I235" s="10">
        <v>0.020862707742197</v>
      </c>
      <c r="J235" s="10">
        <v>0.23030247264697</v>
      </c>
      <c r="K235" s="10">
        <v>0.0351095372570014</v>
      </c>
      <c r="L235" s="10">
        <v>7.21908551633963</v>
      </c>
      <c r="M235" s="10">
        <v>0.964037374109144</v>
      </c>
      <c r="N235" s="10">
        <v>0.0261314283802322</v>
      </c>
      <c r="O235" s="10">
        <v>0.0359426138454847</v>
      </c>
      <c r="P235" s="10">
        <v>3915.87301587302</v>
      </c>
      <c r="Q235" s="10">
        <v>1.83010840833807</v>
      </c>
      <c r="R235" s="10">
        <v>20.8836847798149</v>
      </c>
      <c r="S235" s="10">
        <v>0.42119316090608</v>
      </c>
      <c r="T235" s="10">
        <v>0.269197309867166</v>
      </c>
      <c r="U235" s="10">
        <v>2.26065830721003</v>
      </c>
    </row>
    <row r="236" ht="16" spans="1:21">
      <c r="A236" s="14">
        <v>2017</v>
      </c>
      <c r="B236" s="15">
        <v>310000</v>
      </c>
      <c r="C236" s="16" t="s">
        <v>64</v>
      </c>
      <c r="D236" s="10">
        <v>133489</v>
      </c>
      <c r="E236" s="10">
        <v>126634.15</v>
      </c>
      <c r="F236" s="10">
        <v>0.220094153378891</v>
      </c>
      <c r="G236" s="10">
        <v>29386.0502838605</v>
      </c>
      <c r="H236" s="10">
        <v>0.890916463909165</v>
      </c>
      <c r="I236" s="10">
        <v>0.0208806569343066</v>
      </c>
      <c r="J236" s="10">
        <v>0.227860288534548</v>
      </c>
      <c r="K236" s="10">
        <v>0.0366045621867882</v>
      </c>
      <c r="L236" s="10">
        <v>7.2244984570295</v>
      </c>
      <c r="M236" s="10">
        <v>0.976517691723614</v>
      </c>
      <c r="N236" s="10">
        <v>0.0246201974183751</v>
      </c>
      <c r="O236" s="10">
        <v>0.0426929354593774</v>
      </c>
      <c r="P236" s="10">
        <v>3914.28571428571</v>
      </c>
      <c r="Q236" s="10">
        <v>1.89090387243736</v>
      </c>
      <c r="R236" s="10">
        <v>20.9780917843323</v>
      </c>
      <c r="S236" s="10">
        <v>0.416082004555809</v>
      </c>
      <c r="T236" s="10">
        <v>0.272662110858011</v>
      </c>
      <c r="U236" s="10">
        <v>2.2496316262354</v>
      </c>
    </row>
    <row r="237" ht="16" spans="1:21">
      <c r="A237" s="14">
        <v>2018</v>
      </c>
      <c r="B237" s="15">
        <v>310000</v>
      </c>
      <c r="C237" s="16" t="s">
        <v>64</v>
      </c>
      <c r="D237" s="10">
        <v>145767</v>
      </c>
      <c r="E237" s="10">
        <v>134982</v>
      </c>
      <c r="F237" s="10">
        <v>0.211692367501763</v>
      </c>
      <c r="G237" s="10">
        <v>30801.7098989899</v>
      </c>
      <c r="H237" s="10">
        <v>0.891313131313131</v>
      </c>
      <c r="I237" s="10">
        <v>0.0209210505050505</v>
      </c>
      <c r="J237" s="10">
        <v>0.230228702814078</v>
      </c>
      <c r="K237" s="10">
        <v>0.0377431841785193</v>
      </c>
      <c r="L237" s="10">
        <v>7.22668889493752</v>
      </c>
      <c r="M237" s="10">
        <v>0.947594621762867</v>
      </c>
      <c r="N237" s="10">
        <v>0.0340219039314891</v>
      </c>
      <c r="O237" s="10">
        <v>0.062672871114468</v>
      </c>
      <c r="P237" s="10">
        <v>3928.57142857143</v>
      </c>
      <c r="Q237" s="10">
        <v>1.90393843129197</v>
      </c>
      <c r="R237" s="10">
        <v>21.0612811618229</v>
      </c>
      <c r="S237" s="10">
        <v>0.41305349913084</v>
      </c>
      <c r="T237" s="10">
        <v>0.271119466397125</v>
      </c>
      <c r="U237" s="10">
        <v>2.2398024691358</v>
      </c>
    </row>
    <row r="238" ht="16" spans="1:21">
      <c r="A238" s="14">
        <v>2019</v>
      </c>
      <c r="B238" s="15">
        <v>310000</v>
      </c>
      <c r="C238" s="16" t="s">
        <v>64</v>
      </c>
      <c r="D238" s="10">
        <v>153299</v>
      </c>
      <c r="E238" s="10">
        <v>157279</v>
      </c>
      <c r="F238" s="10">
        <v>0.210916661837021</v>
      </c>
      <c r="G238" s="10">
        <v>32294.307872632</v>
      </c>
      <c r="H238" s="10">
        <v>0.892382103990326</v>
      </c>
      <c r="I238" s="10">
        <v>0.0212247077791213</v>
      </c>
      <c r="J238" s="10">
        <v>0.212763901904832</v>
      </c>
      <c r="K238" s="10">
        <v>0.0401328328191305</v>
      </c>
      <c r="L238" s="10">
        <v>7.22708135676838</v>
      </c>
      <c r="M238" s="10">
        <v>0.896925259821626</v>
      </c>
      <c r="N238" s="10">
        <v>0.0374424812307174</v>
      </c>
      <c r="O238" s="10">
        <v>0.0792488785814318</v>
      </c>
      <c r="P238" s="10">
        <v>3938.09523809524</v>
      </c>
      <c r="Q238" s="10">
        <v>1.96543003506407</v>
      </c>
      <c r="R238" s="10">
        <v>21.1806996272364</v>
      </c>
      <c r="S238" s="10">
        <v>0.417178237108951</v>
      </c>
      <c r="T238" s="10">
        <v>0.251795322684244</v>
      </c>
      <c r="U238" s="10">
        <v>2.21765326103329</v>
      </c>
    </row>
    <row r="239" ht="16" spans="1:21">
      <c r="A239" s="14">
        <v>2020</v>
      </c>
      <c r="B239" s="15">
        <v>310000</v>
      </c>
      <c r="C239" s="16" t="s">
        <v>64</v>
      </c>
      <c r="D239" s="10">
        <v>156803</v>
      </c>
      <c r="E239" s="10">
        <v>155768.08</v>
      </c>
      <c r="F239" s="10">
        <v>0.226815393328327</v>
      </c>
      <c r="G239" s="10">
        <v>35520.4027928842</v>
      </c>
      <c r="H239" s="10">
        <v>0.893086816720257</v>
      </c>
      <c r="I239" s="10">
        <v>0.0331833199356913</v>
      </c>
      <c r="J239" s="10">
        <v>0.205228253253703</v>
      </c>
      <c r="K239" s="10">
        <v>0.0414669702001627</v>
      </c>
      <c r="L239" s="10">
        <v>7.2254814727823</v>
      </c>
      <c r="M239" s="10">
        <v>0.891923220055796</v>
      </c>
      <c r="N239" s="10">
        <v>0.040633621895476</v>
      </c>
      <c r="O239" s="10">
        <v>0.0942509335708218</v>
      </c>
      <c r="P239" s="10">
        <v>3949.20634920635</v>
      </c>
      <c r="Q239" s="10">
        <v>2.02699719992916</v>
      </c>
      <c r="R239" s="10">
        <v>21.3073388522242</v>
      </c>
      <c r="S239" s="10">
        <v>0.408910436231017</v>
      </c>
      <c r="T239" s="10">
        <v>0.247040163435849</v>
      </c>
      <c r="U239" s="10">
        <v>2.18948182521268</v>
      </c>
    </row>
    <row r="240" ht="16" spans="1:21">
      <c r="A240" s="14">
        <v>2021</v>
      </c>
      <c r="B240" s="15">
        <v>310000</v>
      </c>
      <c r="C240" s="16" t="s">
        <v>64</v>
      </c>
      <c r="D240" s="10">
        <v>175420</v>
      </c>
      <c r="E240" s="10">
        <v>173630</v>
      </c>
      <c r="F240" s="10">
        <v>0.218643176492426</v>
      </c>
      <c r="G240" s="10">
        <v>38346.6223867383</v>
      </c>
      <c r="H240" s="10">
        <v>0.893129770992366</v>
      </c>
      <c r="I240" s="10">
        <v>0.0220463238248292</v>
      </c>
      <c r="J240" s="10">
        <v>0.190393602301779</v>
      </c>
      <c r="K240" s="10">
        <v>0.0416869782742159</v>
      </c>
      <c r="L240" s="10">
        <v>7.21890970761906</v>
      </c>
      <c r="M240" s="10">
        <v>0.92888878707632</v>
      </c>
      <c r="N240" s="10">
        <v>0.0583116472561004</v>
      </c>
      <c r="O240" s="10">
        <v>0.0519205923048024</v>
      </c>
      <c r="P240" s="10">
        <v>3950.79365079365</v>
      </c>
      <c r="Q240" s="10">
        <v>2.04827595685998</v>
      </c>
      <c r="R240" s="10">
        <v>21.4288365379982</v>
      </c>
      <c r="S240" s="10">
        <v>0.414157495899499</v>
      </c>
      <c r="T240" s="10">
        <v>0.244580007880293</v>
      </c>
      <c r="U240" s="10">
        <v>2.13984579839568</v>
      </c>
    </row>
    <row r="241" ht="16" spans="1:21">
      <c r="A241" s="14">
        <v>2022</v>
      </c>
      <c r="B241" s="15">
        <v>310000</v>
      </c>
      <c r="C241" s="16" t="s">
        <v>64</v>
      </c>
      <c r="D241" s="10">
        <v>180536</v>
      </c>
      <c r="E241" s="10">
        <v>179907</v>
      </c>
      <c r="F241" s="10">
        <v>0.210873005013236</v>
      </c>
      <c r="G241" s="10">
        <v>38177.8972482367</v>
      </c>
      <c r="H241" s="10">
        <v>0.893333333333333</v>
      </c>
      <c r="I241" s="10">
        <v>0.0224164444444444</v>
      </c>
      <c r="J241" s="10">
        <v>0.206753985239605</v>
      </c>
      <c r="K241" s="10">
        <v>0.044222679991341</v>
      </c>
      <c r="L241" s="10">
        <v>7.20563517641036</v>
      </c>
      <c r="M241" s="10">
        <v>0.939376287405906</v>
      </c>
      <c r="N241" s="10">
        <v>0.0863826767330743</v>
      </c>
      <c r="O241" s="10">
        <v>0.0541248808835705</v>
      </c>
      <c r="P241" s="10">
        <v>3928.57142857143</v>
      </c>
      <c r="Q241" s="10">
        <v>2.17291911687581</v>
      </c>
      <c r="R241" s="10">
        <v>21.3300226994379</v>
      </c>
      <c r="S241" s="10">
        <v>0.366936626711985</v>
      </c>
      <c r="T241" s="10">
        <v>0.239614274779007</v>
      </c>
      <c r="U241" s="10">
        <v>2.11518034684991</v>
      </c>
    </row>
    <row r="242" ht="16" spans="1:21">
      <c r="A242" s="14">
        <v>2013</v>
      </c>
      <c r="B242" s="15">
        <v>510000</v>
      </c>
      <c r="C242" s="16" t="s">
        <v>65</v>
      </c>
      <c r="D242" s="10">
        <v>32750</v>
      </c>
      <c r="E242" s="10">
        <v>32617</v>
      </c>
      <c r="F242" s="10">
        <v>0.766501998642432</v>
      </c>
      <c r="G242" s="10">
        <v>25066.0993957331</v>
      </c>
      <c r="H242" s="10">
        <v>0.449623874707116</v>
      </c>
      <c r="I242" s="10">
        <v>0.0156716981132075</v>
      </c>
      <c r="J242" s="10">
        <v>0.234480352967795</v>
      </c>
      <c r="K242" s="10">
        <v>0.0150829711893808</v>
      </c>
      <c r="L242" s="10">
        <v>8.44117570499232</v>
      </c>
      <c r="M242" s="10">
        <v>0.150812191718833</v>
      </c>
      <c r="N242" s="10">
        <v>0.00560298665057697</v>
      </c>
      <c r="O242" s="10">
        <v>0.0317834263519119</v>
      </c>
      <c r="P242" s="10">
        <v>166.817527257766</v>
      </c>
      <c r="Q242" s="10">
        <v>1.11406365487593</v>
      </c>
      <c r="R242" s="10">
        <v>24.647856543814</v>
      </c>
      <c r="S242" s="10">
        <v>0.414850290368806</v>
      </c>
      <c r="T242" s="10">
        <v>0.388754808054906</v>
      </c>
      <c r="U242" s="10">
        <v>2.65218947619616</v>
      </c>
    </row>
    <row r="243" ht="16" spans="1:21">
      <c r="A243" s="14">
        <v>2014</v>
      </c>
      <c r="B243" s="15">
        <v>510000</v>
      </c>
      <c r="C243" s="16" t="s">
        <v>65</v>
      </c>
      <c r="D243" s="10">
        <v>35563</v>
      </c>
      <c r="E243" s="10">
        <v>35128</v>
      </c>
      <c r="F243" s="10">
        <v>0.807113906262439</v>
      </c>
      <c r="G243" s="10">
        <v>28650.4115984765</v>
      </c>
      <c r="H243" s="10">
        <v>0.465044845804153</v>
      </c>
      <c r="I243" s="10">
        <v>0.0163205430642585</v>
      </c>
      <c r="J243" s="10">
        <v>0.235101916493893</v>
      </c>
      <c r="K243" s="10">
        <v>0.0155523812358738</v>
      </c>
      <c r="L243" s="10">
        <v>8.44203851781548</v>
      </c>
      <c r="M243" s="10">
        <v>0.149263896051753</v>
      </c>
      <c r="N243" s="10">
        <v>0.0068896172896339</v>
      </c>
      <c r="O243" s="10">
        <v>0.0355461124975339</v>
      </c>
      <c r="P243" s="10">
        <v>167.434684221354</v>
      </c>
      <c r="Q243" s="10">
        <v>1.17281188454656</v>
      </c>
      <c r="R243" s="10">
        <v>24.6203682666984</v>
      </c>
      <c r="S243" s="10">
        <v>0.42895266048949</v>
      </c>
      <c r="T243" s="10">
        <v>0.370485232578666</v>
      </c>
      <c r="U243" s="10">
        <v>2.59242618741977</v>
      </c>
    </row>
    <row r="244" ht="16" spans="1:21">
      <c r="A244" s="14">
        <v>2015</v>
      </c>
      <c r="B244" s="15">
        <v>510000</v>
      </c>
      <c r="C244" s="16" t="s">
        <v>65</v>
      </c>
      <c r="D244" s="10">
        <v>37150</v>
      </c>
      <c r="E244" s="10">
        <v>36775</v>
      </c>
      <c r="F244" s="10">
        <v>0.84127282314943</v>
      </c>
      <c r="G244" s="10">
        <v>31144.3387018058</v>
      </c>
      <c r="H244" s="10">
        <v>0.482674475353831</v>
      </c>
      <c r="I244" s="10">
        <v>0.0169337359687653</v>
      </c>
      <c r="J244" s="10">
        <v>0.246889130578077</v>
      </c>
      <c r="K244" s="10">
        <v>0.0165735969942654</v>
      </c>
      <c r="L244" s="10">
        <v>8.44505251363856</v>
      </c>
      <c r="M244" s="10">
        <v>0.105076405642344</v>
      </c>
      <c r="N244" s="10">
        <v>0.00930459429174082</v>
      </c>
      <c r="O244" s="10">
        <v>0.0427654801924725</v>
      </c>
      <c r="P244" s="10">
        <v>168.60728245217</v>
      </c>
      <c r="Q244" s="10">
        <v>1.25277931579988</v>
      </c>
      <c r="R244" s="10">
        <v>24.6107508421381</v>
      </c>
      <c r="S244" s="10">
        <v>0.455948849779184</v>
      </c>
      <c r="T244" s="10">
        <v>0.353800013183047</v>
      </c>
      <c r="U244" s="10">
        <v>2.55733385381087</v>
      </c>
    </row>
    <row r="245" ht="16" spans="1:21">
      <c r="A245" s="14">
        <v>2016</v>
      </c>
      <c r="B245" s="15">
        <v>510000</v>
      </c>
      <c r="C245" s="16" t="s">
        <v>65</v>
      </c>
      <c r="D245" s="10">
        <v>40297</v>
      </c>
      <c r="E245" s="10">
        <v>40003</v>
      </c>
      <c r="F245" s="10">
        <v>0.869440379015345</v>
      </c>
      <c r="G245" s="10">
        <v>34919.3431099261</v>
      </c>
      <c r="H245" s="10">
        <v>0.500060598715307</v>
      </c>
      <c r="I245" s="10">
        <v>0.0175319234032239</v>
      </c>
      <c r="J245" s="10">
        <v>0.241466873877816</v>
      </c>
      <c r="K245" s="10">
        <v>0.0169416026675921</v>
      </c>
      <c r="L245" s="10">
        <v>8.44612674298238</v>
      </c>
      <c r="M245" s="10">
        <v>0.0988297358057848</v>
      </c>
      <c r="N245" s="10">
        <v>0.00903179081732728</v>
      </c>
      <c r="O245" s="10">
        <v>0.02758023447048</v>
      </c>
      <c r="P245" s="10">
        <v>169.738736885415</v>
      </c>
      <c r="Q245" s="10">
        <v>1.29239796611192</v>
      </c>
      <c r="R245" s="10">
        <v>24.67789792122</v>
      </c>
      <c r="S245" s="10">
        <v>0.468328379377461</v>
      </c>
      <c r="T245" s="10">
        <v>0.325630309157023</v>
      </c>
      <c r="U245" s="10">
        <v>2.52923324109613</v>
      </c>
    </row>
    <row r="246" ht="16" spans="1:21">
      <c r="A246" s="14">
        <v>2017</v>
      </c>
      <c r="B246" s="15">
        <v>510000</v>
      </c>
      <c r="C246" s="16" t="s">
        <v>65</v>
      </c>
      <c r="D246" s="10">
        <v>45835</v>
      </c>
      <c r="E246" s="10">
        <v>44651.32</v>
      </c>
      <c r="F246" s="10">
        <v>0.841630545757695</v>
      </c>
      <c r="G246" s="10">
        <v>38487.2602243938</v>
      </c>
      <c r="H246" s="10">
        <v>0.517794667631801</v>
      </c>
      <c r="I246" s="10">
        <v>0.0180928338762215</v>
      </c>
      <c r="J246" s="10">
        <v>0.229212955512583</v>
      </c>
      <c r="K246" s="10">
        <v>0.0168275498547689</v>
      </c>
      <c r="L246" s="10">
        <v>8.44827174594982</v>
      </c>
      <c r="M246" s="10">
        <v>0.121313089795305</v>
      </c>
      <c r="N246" s="10">
        <v>0.0107064748543072</v>
      </c>
      <c r="O246" s="10">
        <v>0.0399748186919438</v>
      </c>
      <c r="P246" s="10">
        <v>170.520469039292</v>
      </c>
      <c r="Q246" s="10">
        <v>1.26960329876455</v>
      </c>
      <c r="R246" s="10">
        <v>24.7672923115684</v>
      </c>
      <c r="S246" s="10">
        <v>0.459157211034927</v>
      </c>
      <c r="T246" s="10">
        <v>0.301748313551475</v>
      </c>
      <c r="U246" s="10">
        <v>2.51304490062975</v>
      </c>
    </row>
    <row r="247" ht="16" spans="1:21">
      <c r="A247" s="14">
        <v>2018</v>
      </c>
      <c r="B247" s="15">
        <v>510000</v>
      </c>
      <c r="C247" s="16" t="s">
        <v>65</v>
      </c>
      <c r="D247" s="10">
        <v>51658</v>
      </c>
      <c r="E247" s="10">
        <v>48883.1701</v>
      </c>
      <c r="F247" s="10">
        <v>0.819449471704182</v>
      </c>
      <c r="G247" s="10">
        <v>42249.853599327</v>
      </c>
      <c r="H247" s="10">
        <v>0.535031847133758</v>
      </c>
      <c r="I247" s="10">
        <v>0.0188043504386492</v>
      </c>
      <c r="J247" s="10">
        <v>0.226099188617807</v>
      </c>
      <c r="K247" s="10">
        <v>0.0171805417450428</v>
      </c>
      <c r="L247" s="10">
        <v>8.45318786144033</v>
      </c>
      <c r="M247" s="10">
        <v>0.138698135988681</v>
      </c>
      <c r="N247" s="10">
        <v>0.023231963004142</v>
      </c>
      <c r="O247" s="10">
        <v>0.0849748590395342</v>
      </c>
      <c r="P247" s="10">
        <v>171.178769800453</v>
      </c>
      <c r="Q247" s="10">
        <v>1.26096018609812</v>
      </c>
      <c r="R247" s="10">
        <v>24.8525811793933</v>
      </c>
      <c r="S247" s="10">
        <v>0.450810100204885</v>
      </c>
      <c r="T247" s="10">
        <v>0.288100116311323</v>
      </c>
      <c r="U247" s="10">
        <v>2.49163603630635</v>
      </c>
    </row>
    <row r="248" ht="16" spans="1:21">
      <c r="A248" s="14">
        <v>2019</v>
      </c>
      <c r="B248" s="15">
        <v>510000</v>
      </c>
      <c r="C248" s="16" t="s">
        <v>65</v>
      </c>
      <c r="D248" s="10">
        <v>55619</v>
      </c>
      <c r="E248" s="10">
        <v>55774</v>
      </c>
      <c r="F248" s="10">
        <v>0.823477110449963</v>
      </c>
      <c r="G248" s="10">
        <v>45718.5104220812</v>
      </c>
      <c r="H248" s="10">
        <v>0.553586396838702</v>
      </c>
      <c r="I248" s="10">
        <v>0.0198986588432523</v>
      </c>
      <c r="J248" s="10">
        <v>0.221396434287095</v>
      </c>
      <c r="K248" s="10">
        <v>0.0187851614837438</v>
      </c>
      <c r="L248" s="10">
        <v>8.45829208349608</v>
      </c>
      <c r="M248" s="10">
        <v>0.146410986588675</v>
      </c>
      <c r="N248" s="10">
        <v>0.0261400057803718</v>
      </c>
      <c r="O248" s="10">
        <v>0.121058028030489</v>
      </c>
      <c r="P248" s="10">
        <v>171.79592676404</v>
      </c>
      <c r="Q248" s="10">
        <v>1.31760144768117</v>
      </c>
      <c r="R248" s="10">
        <v>24.8136226734987</v>
      </c>
      <c r="S248" s="10">
        <v>0.460337590965365</v>
      </c>
      <c r="T248" s="10">
        <v>0.283969389911957</v>
      </c>
      <c r="U248" s="10">
        <v>2.46448534423995</v>
      </c>
    </row>
    <row r="249" ht="16" spans="1:21">
      <c r="A249" s="14">
        <v>2020</v>
      </c>
      <c r="B249" s="15">
        <v>510000</v>
      </c>
      <c r="C249" s="16" t="s">
        <v>65</v>
      </c>
      <c r="D249" s="10">
        <v>58009</v>
      </c>
      <c r="E249" s="10">
        <v>58125.54</v>
      </c>
      <c r="F249" s="10">
        <v>0.809221857402178</v>
      </c>
      <c r="G249" s="10">
        <v>46886.339551998</v>
      </c>
      <c r="H249" s="10">
        <v>0.567315732887349</v>
      </c>
      <c r="I249" s="10">
        <v>0.0215135945526221</v>
      </c>
      <c r="J249" s="10">
        <v>0.227282398931169</v>
      </c>
      <c r="K249" s="10">
        <v>0.0217577278069177</v>
      </c>
      <c r="L249" s="10">
        <v>8.46484671104403</v>
      </c>
      <c r="M249" s="10">
        <v>0.166245406337111</v>
      </c>
      <c r="N249" s="10">
        <v>0.0256608029425833</v>
      </c>
      <c r="O249" s="10">
        <v>0.166271362181866</v>
      </c>
      <c r="P249" s="10">
        <v>172.207364739765</v>
      </c>
      <c r="Q249" s="10">
        <v>1.43304344598941</v>
      </c>
      <c r="R249" s="10">
        <v>24.939692291353</v>
      </c>
      <c r="S249" s="10">
        <v>0.42936521681759</v>
      </c>
      <c r="T249" s="10">
        <v>0.276300163293582</v>
      </c>
      <c r="U249" s="10">
        <v>2.4014690187708</v>
      </c>
    </row>
    <row r="250" ht="16" spans="1:21">
      <c r="A250" s="14">
        <v>2021</v>
      </c>
      <c r="B250" s="15">
        <v>510000</v>
      </c>
      <c r="C250" s="16" t="s">
        <v>65</v>
      </c>
      <c r="D250" s="10">
        <v>64610</v>
      </c>
      <c r="E250" s="10">
        <v>64326</v>
      </c>
      <c r="F250" s="10">
        <v>0.768455472091353</v>
      </c>
      <c r="G250" s="10">
        <v>49646.7027884342</v>
      </c>
      <c r="H250" s="10">
        <v>0.578236980410893</v>
      </c>
      <c r="I250" s="10">
        <v>0.0229434424271381</v>
      </c>
      <c r="J250" s="10">
        <v>0.204733952078095</v>
      </c>
      <c r="K250" s="10">
        <v>0.0224545344623576</v>
      </c>
      <c r="L250" s="10">
        <v>8.46104603079324</v>
      </c>
      <c r="M250" s="10">
        <v>0.175851323768673</v>
      </c>
      <c r="N250" s="10">
        <v>0.0256746413252477</v>
      </c>
      <c r="O250" s="10">
        <v>0.0244344401715723</v>
      </c>
      <c r="P250" s="10">
        <v>172.227936638552</v>
      </c>
      <c r="Q250" s="10">
        <v>1.45991532317704</v>
      </c>
      <c r="R250" s="10">
        <v>25.0208487837664</v>
      </c>
      <c r="S250" s="10">
        <v>0.446183996450229</v>
      </c>
      <c r="T250" s="10">
        <v>0.287422348764976</v>
      </c>
      <c r="U250" s="10">
        <v>2.35812233285918</v>
      </c>
    </row>
    <row r="251" ht="16" spans="1:21">
      <c r="A251" s="14">
        <v>2022</v>
      </c>
      <c r="B251" s="15">
        <v>510000</v>
      </c>
      <c r="C251" s="16" t="s">
        <v>65</v>
      </c>
      <c r="D251" s="10">
        <v>67610</v>
      </c>
      <c r="E251" s="10">
        <v>67777</v>
      </c>
      <c r="F251" s="10">
        <v>0.778270925538961</v>
      </c>
      <c r="G251" s="10">
        <v>52612.9361702241</v>
      </c>
      <c r="H251" s="10">
        <v>0.583472653451158</v>
      </c>
      <c r="I251" s="10">
        <v>0.024498758060664</v>
      </c>
      <c r="J251" s="10">
        <v>0.208027175314696</v>
      </c>
      <c r="K251" s="10">
        <v>0.02146280352304</v>
      </c>
      <c r="L251" s="10">
        <v>8.45659356928731</v>
      </c>
      <c r="M251" s="10">
        <v>0.17904123285203</v>
      </c>
      <c r="N251" s="10">
        <v>0.0290324005214608</v>
      </c>
      <c r="O251" s="10">
        <v>0.023966401814514</v>
      </c>
      <c r="P251" s="10">
        <v>172.269080436124</v>
      </c>
      <c r="Q251" s="10">
        <v>1.60683587056749</v>
      </c>
      <c r="R251" s="10">
        <v>25.0483784098798</v>
      </c>
      <c r="S251" s="10">
        <v>0.425799590886448</v>
      </c>
      <c r="T251" s="10">
        <v>0.285967899777779</v>
      </c>
      <c r="U251" s="10">
        <v>2.31539203084833</v>
      </c>
    </row>
    <row r="252" ht="16" spans="1:21">
      <c r="A252" s="14">
        <v>2013</v>
      </c>
      <c r="B252" s="15">
        <v>120000</v>
      </c>
      <c r="C252" s="16" t="s">
        <v>66</v>
      </c>
      <c r="D252" s="10">
        <v>71344.62</v>
      </c>
      <c r="E252" s="10">
        <v>100105.4288</v>
      </c>
      <c r="F252" s="10">
        <v>0.918032457216402</v>
      </c>
      <c r="G252" s="10">
        <v>64753.1914893617</v>
      </c>
      <c r="H252" s="10">
        <v>0.822695035460993</v>
      </c>
      <c r="I252" s="10">
        <v>0.0347460283687943</v>
      </c>
      <c r="J252" s="10">
        <v>0.255723248939208</v>
      </c>
      <c r="K252" s="10">
        <v>0.0430442335149919</v>
      </c>
      <c r="L252" s="10">
        <v>6.56667242980324</v>
      </c>
      <c r="M252" s="10">
        <v>0.800206396927223</v>
      </c>
      <c r="N252" s="10">
        <v>0.0277676111569168</v>
      </c>
      <c r="O252" s="10">
        <v>0.0214253825889356</v>
      </c>
      <c r="P252" s="10">
        <v>1175</v>
      </c>
      <c r="Q252" s="10">
        <v>1.95601081907213</v>
      </c>
      <c r="R252" s="10">
        <v>20.3821440193571</v>
      </c>
      <c r="S252" s="10">
        <v>0.449494238542442</v>
      </c>
      <c r="T252" s="10">
        <v>0.383564260864319</v>
      </c>
      <c r="U252" s="10">
        <v>1.8875789747932</v>
      </c>
    </row>
    <row r="253" ht="16" spans="1:21">
      <c r="A253" s="14">
        <v>2014</v>
      </c>
      <c r="B253" s="15">
        <v>120000</v>
      </c>
      <c r="C253" s="16" t="s">
        <v>66</v>
      </c>
      <c r="D253" s="10">
        <v>74960.34</v>
      </c>
      <c r="E253" s="10">
        <v>105231.3467</v>
      </c>
      <c r="F253" s="10">
        <v>0.988495949476533</v>
      </c>
      <c r="G253" s="10">
        <v>73605.2484254724</v>
      </c>
      <c r="H253" s="10">
        <v>0.825752274317705</v>
      </c>
      <c r="I253" s="10">
        <v>0.0353950314905528</v>
      </c>
      <c r="J253" s="10">
        <v>0.270482867507471</v>
      </c>
      <c r="K253" s="10">
        <v>0.0436711087720617</v>
      </c>
      <c r="L253" s="10">
        <v>6.57646956904822</v>
      </c>
      <c r="M253" s="10">
        <v>0.772921996879875</v>
      </c>
      <c r="N253" s="10">
        <v>0.0365167377779449</v>
      </c>
      <c r="O253" s="10">
        <v>0.0228944232468094</v>
      </c>
      <c r="P253" s="10">
        <v>1190.83333333333</v>
      </c>
      <c r="Q253" s="10">
        <v>2.04086141758923</v>
      </c>
      <c r="R253" s="10">
        <v>20.5020255382973</v>
      </c>
      <c r="S253" s="10">
        <v>0.445341428114956</v>
      </c>
      <c r="T253" s="10">
        <v>0.373324812510573</v>
      </c>
      <c r="U253" s="10">
        <v>1.85176913130363</v>
      </c>
    </row>
    <row r="254" ht="16" spans="1:21">
      <c r="A254" s="14">
        <v>2015</v>
      </c>
      <c r="B254" s="15">
        <v>120000</v>
      </c>
      <c r="C254" s="16" t="s">
        <v>66</v>
      </c>
      <c r="D254" s="10">
        <v>75868.27</v>
      </c>
      <c r="E254" s="10">
        <v>107960.0883</v>
      </c>
      <c r="F254" s="10">
        <v>1.08754906015901</v>
      </c>
      <c r="G254" s="10">
        <v>82223.6970118138</v>
      </c>
      <c r="H254" s="10">
        <v>0.829047949965254</v>
      </c>
      <c r="I254" s="10">
        <v>0.0356396108408617</v>
      </c>
      <c r="J254" s="10">
        <v>0.296020956845443</v>
      </c>
      <c r="K254" s="10">
        <v>0.0468940594696447</v>
      </c>
      <c r="L254" s="10">
        <v>6.57646956904822</v>
      </c>
      <c r="M254" s="10">
        <v>0.654257098212234</v>
      </c>
      <c r="N254" s="10">
        <v>0.0462741853945494</v>
      </c>
      <c r="O254" s="10">
        <v>0.0295093248770624</v>
      </c>
      <c r="P254" s="10">
        <v>1199.16666666667</v>
      </c>
      <c r="Q254" s="10">
        <v>2.2520253688129</v>
      </c>
      <c r="R254" s="10">
        <v>20.50919655216</v>
      </c>
      <c r="S254" s="10">
        <v>0.364281446757663</v>
      </c>
      <c r="T254" s="10">
        <v>0.35066868881842</v>
      </c>
      <c r="U254" s="10">
        <v>1.84509252245428</v>
      </c>
    </row>
    <row r="255" ht="16" spans="1:21">
      <c r="A255" s="14">
        <v>2016</v>
      </c>
      <c r="B255" s="15">
        <v>120000</v>
      </c>
      <c r="C255" s="16" t="s">
        <v>66</v>
      </c>
      <c r="D255" s="10">
        <v>79647.47</v>
      </c>
      <c r="E255" s="10">
        <v>115053</v>
      </c>
      <c r="F255" s="10">
        <v>1.11345885756108</v>
      </c>
      <c r="G255" s="10">
        <v>88561.2612612613</v>
      </c>
      <c r="H255" s="10">
        <v>0.832986832986833</v>
      </c>
      <c r="I255" s="10">
        <v>0.0356092862092862</v>
      </c>
      <c r="J255" s="10">
        <v>0.321273481336911</v>
      </c>
      <c r="K255" s="10">
        <v>0.0468164996689088</v>
      </c>
      <c r="L255" s="10">
        <v>6.55819780281227</v>
      </c>
      <c r="M255" s="10">
        <v>0.59410971317046</v>
      </c>
      <c r="N255" s="10">
        <v>0.048151116997177</v>
      </c>
      <c r="O255" s="10">
        <v>0.0234907381591329</v>
      </c>
      <c r="P255" s="10">
        <v>1202.5</v>
      </c>
      <c r="Q255" s="10">
        <v>2.38455111002684</v>
      </c>
      <c r="R255" s="10">
        <v>20.5568285092496</v>
      </c>
      <c r="S255" s="10">
        <v>0.364906074652354</v>
      </c>
      <c r="T255" s="10">
        <v>0.328738716760185</v>
      </c>
      <c r="U255" s="10">
        <v>1.84847579199044</v>
      </c>
    </row>
    <row r="256" ht="16" spans="1:21">
      <c r="A256" s="14">
        <v>2017</v>
      </c>
      <c r="B256" s="15">
        <v>120000</v>
      </c>
      <c r="C256" s="16" t="s">
        <v>66</v>
      </c>
      <c r="D256" s="10">
        <v>87280.48</v>
      </c>
      <c r="E256" s="10">
        <v>118943.5683</v>
      </c>
      <c r="F256" s="10">
        <v>0.906696866014489</v>
      </c>
      <c r="G256" s="10">
        <v>80063.2624113475</v>
      </c>
      <c r="H256" s="10">
        <v>0.835460992907801</v>
      </c>
      <c r="I256" s="10">
        <v>0.0365013475177305</v>
      </c>
      <c r="J256" s="10">
        <v>0.26234478659663</v>
      </c>
      <c r="K256" s="10">
        <v>0.0368434212005847</v>
      </c>
      <c r="L256" s="10">
        <v>6.52795791762255</v>
      </c>
      <c r="M256" s="10">
        <v>0.612346087738744</v>
      </c>
      <c r="N256" s="10">
        <v>0.0442902350087546</v>
      </c>
      <c r="O256" s="10">
        <v>0.0326732928533565</v>
      </c>
      <c r="P256" s="10">
        <v>1175</v>
      </c>
      <c r="Q256" s="10">
        <v>2.41779914221001</v>
      </c>
      <c r="R256" s="10">
        <v>20.5682143051989</v>
      </c>
      <c r="S256" s="10">
        <v>0.338168441681525</v>
      </c>
      <c r="T256" s="10">
        <v>0.316651406357926</v>
      </c>
      <c r="U256" s="10">
        <v>1.85152155925347</v>
      </c>
    </row>
    <row r="257" ht="16" spans="1:21">
      <c r="A257" s="14">
        <v>2018</v>
      </c>
      <c r="B257" s="15">
        <v>120000</v>
      </c>
      <c r="C257" s="16" t="s">
        <v>66</v>
      </c>
      <c r="D257" s="10">
        <v>95688.65</v>
      </c>
      <c r="E257" s="10">
        <v>120710.8019</v>
      </c>
      <c r="F257" s="10">
        <v>0.797487108337262</v>
      </c>
      <c r="G257" s="10">
        <v>77055.2456977585</v>
      </c>
      <c r="H257" s="10">
        <v>0.839479392624729</v>
      </c>
      <c r="I257" s="10">
        <v>0.0378415762834418</v>
      </c>
      <c r="J257" s="10">
        <v>0.230439500407846</v>
      </c>
      <c r="K257" s="10">
        <v>0.0368482664691048</v>
      </c>
      <c r="L257" s="10">
        <v>6.51025834052315</v>
      </c>
      <c r="M257" s="10">
        <v>0.606912137335459</v>
      </c>
      <c r="N257" s="10">
        <v>0.0513054800978829</v>
      </c>
      <c r="O257" s="10">
        <v>0.0638453254907243</v>
      </c>
      <c r="P257" s="10">
        <v>1152.5</v>
      </c>
      <c r="Q257" s="10">
        <v>2.43505676163108</v>
      </c>
      <c r="R257" s="10">
        <v>20.5594946574637</v>
      </c>
      <c r="S257" s="10">
        <v>0.316637855555306</v>
      </c>
      <c r="T257" s="10">
        <v>0.320057771890832</v>
      </c>
      <c r="U257" s="10">
        <v>1.86325601560806</v>
      </c>
    </row>
    <row r="258" ht="16" spans="1:21">
      <c r="A258" s="14">
        <v>2019</v>
      </c>
      <c r="B258" s="15">
        <v>120000</v>
      </c>
      <c r="C258" s="16" t="s">
        <v>66</v>
      </c>
      <c r="D258" s="10">
        <v>101556.79</v>
      </c>
      <c r="E258" s="10">
        <v>90370.63</v>
      </c>
      <c r="F258" s="10">
        <v>0.857512965236384</v>
      </c>
      <c r="G258" s="10">
        <v>87023.6352554513</v>
      </c>
      <c r="H258" s="10">
        <v>0.843321299638989</v>
      </c>
      <c r="I258" s="10">
        <v>0.0389433935018051</v>
      </c>
      <c r="J258" s="10">
        <v>0.249385649745651</v>
      </c>
      <c r="K258" s="10">
        <v>0.0329388175447334</v>
      </c>
      <c r="L258" s="10">
        <v>6.49072353450251</v>
      </c>
      <c r="M258" s="10">
        <v>0.523421550282807</v>
      </c>
      <c r="N258" s="10">
        <v>0.0646899790117748</v>
      </c>
      <c r="O258" s="10">
        <v>0.0955783785706663</v>
      </c>
      <c r="P258" s="10">
        <v>1154.16666666667</v>
      </c>
      <c r="Q258" s="10">
        <v>2.48116680303084</v>
      </c>
      <c r="R258" s="10">
        <v>20.5101965027097</v>
      </c>
      <c r="S258" s="10">
        <v>0.30011027711572</v>
      </c>
      <c r="T258" s="10">
        <v>0.311073956814059</v>
      </c>
      <c r="U258" s="10">
        <v>1.85933720367683</v>
      </c>
    </row>
    <row r="259" ht="16" spans="1:21">
      <c r="A259" s="14">
        <v>2020</v>
      </c>
      <c r="B259" s="15">
        <v>120000</v>
      </c>
      <c r="C259" s="16" t="s">
        <v>66</v>
      </c>
      <c r="D259" s="10">
        <v>101067.82</v>
      </c>
      <c r="E259" s="10">
        <v>101614.21</v>
      </c>
      <c r="F259" s="10">
        <v>0.886233344329412</v>
      </c>
      <c r="G259" s="10">
        <v>89505.0950783446</v>
      </c>
      <c r="H259" s="10">
        <v>0.847152126892574</v>
      </c>
      <c r="I259" s="10">
        <v>0.0438980533525595</v>
      </c>
      <c r="J259" s="10">
        <v>0.221193603655054</v>
      </c>
      <c r="K259" s="10">
        <v>0.0346238977727013</v>
      </c>
      <c r="L259" s="10">
        <v>6.4723462945009</v>
      </c>
      <c r="M259" s="10">
        <v>0.523533238149629</v>
      </c>
      <c r="N259" s="10">
        <v>0.0777812678469446</v>
      </c>
      <c r="O259" s="10">
        <v>0.127008973443746</v>
      </c>
      <c r="P259" s="10">
        <v>1155.83333333333</v>
      </c>
      <c r="Q259" s="10">
        <v>2.69063677898344</v>
      </c>
      <c r="R259" s="10">
        <v>20.5746412166879</v>
      </c>
      <c r="S259" s="10">
        <v>0.255775271273558</v>
      </c>
      <c r="T259" s="10">
        <v>0.30671045117076</v>
      </c>
      <c r="U259" s="10">
        <v>1.8550854384804</v>
      </c>
    </row>
    <row r="260" ht="16" spans="1:21">
      <c r="A260" s="14">
        <v>2021</v>
      </c>
      <c r="B260" s="15">
        <v>120000</v>
      </c>
      <c r="C260" s="16" t="s">
        <v>66</v>
      </c>
      <c r="D260" s="10">
        <v>113660</v>
      </c>
      <c r="E260" s="10">
        <v>113732</v>
      </c>
      <c r="F260" s="10">
        <v>0.829465276495528</v>
      </c>
      <c r="G260" s="10">
        <v>94757.7990412236</v>
      </c>
      <c r="H260" s="10">
        <v>0.848506919155135</v>
      </c>
      <c r="I260" s="10">
        <v>0.0424874726875455</v>
      </c>
      <c r="J260" s="10">
        <v>0.197796635023047</v>
      </c>
      <c r="K260" s="10">
        <v>0.0366161618351174</v>
      </c>
      <c r="L260" s="10">
        <v>6.46302945692067</v>
      </c>
      <c r="M260" s="10">
        <v>0.545278863379896</v>
      </c>
      <c r="N260" s="10">
        <v>0.0801289121522974</v>
      </c>
      <c r="O260" s="10">
        <v>0.0220884788748558</v>
      </c>
      <c r="P260" s="10">
        <v>1144.16666666667</v>
      </c>
      <c r="Q260" s="10">
        <v>2.55295726517523</v>
      </c>
      <c r="R260" s="10">
        <v>20.5769103314814</v>
      </c>
      <c r="S260" s="10">
        <v>0.240342745663082</v>
      </c>
      <c r="T260" s="10">
        <v>0.322376012903966</v>
      </c>
      <c r="U260" s="10">
        <v>1.84174566267215</v>
      </c>
    </row>
    <row r="261" ht="16" spans="1:21">
      <c r="A261" s="14">
        <v>2022</v>
      </c>
      <c r="B261" s="15">
        <v>120000</v>
      </c>
      <c r="C261" s="16" t="s">
        <v>66</v>
      </c>
      <c r="D261" s="10">
        <v>117925</v>
      </c>
      <c r="E261" s="10">
        <v>119235</v>
      </c>
      <c r="F261" s="10">
        <v>0.726635640106886</v>
      </c>
      <c r="G261" s="10">
        <v>86003.1656150572</v>
      </c>
      <c r="H261" s="10">
        <v>0.851063829787234</v>
      </c>
      <c r="I261" s="10">
        <v>0.0436173881144534</v>
      </c>
      <c r="J261" s="10">
        <v>0.166313955939054</v>
      </c>
      <c r="K261" s="10">
        <v>0.0352499969006087</v>
      </c>
      <c r="L261" s="10">
        <v>6.43133108193348</v>
      </c>
      <c r="M261" s="10">
        <v>0.519544339891645</v>
      </c>
      <c r="N261" s="10">
        <v>0.102333841633503</v>
      </c>
      <c r="O261" s="10">
        <v>0.0211762065930251</v>
      </c>
      <c r="P261" s="10">
        <v>1135.83333333333</v>
      </c>
      <c r="Q261" s="10">
        <v>2.58181277197158</v>
      </c>
      <c r="R261" s="10">
        <v>20.5071432558375</v>
      </c>
      <c r="S261" s="10">
        <v>0.221420513011245</v>
      </c>
      <c r="T261" s="10">
        <v>0.330333122574726</v>
      </c>
      <c r="U261" s="10">
        <v>1.82655593080157</v>
      </c>
    </row>
    <row r="262" ht="31" spans="1:21">
      <c r="A262" s="14">
        <v>2013</v>
      </c>
      <c r="B262" s="15">
        <v>540000</v>
      </c>
      <c r="C262" s="16" t="s">
        <v>67</v>
      </c>
      <c r="D262" s="10">
        <v>26209</v>
      </c>
      <c r="E262" s="10">
        <v>26326</v>
      </c>
      <c r="F262" s="10">
        <v>1.05771552765033</v>
      </c>
      <c r="G262" s="10">
        <v>27634.0694006309</v>
      </c>
      <c r="H262" s="10">
        <v>0.239747634069401</v>
      </c>
      <c r="I262" s="10">
        <v>0.01058738170347</v>
      </c>
      <c r="J262" s="10">
        <v>1.22471625211302</v>
      </c>
      <c r="K262" s="10">
        <v>0.00278103115189568</v>
      </c>
      <c r="L262" s="10">
        <v>5.16478597392351</v>
      </c>
      <c r="M262" s="10">
        <v>0.248222216855832</v>
      </c>
      <c r="N262" s="10">
        <v>2.41487563390485e-5</v>
      </c>
      <c r="O262" s="10">
        <v>0.0503954358850519</v>
      </c>
      <c r="P262" s="10">
        <v>2.5805926408336</v>
      </c>
      <c r="Q262" s="10">
        <v>1.30003622313451</v>
      </c>
      <c r="R262" s="10">
        <v>18.6876583123659</v>
      </c>
      <c r="S262" s="10">
        <v>0.389036464622072</v>
      </c>
      <c r="T262" s="10">
        <v>0.0771552765032601</v>
      </c>
      <c r="U262" s="10">
        <v>3.11216236838089</v>
      </c>
    </row>
    <row r="263" ht="31" spans="1:21">
      <c r="A263" s="14">
        <v>2014</v>
      </c>
      <c r="B263" s="15">
        <v>540000</v>
      </c>
      <c r="C263" s="16" t="s">
        <v>67</v>
      </c>
      <c r="D263" s="10">
        <v>29275</v>
      </c>
      <c r="E263" s="10">
        <v>29252</v>
      </c>
      <c r="F263" s="10">
        <v>1.13784186442482</v>
      </c>
      <c r="G263" s="10">
        <v>32899.3846153846</v>
      </c>
      <c r="H263" s="10">
        <v>0.261538461538462</v>
      </c>
      <c r="I263" s="10">
        <v>0.0102996923076923</v>
      </c>
      <c r="J263" s="10">
        <v>1.26153027561988</v>
      </c>
      <c r="K263" s="10">
        <v>0.00250285197403427</v>
      </c>
      <c r="L263" s="10">
        <v>5.17048399503815</v>
      </c>
      <c r="M263" s="10">
        <v>0.14740542726402</v>
      </c>
      <c r="N263" s="10">
        <v>2.12833883154198e-5</v>
      </c>
      <c r="O263" s="10">
        <v>0.0508943279770139</v>
      </c>
      <c r="P263" s="10">
        <v>2.64571800716379</v>
      </c>
      <c r="Q263" s="10">
        <v>1.72259231669682</v>
      </c>
      <c r="R263" s="10">
        <v>18.7886239236883</v>
      </c>
      <c r="S263" s="10">
        <v>0.387889752048526</v>
      </c>
      <c r="T263" s="10">
        <v>0.0741726082792381</v>
      </c>
      <c r="U263" s="10">
        <v>2.99171083027585</v>
      </c>
    </row>
    <row r="264" ht="31" spans="1:21">
      <c r="A264" s="14">
        <v>2015</v>
      </c>
      <c r="B264" s="15">
        <v>540000</v>
      </c>
      <c r="C264" s="16" t="s">
        <v>67</v>
      </c>
      <c r="D264" s="10">
        <v>31847</v>
      </c>
      <c r="E264" s="10">
        <v>31999</v>
      </c>
      <c r="F264" s="10">
        <v>1.24226270373921</v>
      </c>
      <c r="G264" s="10">
        <v>39263.0303030303</v>
      </c>
      <c r="H264" s="10">
        <v>0.287878787878788</v>
      </c>
      <c r="I264" s="10">
        <v>0.0103645454545455</v>
      </c>
      <c r="J264" s="10">
        <v>1.32454458293384</v>
      </c>
      <c r="K264" s="10">
        <v>0.0029953883029722</v>
      </c>
      <c r="L264" s="10">
        <v>5.19849703126583</v>
      </c>
      <c r="M264" s="10">
        <v>0.0545709952061361</v>
      </c>
      <c r="N264" s="10">
        <v>2.87631831255992e-5</v>
      </c>
      <c r="O264" s="10">
        <v>0.0540579098753595</v>
      </c>
      <c r="P264" s="10">
        <v>2.68642136112016</v>
      </c>
      <c r="Q264" s="10">
        <v>2.03291466922339</v>
      </c>
      <c r="R264" s="10">
        <v>18.9304428023332</v>
      </c>
      <c r="S264" s="10">
        <v>0.457430488974113</v>
      </c>
      <c r="T264" s="10">
        <v>0.0704697986577181</v>
      </c>
      <c r="U264" s="10">
        <v>3.08794274623969</v>
      </c>
    </row>
    <row r="265" ht="31" spans="1:21">
      <c r="A265" s="14">
        <v>2016</v>
      </c>
      <c r="B265" s="15">
        <v>540000</v>
      </c>
      <c r="C265" s="16" t="s">
        <v>67</v>
      </c>
      <c r="D265" s="10">
        <v>35015</v>
      </c>
      <c r="E265" s="10">
        <v>35184</v>
      </c>
      <c r="F265" s="10">
        <v>1.36065643648764</v>
      </c>
      <c r="G265" s="10">
        <v>46942.6470588235</v>
      </c>
      <c r="H265" s="10">
        <v>0.314705882352941</v>
      </c>
      <c r="I265" s="10">
        <v>0.0103041176470588</v>
      </c>
      <c r="J265" s="10">
        <v>1.35376811594203</v>
      </c>
      <c r="K265" s="10">
        <v>0.00189118499573743</v>
      </c>
      <c r="L265" s="10">
        <v>5.22035582507832</v>
      </c>
      <c r="M265" s="10">
        <v>0.0442775831202046</v>
      </c>
      <c r="N265" s="10">
        <v>3.41005967604433e-5</v>
      </c>
      <c r="O265" s="10">
        <v>0.0307530264279625</v>
      </c>
      <c r="P265" s="10">
        <v>2.76782806903289</v>
      </c>
      <c r="Q265" s="10">
        <v>2.59656436487639</v>
      </c>
      <c r="R265" s="10">
        <v>18.9017531407439</v>
      </c>
      <c r="S265" s="10">
        <v>0.459590792838875</v>
      </c>
      <c r="T265" s="10">
        <v>0.0780903665814152</v>
      </c>
      <c r="U265" s="10">
        <v>3.05718055861007</v>
      </c>
    </row>
    <row r="266" ht="31" spans="1:21">
      <c r="A266" s="14">
        <v>2017</v>
      </c>
      <c r="B266" s="15">
        <v>540000</v>
      </c>
      <c r="C266" s="16" t="s">
        <v>67</v>
      </c>
      <c r="D266" s="10">
        <v>39158</v>
      </c>
      <c r="E266" s="10">
        <v>39267</v>
      </c>
      <c r="F266" s="10">
        <v>1.46449221645663</v>
      </c>
      <c r="G266" s="10">
        <v>56607.4498567335</v>
      </c>
      <c r="H266" s="10">
        <v>0.332378223495702</v>
      </c>
      <c r="I266" s="10">
        <v>0.010212893982808</v>
      </c>
      <c r="J266" s="10">
        <v>1.2467457375834</v>
      </c>
      <c r="K266" s="10">
        <v>0.00212365455893254</v>
      </c>
      <c r="L266" s="10">
        <v>5.23110861685459</v>
      </c>
      <c r="M266" s="10">
        <v>0.0432160244625649</v>
      </c>
      <c r="N266" s="10">
        <v>2.96515937731653e-5</v>
      </c>
      <c r="O266" s="10">
        <v>0.0360633802816901</v>
      </c>
      <c r="P266" s="10">
        <v>2.84109410615435</v>
      </c>
      <c r="Q266" s="10">
        <v>2.99587842846553</v>
      </c>
      <c r="R266" s="10">
        <v>19.098012047901</v>
      </c>
      <c r="S266" s="10">
        <v>0.458710155670867</v>
      </c>
      <c r="T266" s="10">
        <v>0.0816160118606375</v>
      </c>
      <c r="U266" s="10">
        <v>2.96911907066796</v>
      </c>
    </row>
    <row r="267" ht="31" spans="1:21">
      <c r="A267" s="14">
        <v>2018</v>
      </c>
      <c r="B267" s="15">
        <v>540000</v>
      </c>
      <c r="C267" s="16" t="s">
        <v>67</v>
      </c>
      <c r="D267" s="10">
        <v>44051</v>
      </c>
      <c r="E267" s="10">
        <v>43398</v>
      </c>
      <c r="F267" s="10">
        <v>1.40093567553604</v>
      </c>
      <c r="G267" s="10">
        <v>61277.0847457627</v>
      </c>
      <c r="H267" s="10">
        <v>0.338983050847458</v>
      </c>
      <c r="I267" s="10">
        <v>0.0100895480225989</v>
      </c>
      <c r="J267" s="10">
        <v>1.27269439421338</v>
      </c>
      <c r="K267" s="10">
        <v>0.00239372255231206</v>
      </c>
      <c r="L267" s="10">
        <v>5.23110861685459</v>
      </c>
      <c r="M267" s="10">
        <v>0.0309064718419013</v>
      </c>
      <c r="N267" s="10">
        <v>2.58331180573495e-5</v>
      </c>
      <c r="O267" s="10">
        <v>0.0753543012141566</v>
      </c>
      <c r="P267" s="10">
        <v>2.88179746011071</v>
      </c>
      <c r="Q267" s="10">
        <v>2.94206923275639</v>
      </c>
      <c r="R267" s="10">
        <v>19.2873492690256</v>
      </c>
      <c r="S267" s="10">
        <v>0.459700335830535</v>
      </c>
      <c r="T267" s="10">
        <v>0.0820201498320847</v>
      </c>
      <c r="U267" s="10">
        <v>2.95170305676856</v>
      </c>
    </row>
    <row r="268" ht="31" spans="1:21">
      <c r="A268" s="14">
        <v>2019</v>
      </c>
      <c r="B268" s="15">
        <v>540000</v>
      </c>
      <c r="C268" s="16" t="s">
        <v>67</v>
      </c>
      <c r="D268" s="10">
        <v>47491</v>
      </c>
      <c r="E268" s="10">
        <v>48902</v>
      </c>
      <c r="F268" s="10">
        <v>1.24955012745906</v>
      </c>
      <c r="G268" s="10">
        <v>58766.9309252078</v>
      </c>
      <c r="H268" s="10">
        <v>0.346260387811634</v>
      </c>
      <c r="I268" s="10">
        <v>0.0100349030470914</v>
      </c>
      <c r="J268" s="10">
        <v>1.28310166097302</v>
      </c>
      <c r="K268" s="10">
        <v>0.0025530156673342</v>
      </c>
      <c r="L268" s="10">
        <v>5.24702407216049</v>
      </c>
      <c r="M268" s="10">
        <v>0.0285587254093533</v>
      </c>
      <c r="N268" s="10">
        <v>0.000565437625161974</v>
      </c>
      <c r="O268" s="10">
        <v>0.180331370008246</v>
      </c>
      <c r="P268" s="10">
        <v>2.93878215564963</v>
      </c>
      <c r="Q268" s="10">
        <v>2.76547296501355</v>
      </c>
      <c r="R268" s="10">
        <v>19.8518780815025</v>
      </c>
      <c r="S268" s="10">
        <v>0.455530686771116</v>
      </c>
      <c r="T268" s="10">
        <v>0.0775709742019084</v>
      </c>
      <c r="U268" s="10">
        <v>2.88858003242993</v>
      </c>
    </row>
    <row r="269" ht="31" spans="1:21">
      <c r="A269" s="14">
        <v>2020</v>
      </c>
      <c r="B269" s="15">
        <v>540000</v>
      </c>
      <c r="C269" s="16" t="s">
        <v>67</v>
      </c>
      <c r="D269" s="10">
        <v>52280</v>
      </c>
      <c r="E269" s="10">
        <v>52344.98</v>
      </c>
      <c r="F269" s="10">
        <v>1.17519654256877</v>
      </c>
      <c r="G269" s="10">
        <v>61094.165616</v>
      </c>
      <c r="H269" s="10">
        <v>0.35792349726776</v>
      </c>
      <c r="I269" s="10">
        <v>0.0105344262295082</v>
      </c>
      <c r="J269" s="10">
        <v>1.15059126504441</v>
      </c>
      <c r="K269" s="10">
        <v>0.00229629999474431</v>
      </c>
      <c r="L269" s="10">
        <v>5.26269018890489</v>
      </c>
      <c r="M269" s="10">
        <v>0.0112572948967257</v>
      </c>
      <c r="N269" s="10">
        <v>0.000409943764124665</v>
      </c>
      <c r="O269" s="10">
        <v>0.228139748778052</v>
      </c>
      <c r="P269" s="10">
        <v>2.97948550960599</v>
      </c>
      <c r="Q269" s="10">
        <v>2.60518736532296</v>
      </c>
      <c r="R269" s="10">
        <v>19.9969970948256</v>
      </c>
      <c r="S269" s="10">
        <v>0.391969306774583</v>
      </c>
      <c r="T269" s="10">
        <v>0.0833552320386819</v>
      </c>
      <c r="U269" s="10">
        <v>2.81929031374161</v>
      </c>
    </row>
    <row r="270" ht="31" spans="1:21">
      <c r="A270" s="14">
        <v>2021</v>
      </c>
      <c r="B270" s="15">
        <v>540000</v>
      </c>
      <c r="C270" s="16" t="s">
        <v>67</v>
      </c>
      <c r="D270" s="10">
        <v>56831</v>
      </c>
      <c r="E270" s="10">
        <v>56831</v>
      </c>
      <c r="F270" s="10">
        <v>0.922280484571734</v>
      </c>
      <c r="G270" s="10">
        <v>52418.7940985279</v>
      </c>
      <c r="H270" s="10">
        <v>0.366120218579235</v>
      </c>
      <c r="I270" s="10">
        <v>0.0112852459016393</v>
      </c>
      <c r="J270" s="10">
        <v>0.967075281222959</v>
      </c>
      <c r="K270" s="10">
        <v>0.00288380924911066</v>
      </c>
      <c r="L270" s="10">
        <v>5.27811465923052</v>
      </c>
      <c r="M270" s="10">
        <v>0.0192285837900202</v>
      </c>
      <c r="N270" s="10">
        <v>0.000830160561484473</v>
      </c>
      <c r="O270" s="10">
        <v>0.032213248726084</v>
      </c>
      <c r="P270" s="10">
        <v>2.97948550960599</v>
      </c>
      <c r="Q270" s="10">
        <v>2.46857513700606</v>
      </c>
      <c r="R270" s="10">
        <v>20.1264555017166</v>
      </c>
      <c r="S270" s="10">
        <v>0.38952985289876</v>
      </c>
      <c r="T270" s="10">
        <v>0.0912892991058552</v>
      </c>
      <c r="U270" s="10">
        <v>2.74645641389086</v>
      </c>
    </row>
    <row r="271" ht="31" spans="1:21">
      <c r="A271" s="14">
        <v>2022</v>
      </c>
      <c r="B271" s="15">
        <v>540000</v>
      </c>
      <c r="C271" s="16" t="s">
        <v>67</v>
      </c>
      <c r="D271" s="10">
        <v>58908</v>
      </c>
      <c r="E271" s="10">
        <v>58438</v>
      </c>
      <c r="F271" s="10">
        <v>0.731649543523868</v>
      </c>
      <c r="G271" s="10">
        <v>43219.5837495885</v>
      </c>
      <c r="H271" s="10">
        <v>0.373626373626374</v>
      </c>
      <c r="I271" s="10">
        <v>0.0116807692307692</v>
      </c>
      <c r="J271" s="10">
        <v>1.19740489256813</v>
      </c>
      <c r="K271" s="10">
        <v>0.00323644777230025</v>
      </c>
      <c r="L271" s="10">
        <v>5.25749537202778</v>
      </c>
      <c r="M271" s="10">
        <v>0.0215840805506465</v>
      </c>
      <c r="N271" s="10">
        <v>0.00288810343223886</v>
      </c>
      <c r="O271" s="10">
        <v>0.030177936936099</v>
      </c>
      <c r="P271" s="10">
        <v>2.96320416802344</v>
      </c>
      <c r="Q271" s="10">
        <v>2.51891451957957</v>
      </c>
      <c r="R271" s="10">
        <v>20.0023536472157</v>
      </c>
      <c r="S271" s="10">
        <v>0.337875546460794</v>
      </c>
      <c r="T271" s="10">
        <v>0.0999441912380244</v>
      </c>
      <c r="U271" s="10">
        <v>2.67741226865836</v>
      </c>
    </row>
    <row r="272" ht="31" spans="1:21">
      <c r="A272" s="14">
        <v>2013</v>
      </c>
      <c r="B272" s="15">
        <v>650000</v>
      </c>
      <c r="C272" s="16" t="s">
        <v>68</v>
      </c>
      <c r="D272" s="10">
        <v>36988</v>
      </c>
      <c r="E272" s="10">
        <v>37552.5452</v>
      </c>
      <c r="F272" s="10">
        <v>0.921323546934204</v>
      </c>
      <c r="G272" s="10">
        <v>33839.3873085339</v>
      </c>
      <c r="H272" s="10">
        <v>0.44945295404814</v>
      </c>
      <c r="I272" s="10">
        <v>0.0121849015317287</v>
      </c>
      <c r="J272" s="10">
        <v>0.365448132878965</v>
      </c>
      <c r="K272" s="10">
        <v>0.00541665157400567</v>
      </c>
      <c r="L272" s="10">
        <v>7.13886699994552</v>
      </c>
      <c r="M272" s="10">
        <v>0.203385375211496</v>
      </c>
      <c r="N272" s="10">
        <v>0.000357457760407978</v>
      </c>
      <c r="O272" s="10">
        <v>0.037779496222863</v>
      </c>
      <c r="P272" s="10">
        <v>14.0055163959546</v>
      </c>
      <c r="Q272" s="10">
        <v>1.1725162643281</v>
      </c>
      <c r="R272" s="10">
        <v>23.1555344019864</v>
      </c>
      <c r="S272" s="10">
        <v>0.259693062936396</v>
      </c>
      <c r="T272" s="10">
        <v>0.35169077520673</v>
      </c>
      <c r="U272" s="10">
        <v>2.68777876895629</v>
      </c>
    </row>
    <row r="273" ht="31" spans="1:21">
      <c r="A273" s="14">
        <v>2014</v>
      </c>
      <c r="B273" s="15">
        <v>650000</v>
      </c>
      <c r="C273" s="16" t="s">
        <v>68</v>
      </c>
      <c r="D273" s="10">
        <v>40193</v>
      </c>
      <c r="E273" s="10">
        <v>40648</v>
      </c>
      <c r="F273" s="10">
        <v>1.01977872524151</v>
      </c>
      <c r="G273" s="10">
        <v>40635.4408602151</v>
      </c>
      <c r="H273" s="10">
        <v>0.467956989247312</v>
      </c>
      <c r="I273" s="10">
        <v>0.0124910967741935</v>
      </c>
      <c r="J273" s="10">
        <v>0.358058179070646</v>
      </c>
      <c r="K273" s="10">
        <v>0.00530613956500621</v>
      </c>
      <c r="L273" s="10">
        <v>7.14282740116162</v>
      </c>
      <c r="M273" s="10">
        <v>0.183480490042636</v>
      </c>
      <c r="N273" s="10">
        <v>0.000304387716552431</v>
      </c>
      <c r="O273" s="10">
        <v>0.0376985266339252</v>
      </c>
      <c r="P273" s="10">
        <v>14.2506895494943</v>
      </c>
      <c r="Q273" s="10">
        <v>1.25979707485563</v>
      </c>
      <c r="R273" s="10">
        <v>23.2619667537245</v>
      </c>
      <c r="S273" s="10">
        <v>0.262993145879432</v>
      </c>
      <c r="T273" s="10">
        <v>0.346613416806088</v>
      </c>
      <c r="U273" s="10">
        <v>2.66093535075653</v>
      </c>
    </row>
    <row r="274" ht="31" spans="1:21">
      <c r="A274" s="14">
        <v>2015</v>
      </c>
      <c r="B274" s="15">
        <v>650000</v>
      </c>
      <c r="C274" s="16" t="s">
        <v>68</v>
      </c>
      <c r="D274" s="10">
        <v>39520</v>
      </c>
      <c r="E274" s="10">
        <v>40036</v>
      </c>
      <c r="F274" s="10">
        <v>1.16182939539481</v>
      </c>
      <c r="G274" s="10">
        <v>45337.6519916143</v>
      </c>
      <c r="H274" s="10">
        <v>0.487631027253669</v>
      </c>
      <c r="I274" s="10">
        <v>0.0127749266247379</v>
      </c>
      <c r="J274" s="10">
        <v>0.408761241659414</v>
      </c>
      <c r="K274" s="10">
        <v>0.00558735669234654</v>
      </c>
      <c r="L274" s="10">
        <v>7.16394668434255</v>
      </c>
      <c r="M274" s="10">
        <v>0.131632305063985</v>
      </c>
      <c r="N274" s="10">
        <v>0.000325564903458724</v>
      </c>
      <c r="O274" s="10">
        <v>0.0434946330142153</v>
      </c>
      <c r="P274" s="10">
        <v>14.6184492798039</v>
      </c>
      <c r="Q274" s="10">
        <v>1.40121845082681</v>
      </c>
      <c r="R274" s="10">
        <v>23.2568341505052</v>
      </c>
      <c r="S274" s="10">
        <v>0.297585662250588</v>
      </c>
      <c r="T274" s="10">
        <v>0.297725343562303</v>
      </c>
      <c r="U274" s="10">
        <v>2.78779840848806</v>
      </c>
    </row>
    <row r="275" ht="31" spans="1:21">
      <c r="A275" s="14">
        <v>2016</v>
      </c>
      <c r="B275" s="15">
        <v>650000</v>
      </c>
      <c r="C275" s="16" t="s">
        <v>68</v>
      </c>
      <c r="D275" s="10">
        <v>40020</v>
      </c>
      <c r="E275" s="10">
        <v>40564</v>
      </c>
      <c r="F275" s="10">
        <v>1.06819059683515</v>
      </c>
      <c r="G275" s="10">
        <v>42370.3871499176</v>
      </c>
      <c r="H275" s="10">
        <v>0.504118616144975</v>
      </c>
      <c r="I275" s="10">
        <v>0.0131744233937397</v>
      </c>
      <c r="J275" s="10">
        <v>0.429608132242389</v>
      </c>
      <c r="K275" s="10">
        <v>0.00588010653320597</v>
      </c>
      <c r="L275" s="10">
        <v>7.18538701558042</v>
      </c>
      <c r="M275" s="10">
        <v>0.12164637413299</v>
      </c>
      <c r="N275" s="10">
        <v>0.00044440752585455</v>
      </c>
      <c r="O275" s="10">
        <v>0.0291097001287536</v>
      </c>
      <c r="P275" s="10">
        <v>14.882010419859</v>
      </c>
      <c r="Q275" s="10">
        <v>1.51105930971467</v>
      </c>
      <c r="R275" s="10">
        <v>23.2961126434933</v>
      </c>
      <c r="S275" s="10">
        <v>0.312040536611704</v>
      </c>
      <c r="T275" s="10">
        <v>0.278979939361216</v>
      </c>
      <c r="U275" s="10">
        <v>2.79514877737405</v>
      </c>
    </row>
    <row r="276" ht="31" spans="1:21">
      <c r="A276" s="14">
        <v>2017</v>
      </c>
      <c r="B276" s="15">
        <v>650000</v>
      </c>
      <c r="C276" s="16" t="s">
        <v>68</v>
      </c>
      <c r="D276" s="10">
        <v>45476</v>
      </c>
      <c r="E276" s="10">
        <v>44941</v>
      </c>
      <c r="F276" s="10">
        <v>1.08326418695508</v>
      </c>
      <c r="G276" s="10">
        <v>48746.4516129032</v>
      </c>
      <c r="H276" s="10">
        <v>0.518951612903226</v>
      </c>
      <c r="I276" s="10">
        <v>0.0139533870967742</v>
      </c>
      <c r="J276" s="10">
        <v>0.415445478902141</v>
      </c>
      <c r="K276" s="10">
        <v>0.00510326526223353</v>
      </c>
      <c r="L276" s="10">
        <v>7.19743535409659</v>
      </c>
      <c r="M276" s="10">
        <v>0.124440720794989</v>
      </c>
      <c r="N276" s="10">
        <v>0.000516133657111623</v>
      </c>
      <c r="O276" s="10">
        <v>0.0327776682586762</v>
      </c>
      <c r="P276" s="10">
        <v>15.2007355194606</v>
      </c>
      <c r="Q276" s="10">
        <v>1.51175189741844</v>
      </c>
      <c r="R276" s="10">
        <v>23.4732010861304</v>
      </c>
      <c r="S276" s="10">
        <v>0.291203326194679</v>
      </c>
      <c r="T276" s="10">
        <v>0.292663912759075</v>
      </c>
      <c r="U276" s="10">
        <v>2.78632865550023</v>
      </c>
    </row>
    <row r="277" ht="31" spans="1:21">
      <c r="A277" s="14">
        <v>2018</v>
      </c>
      <c r="B277" s="15">
        <v>650000</v>
      </c>
      <c r="C277" s="16" t="s">
        <v>68</v>
      </c>
      <c r="D277" s="10">
        <v>51238</v>
      </c>
      <c r="E277" s="10">
        <v>49474.7173</v>
      </c>
      <c r="F277" s="10">
        <v>0.705939525660843</v>
      </c>
      <c r="G277" s="10">
        <v>35883.5784126984</v>
      </c>
      <c r="H277" s="10">
        <v>0.540079365079365</v>
      </c>
      <c r="I277" s="10">
        <v>0.0148787301587302</v>
      </c>
      <c r="J277" s="10">
        <v>0.391257982419161</v>
      </c>
      <c r="K277" s="10">
        <v>0.00502080425312661</v>
      </c>
      <c r="L277" s="10">
        <v>7.19368581839511</v>
      </c>
      <c r="M277" s="10">
        <v>0.103319694911549</v>
      </c>
      <c r="N277" s="10">
        <v>0.000306025262697706</v>
      </c>
      <c r="O277" s="10">
        <v>0.0698085312348744</v>
      </c>
      <c r="P277" s="10">
        <v>15.4459086730003</v>
      </c>
      <c r="Q277" s="10">
        <v>1.42107670929161</v>
      </c>
      <c r="R277" s="10">
        <v>23.6373539532741</v>
      </c>
      <c r="S277" s="10">
        <v>0.267701843958343</v>
      </c>
      <c r="T277" s="10">
        <v>0.293417334145237</v>
      </c>
      <c r="U277" s="10">
        <v>2.73603340292276</v>
      </c>
    </row>
    <row r="278" ht="31" spans="1:21">
      <c r="A278" s="14">
        <v>2019</v>
      </c>
      <c r="B278" s="15">
        <v>650000</v>
      </c>
      <c r="C278" s="16" t="s">
        <v>68</v>
      </c>
      <c r="D278" s="10">
        <v>53542</v>
      </c>
      <c r="E278" s="10">
        <v>54280</v>
      </c>
      <c r="F278" s="10">
        <v>0.68166949599547</v>
      </c>
      <c r="G278" s="10">
        <v>36220.1184212583</v>
      </c>
      <c r="H278" s="10">
        <v>0.555295037123877</v>
      </c>
      <c r="I278" s="10">
        <v>0.016684876905041</v>
      </c>
      <c r="J278" s="10">
        <v>0.389512469570717</v>
      </c>
      <c r="K278" s="10">
        <v>0.00471448397084672</v>
      </c>
      <c r="L278" s="10">
        <v>7.20266119652324</v>
      </c>
      <c r="M278" s="10">
        <v>0.120279427230807</v>
      </c>
      <c r="N278" s="10">
        <v>0.000575122636444536</v>
      </c>
      <c r="O278" s="10">
        <v>0.150695810135985</v>
      </c>
      <c r="P278" s="10">
        <v>15.6849524977015</v>
      </c>
      <c r="Q278" s="10">
        <v>1.46796816968324</v>
      </c>
      <c r="R278" s="10">
        <v>23.5203498999783</v>
      </c>
      <c r="S278" s="10">
        <v>0.266012605629141</v>
      </c>
      <c r="T278" s="10">
        <v>0.281751255782483</v>
      </c>
      <c r="U278" s="10">
        <v>2.64167047706142</v>
      </c>
    </row>
    <row r="279" ht="31" spans="1:21">
      <c r="A279" s="14">
        <v>2020</v>
      </c>
      <c r="B279" s="15">
        <v>650000</v>
      </c>
      <c r="C279" s="16" t="s">
        <v>68</v>
      </c>
      <c r="D279" s="10">
        <v>53606</v>
      </c>
      <c r="E279" s="10">
        <v>53593.24</v>
      </c>
      <c r="F279" s="10">
        <v>0.780414202848261</v>
      </c>
      <c r="G279" s="10">
        <v>41584.0242828108</v>
      </c>
      <c r="H279" s="10">
        <v>0.565250965250965</v>
      </c>
      <c r="I279" s="10">
        <v>0.0187907335907336</v>
      </c>
      <c r="J279" s="10">
        <v>0.399325396537857</v>
      </c>
      <c r="K279" s="10">
        <v>0.00446109472707906</v>
      </c>
      <c r="L279" s="10">
        <v>7.21229446850034</v>
      </c>
      <c r="M279" s="10">
        <v>0.106826465324223</v>
      </c>
      <c r="N279" s="10">
        <v>0.00109487199924641</v>
      </c>
      <c r="O279" s="10">
        <v>0.227381096611041</v>
      </c>
      <c r="P279" s="10">
        <v>15.8749616916948</v>
      </c>
      <c r="Q279" s="10">
        <v>1.62148296825523</v>
      </c>
      <c r="R279" s="10">
        <v>23.2161261190755</v>
      </c>
      <c r="S279" s="10">
        <v>0.221909033599745</v>
      </c>
      <c r="T279" s="10">
        <v>0.266870521060526</v>
      </c>
      <c r="U279" s="10">
        <v>2.47851451337507</v>
      </c>
    </row>
    <row r="280" ht="31" spans="1:21">
      <c r="A280" s="14">
        <v>2021</v>
      </c>
      <c r="B280" s="15">
        <v>650000</v>
      </c>
      <c r="C280" s="16" t="s">
        <v>68</v>
      </c>
      <c r="D280" s="10">
        <v>62991</v>
      </c>
      <c r="E280" s="10">
        <v>61725</v>
      </c>
      <c r="F280" s="10">
        <v>0.759324752485054</v>
      </c>
      <c r="G280" s="10">
        <v>47840.0990059297</v>
      </c>
      <c r="H280" s="10">
        <v>0.572421784472769</v>
      </c>
      <c r="I280" s="10">
        <v>0.0214582078022402</v>
      </c>
      <c r="J280" s="10">
        <v>0.328205081046617</v>
      </c>
      <c r="K280" s="10">
        <v>0.00480098702763677</v>
      </c>
      <c r="L280" s="10">
        <v>7.2152399787301</v>
      </c>
      <c r="M280" s="10">
        <v>0.0961104060913706</v>
      </c>
      <c r="N280" s="10">
        <v>0.00115584614630079</v>
      </c>
      <c r="O280" s="10">
        <v>0.0256020255523676</v>
      </c>
      <c r="P280" s="10">
        <v>15.8688323628563</v>
      </c>
      <c r="Q280" s="10">
        <v>1.53718825866255</v>
      </c>
      <c r="R280" s="10">
        <v>23.4943033321554</v>
      </c>
      <c r="S280" s="10">
        <v>0.219757718433507</v>
      </c>
      <c r="T280" s="10">
        <v>0.310079943107972</v>
      </c>
      <c r="U280" s="10">
        <v>2.41682182985554</v>
      </c>
    </row>
    <row r="281" ht="31" spans="1:21">
      <c r="A281" s="14">
        <v>2022</v>
      </c>
      <c r="B281" s="15">
        <v>650000</v>
      </c>
      <c r="C281" s="16" t="s">
        <v>68</v>
      </c>
      <c r="D281" s="10">
        <v>69717</v>
      </c>
      <c r="E281" s="10">
        <v>68552</v>
      </c>
      <c r="F281" s="10">
        <v>0.738643471138771</v>
      </c>
      <c r="G281" s="10">
        <v>51515.7423916332</v>
      </c>
      <c r="H281" s="10">
        <v>0.579049091611906</v>
      </c>
      <c r="I281" s="10">
        <v>0.0236336683417085</v>
      </c>
      <c r="J281" s="10">
        <v>0.37735316776314</v>
      </c>
      <c r="K281" s="10">
        <v>0.00504275468749134</v>
      </c>
      <c r="L281" s="10">
        <v>7.14913159855741</v>
      </c>
      <c r="M281" s="10">
        <v>0.136440366463999</v>
      </c>
      <c r="N281" s="10">
        <v>0.00172812273107683</v>
      </c>
      <c r="O281" s="10">
        <v>0.0231363321454106</v>
      </c>
      <c r="P281" s="10">
        <v>15.8565737051793</v>
      </c>
      <c r="Q281" s="10">
        <v>1.51939122193463</v>
      </c>
      <c r="R281" s="10">
        <v>23.7038721667263</v>
      </c>
      <c r="S281" s="10">
        <v>0.179601722580323</v>
      </c>
      <c r="T281" s="10">
        <v>0.345192238412211</v>
      </c>
      <c r="U281" s="10">
        <v>2.32084592145015</v>
      </c>
    </row>
    <row r="282" ht="16" spans="1:21">
      <c r="A282" s="14">
        <v>2013</v>
      </c>
      <c r="B282" s="15">
        <v>530000</v>
      </c>
      <c r="C282" s="16" t="s">
        <v>69</v>
      </c>
      <c r="D282" s="10">
        <v>27664.93</v>
      </c>
      <c r="E282" s="10">
        <v>25322</v>
      </c>
      <c r="F282" s="10">
        <v>0.777225059451873</v>
      </c>
      <c r="G282" s="10">
        <v>21478.7761258349</v>
      </c>
      <c r="H282" s="10">
        <v>0.399913811678518</v>
      </c>
      <c r="I282" s="10">
        <v>0.011820232708468</v>
      </c>
      <c r="J282" s="10">
        <v>0.319401192935948</v>
      </c>
      <c r="K282" s="10">
        <v>0.0062248754434525</v>
      </c>
      <c r="L282" s="10">
        <v>7.94979721616185</v>
      </c>
      <c r="M282" s="10">
        <v>0.122186269541148</v>
      </c>
      <c r="N282" s="10">
        <v>0.00327472613153483</v>
      </c>
      <c r="O282" s="10">
        <v>0.0353011500526295</v>
      </c>
      <c r="P282" s="10">
        <v>121.111691022965</v>
      </c>
      <c r="Q282" s="10">
        <v>1.23055319480722</v>
      </c>
      <c r="R282" s="10">
        <v>23.8699626023889</v>
      </c>
      <c r="S282" s="10">
        <v>0.320658064013099</v>
      </c>
      <c r="T282" s="10">
        <v>0.304346809091263</v>
      </c>
      <c r="U282" s="10">
        <v>3.34027364663891</v>
      </c>
    </row>
    <row r="283" ht="16" spans="1:21">
      <c r="A283" s="14">
        <v>2014</v>
      </c>
      <c r="B283" s="15">
        <v>530000</v>
      </c>
      <c r="C283" s="16" t="s">
        <v>69</v>
      </c>
      <c r="D283" s="10">
        <v>30216.59</v>
      </c>
      <c r="E283" s="10">
        <v>27263.6349</v>
      </c>
      <c r="F283" s="10">
        <v>0.818884465556165</v>
      </c>
      <c r="G283" s="10">
        <v>24712.0782290995</v>
      </c>
      <c r="H283" s="10">
        <v>0.412207178164625</v>
      </c>
      <c r="I283" s="10">
        <v>0.0124015473887814</v>
      </c>
      <c r="J283" s="10">
        <v>0.316052187413205</v>
      </c>
      <c r="K283" s="10">
        <v>0.00611960660034042</v>
      </c>
      <c r="L283" s="10">
        <v>7.95822719232231</v>
      </c>
      <c r="M283" s="10">
        <v>0.129523113298247</v>
      </c>
      <c r="N283" s="10">
        <v>0.00341269219538945</v>
      </c>
      <c r="O283" s="10">
        <v>0.0403689368096456</v>
      </c>
      <c r="P283" s="10">
        <v>121.4248434238</v>
      </c>
      <c r="Q283" s="10">
        <v>1.28038200502788</v>
      </c>
      <c r="R283" s="10">
        <v>23.9424744269222</v>
      </c>
      <c r="S283" s="10">
        <v>0.329938682638142</v>
      </c>
      <c r="T283" s="10">
        <v>0.290919190696283</v>
      </c>
      <c r="U283" s="10">
        <v>3.25898605150215</v>
      </c>
    </row>
    <row r="284" ht="16" spans="1:21">
      <c r="A284" s="14">
        <v>2015</v>
      </c>
      <c r="B284" s="15">
        <v>530000</v>
      </c>
      <c r="C284" s="16" t="s">
        <v>69</v>
      </c>
      <c r="D284" s="10">
        <v>32116.79</v>
      </c>
      <c r="E284" s="10">
        <v>28806</v>
      </c>
      <c r="F284" s="10">
        <v>0.902447860962567</v>
      </c>
      <c r="G284" s="10">
        <v>28952.6485095432</v>
      </c>
      <c r="H284" s="10">
        <v>0.429337336478662</v>
      </c>
      <c r="I284" s="10">
        <v>0.0131796911859318</v>
      </c>
      <c r="J284" s="10">
        <v>0.314969251336898</v>
      </c>
      <c r="K284" s="10">
        <v>0.00730995721925134</v>
      </c>
      <c r="L284" s="10">
        <v>7.94555542825349</v>
      </c>
      <c r="M284" s="10">
        <v>0.101966229946524</v>
      </c>
      <c r="N284" s="10">
        <v>0.00346524064171123</v>
      </c>
      <c r="O284" s="10">
        <v>0.0529796390374331</v>
      </c>
      <c r="P284" s="10">
        <v>121.685803757829</v>
      </c>
      <c r="Q284" s="10">
        <v>1.39323930481283</v>
      </c>
      <c r="R284" s="10">
        <v>23.9578670179732</v>
      </c>
      <c r="S284" s="10">
        <v>0.427192513368984</v>
      </c>
      <c r="T284" s="10">
        <v>0.270354278074866</v>
      </c>
      <c r="U284" s="10">
        <v>3.19983013831594</v>
      </c>
    </row>
    <row r="285" ht="16" spans="1:21">
      <c r="A285" s="14">
        <v>2016</v>
      </c>
      <c r="B285" s="15">
        <v>530000</v>
      </c>
      <c r="C285" s="16" t="s">
        <v>69</v>
      </c>
      <c r="D285" s="10">
        <v>35051.39</v>
      </c>
      <c r="E285" s="10">
        <v>31093</v>
      </c>
      <c r="F285" s="10">
        <v>0.984751664732116</v>
      </c>
      <c r="G285" s="10">
        <v>34465.255505666</v>
      </c>
      <c r="H285" s="10">
        <v>0.446440025657473</v>
      </c>
      <c r="I285" s="10">
        <v>0.0140387855462904</v>
      </c>
      <c r="J285" s="10">
        <v>0.306530026269167</v>
      </c>
      <c r="K285" s="10">
        <v>0.00811054737613782</v>
      </c>
      <c r="L285" s="10">
        <v>7.95682712209011</v>
      </c>
      <c r="M285" s="10">
        <v>0.0807608589406806</v>
      </c>
      <c r="N285" s="10">
        <v>0.00355916671757591</v>
      </c>
      <c r="O285" s="10">
        <v>0.033662728327937</v>
      </c>
      <c r="P285" s="10">
        <v>122.05114822547</v>
      </c>
      <c r="Q285" s="10">
        <v>1.40853320300568</v>
      </c>
      <c r="R285" s="10">
        <v>24.037313514234</v>
      </c>
      <c r="S285" s="10">
        <v>0.441242592705724</v>
      </c>
      <c r="T285" s="10">
        <v>0.24970981733765</v>
      </c>
      <c r="U285" s="10">
        <v>3.17195121951219</v>
      </c>
    </row>
    <row r="286" ht="16" spans="1:21">
      <c r="A286" s="14">
        <v>2017</v>
      </c>
      <c r="B286" s="15">
        <v>530000</v>
      </c>
      <c r="C286" s="16" t="s">
        <v>69</v>
      </c>
      <c r="D286" s="10">
        <v>39457.84</v>
      </c>
      <c r="E286" s="10">
        <v>34221</v>
      </c>
      <c r="F286" s="10">
        <v>1.02434220491183</v>
      </c>
      <c r="G286" s="10">
        <v>40349.4353292137</v>
      </c>
      <c r="H286" s="10">
        <v>0.46281696143192</v>
      </c>
      <c r="I286" s="10">
        <v>0.0150405710632857</v>
      </c>
      <c r="J286" s="10">
        <v>0.308963539976198</v>
      </c>
      <c r="K286" s="10">
        <v>0.00853404792816185</v>
      </c>
      <c r="L286" s="10">
        <v>7.9483852851119</v>
      </c>
      <c r="M286" s="10">
        <v>0.0856524937790761</v>
      </c>
      <c r="N286" s="10">
        <v>0.00458509142053446</v>
      </c>
      <c r="O286" s="10">
        <v>0.0654391323163475</v>
      </c>
      <c r="P286" s="10">
        <v>122.468684759916</v>
      </c>
      <c r="Q286" s="10">
        <v>1.37395488477767</v>
      </c>
      <c r="R286" s="10">
        <v>24.1688217588285</v>
      </c>
      <c r="S286" s="10">
        <v>0.443297630639403</v>
      </c>
      <c r="T286" s="10">
        <v>0.235194201016986</v>
      </c>
      <c r="U286" s="10">
        <v>3.14297302778341</v>
      </c>
    </row>
    <row r="287" ht="16" spans="1:21">
      <c r="A287" s="14">
        <v>2018</v>
      </c>
      <c r="B287" s="15">
        <v>530000</v>
      </c>
      <c r="C287" s="16" t="s">
        <v>69</v>
      </c>
      <c r="D287" s="10">
        <v>44445.79</v>
      </c>
      <c r="E287" s="10">
        <v>37136.2825</v>
      </c>
      <c r="F287" s="10">
        <v>1.01206693485819</v>
      </c>
      <c r="G287" s="10">
        <v>44934.222496279</v>
      </c>
      <c r="H287" s="10">
        <v>0.474378056559643</v>
      </c>
      <c r="I287" s="10">
        <v>0.0162589623644482</v>
      </c>
      <c r="J287" s="10">
        <v>0.290904954838463</v>
      </c>
      <c r="K287" s="10">
        <v>0.00896993572981619</v>
      </c>
      <c r="L287" s="10">
        <v>7.94520113241276</v>
      </c>
      <c r="M287" s="10">
        <v>0.0946247234274877</v>
      </c>
      <c r="N287" s="10">
        <v>0.00428579638516135</v>
      </c>
      <c r="O287" s="10">
        <v>0.123040621438081</v>
      </c>
      <c r="P287" s="10">
        <v>122.729645093946</v>
      </c>
      <c r="Q287" s="10">
        <v>1.34297002959685</v>
      </c>
      <c r="R287" s="10">
        <v>24.2950360966657</v>
      </c>
      <c r="S287" s="10">
        <v>0.440471059260749</v>
      </c>
      <c r="T287" s="10">
        <v>0.23522791490666</v>
      </c>
      <c r="U287" s="10">
        <v>3.10995542347697</v>
      </c>
    </row>
    <row r="288" ht="16" spans="1:21">
      <c r="A288" s="14">
        <v>2019</v>
      </c>
      <c r="B288" s="15">
        <v>530000</v>
      </c>
      <c r="C288" s="16" t="s">
        <v>69</v>
      </c>
      <c r="D288" s="10">
        <v>49323.03</v>
      </c>
      <c r="E288" s="10">
        <v>47944</v>
      </c>
      <c r="F288" s="10">
        <v>0.987298928314918</v>
      </c>
      <c r="G288" s="10">
        <v>48639.8660403055</v>
      </c>
      <c r="H288" s="10">
        <v>0.486635553669919</v>
      </c>
      <c r="I288" s="10">
        <v>0.0183291260076368</v>
      </c>
      <c r="J288" s="10">
        <v>0.289610658031847</v>
      </c>
      <c r="K288" s="10">
        <v>0.00947498858929202</v>
      </c>
      <c r="L288" s="10">
        <v>7.94165125293056</v>
      </c>
      <c r="M288" s="10">
        <v>0.100081502596474</v>
      </c>
      <c r="N288" s="10">
        <v>0.00356100207545707</v>
      </c>
      <c r="O288" s="10">
        <v>0.185307494897476</v>
      </c>
      <c r="P288" s="10">
        <v>123.016701461378</v>
      </c>
      <c r="Q288" s="10">
        <v>1.34086928065175</v>
      </c>
      <c r="R288" s="10">
        <v>24.1953772896359</v>
      </c>
      <c r="S288" s="10">
        <v>0.437404731353181</v>
      </c>
      <c r="T288" s="10">
        <v>0.232541616789673</v>
      </c>
      <c r="U288" s="10">
        <v>3.04469837002184</v>
      </c>
    </row>
    <row r="289" ht="16" spans="1:21">
      <c r="A289" s="14">
        <v>2020</v>
      </c>
      <c r="B289" s="15">
        <v>530000</v>
      </c>
      <c r="C289" s="16" t="s">
        <v>69</v>
      </c>
      <c r="D289" s="10">
        <v>52047</v>
      </c>
      <c r="E289" s="10">
        <v>51975.2</v>
      </c>
      <c r="F289" s="10">
        <v>1.00564646827245</v>
      </c>
      <c r="G289" s="10">
        <v>52296.3849660267</v>
      </c>
      <c r="H289" s="10">
        <v>0.500423549343499</v>
      </c>
      <c r="I289" s="10">
        <v>0.0204194197373994</v>
      </c>
      <c r="J289" s="10">
        <v>0.281781419385316</v>
      </c>
      <c r="K289" s="10">
        <v>0.0100174770012665</v>
      </c>
      <c r="L289" s="10">
        <v>7.93951526066241</v>
      </c>
      <c r="M289" s="10">
        <v>0.109910094194016</v>
      </c>
      <c r="N289" s="10">
        <v>0.00203415093033389</v>
      </c>
      <c r="O289" s="10">
        <v>0.236439421397069</v>
      </c>
      <c r="P289" s="10">
        <v>123.225469728601</v>
      </c>
      <c r="Q289" s="10">
        <v>1.41384525792382</v>
      </c>
      <c r="R289" s="10">
        <v>24.2901731967806</v>
      </c>
      <c r="S289" s="10">
        <v>0.398803536449786</v>
      </c>
      <c r="T289" s="10">
        <v>0.227214048062161</v>
      </c>
      <c r="U289" s="10">
        <v>2.9201059025074</v>
      </c>
    </row>
    <row r="290" ht="16" spans="1:21">
      <c r="A290" s="14">
        <v>2021</v>
      </c>
      <c r="B290" s="15">
        <v>530000</v>
      </c>
      <c r="C290" s="16" t="s">
        <v>69</v>
      </c>
      <c r="D290" s="10">
        <v>57717</v>
      </c>
      <c r="E290" s="10">
        <v>57686</v>
      </c>
      <c r="F290" s="10">
        <v>0.945530716165325</v>
      </c>
      <c r="G290" s="10">
        <v>54759.332836239</v>
      </c>
      <c r="H290" s="10">
        <v>0.51044776119403</v>
      </c>
      <c r="I290" s="10">
        <v>0.022261855010661</v>
      </c>
      <c r="J290" s="10">
        <v>0.242285432375118</v>
      </c>
      <c r="K290" s="10">
        <v>0.0103800641346607</v>
      </c>
      <c r="L290" s="10">
        <v>7.92804560087478</v>
      </c>
      <c r="M290" s="10">
        <v>0.115626111863808</v>
      </c>
      <c r="N290" s="10">
        <v>0.00390606591658812</v>
      </c>
      <c r="O290" s="10">
        <v>0.0238896088595664</v>
      </c>
      <c r="P290" s="10">
        <v>122.390396659708</v>
      </c>
      <c r="Q290" s="10">
        <v>1.42283591540999</v>
      </c>
      <c r="R290" s="10">
        <v>24.4275819363616</v>
      </c>
      <c r="S290" s="10">
        <v>0.395109271913289</v>
      </c>
      <c r="T290" s="10">
        <v>0.241362806314797</v>
      </c>
      <c r="U290" s="10">
        <v>2.88124251602451</v>
      </c>
    </row>
    <row r="291" ht="16" spans="1:21">
      <c r="A291" s="14">
        <v>2022</v>
      </c>
      <c r="B291" s="15">
        <v>530000</v>
      </c>
      <c r="C291" s="16" t="s">
        <v>69</v>
      </c>
      <c r="D291" s="10">
        <v>60868</v>
      </c>
      <c r="E291" s="10">
        <v>61716</v>
      </c>
      <c r="F291" s="10">
        <v>0.966808725025854</v>
      </c>
      <c r="G291" s="10">
        <v>58828.6525308135</v>
      </c>
      <c r="H291" s="10">
        <v>0.517153206903899</v>
      </c>
      <c r="I291" s="10">
        <v>0.0234453441295547</v>
      </c>
      <c r="J291" s="10">
        <v>0.232388876632313</v>
      </c>
      <c r="K291" s="10">
        <v>0.0109793438179583</v>
      </c>
      <c r="L291" s="10">
        <v>7.91388671485608</v>
      </c>
      <c r="M291" s="10">
        <v>0.11440171451984</v>
      </c>
      <c r="N291" s="10">
        <v>0.0076673635405395</v>
      </c>
      <c r="O291" s="10">
        <v>0.0222390977759568</v>
      </c>
      <c r="P291" s="10">
        <v>122.468684759916</v>
      </c>
      <c r="Q291" s="10">
        <v>1.47974268194887</v>
      </c>
      <c r="R291" s="10">
        <v>24.5541673944549</v>
      </c>
      <c r="S291" s="10">
        <v>0.379561634817079</v>
      </c>
      <c r="T291" s="10">
        <v>0.243695742765994</v>
      </c>
      <c r="U291" s="10">
        <v>2.78391760744702</v>
      </c>
    </row>
    <row r="292" ht="16" spans="1:21">
      <c r="A292" s="14">
        <v>2013</v>
      </c>
      <c r="B292" s="15">
        <v>330000</v>
      </c>
      <c r="C292" s="16" t="s">
        <v>70</v>
      </c>
      <c r="D292" s="10">
        <v>65105</v>
      </c>
      <c r="E292" s="10">
        <v>68804.7198</v>
      </c>
      <c r="F292" s="10">
        <v>0.556644506704237</v>
      </c>
      <c r="G292" s="10">
        <v>35930.3250345781</v>
      </c>
      <c r="H292" s="10">
        <v>0.639349930843707</v>
      </c>
      <c r="I292" s="10">
        <v>0.0165910961272476</v>
      </c>
      <c r="J292" s="10">
        <v>0.126280179779615</v>
      </c>
      <c r="K292" s="10">
        <v>0.0218903497024208</v>
      </c>
      <c r="L292" s="10">
        <v>8.14206328310414</v>
      </c>
      <c r="M292" s="10">
        <v>0.557018583298067</v>
      </c>
      <c r="N292" s="10">
        <v>0.00218296164951546</v>
      </c>
      <c r="O292" s="10">
        <v>0.0343788416107311</v>
      </c>
      <c r="P292" s="10">
        <v>547.727272727273</v>
      </c>
      <c r="Q292" s="10">
        <v>1.67666347034654</v>
      </c>
      <c r="R292" s="10">
        <v>23.8041873483774</v>
      </c>
      <c r="S292" s="10">
        <v>0.427774771927381</v>
      </c>
      <c r="T292" s="10">
        <v>0.424158823182785</v>
      </c>
      <c r="U292" s="10">
        <v>2.11958385732251</v>
      </c>
    </row>
    <row r="293" ht="16" spans="1:21">
      <c r="A293" s="14">
        <v>2014</v>
      </c>
      <c r="B293" s="15">
        <v>330000</v>
      </c>
      <c r="C293" s="16" t="s">
        <v>70</v>
      </c>
      <c r="D293" s="10">
        <v>68569</v>
      </c>
      <c r="E293" s="10">
        <v>73002.0534</v>
      </c>
      <c r="F293" s="10">
        <v>0.606213099803865</v>
      </c>
      <c r="G293" s="10">
        <v>41193.1578947368</v>
      </c>
      <c r="H293" s="10">
        <v>0.649575551782683</v>
      </c>
      <c r="I293" s="10">
        <v>0.0166080814940577</v>
      </c>
      <c r="J293" s="10">
        <v>0.128433795145352</v>
      </c>
      <c r="K293" s="10">
        <v>0.0226829237822779</v>
      </c>
      <c r="L293" s="10">
        <v>8.14873480893717</v>
      </c>
      <c r="M293" s="10">
        <v>0.544914437767811</v>
      </c>
      <c r="N293" s="10">
        <v>0.00217996926805502</v>
      </c>
      <c r="O293" s="10">
        <v>0.042040905967744</v>
      </c>
      <c r="P293" s="10">
        <v>557.765151515152</v>
      </c>
      <c r="Q293" s="10">
        <v>1.71315152347996</v>
      </c>
      <c r="R293" s="10">
        <v>23.8414055371595</v>
      </c>
      <c r="S293" s="10">
        <v>0.445620697840019</v>
      </c>
      <c r="T293" s="10">
        <v>0.42363361525104</v>
      </c>
      <c r="U293" s="10">
        <v>2.08501522737831</v>
      </c>
    </row>
    <row r="294" ht="16" spans="1:21">
      <c r="A294" s="14">
        <v>2015</v>
      </c>
      <c r="B294" s="15">
        <v>330000</v>
      </c>
      <c r="C294" s="16" t="s">
        <v>70</v>
      </c>
      <c r="D294" s="10">
        <v>73276</v>
      </c>
      <c r="E294" s="10">
        <v>77643.6861</v>
      </c>
      <c r="F294" s="10">
        <v>0.628011133661398</v>
      </c>
      <c r="G294" s="10">
        <v>45652.9991645781</v>
      </c>
      <c r="H294" s="10">
        <v>0.663157894736842</v>
      </c>
      <c r="I294" s="10">
        <v>0.0165605513784461</v>
      </c>
      <c r="J294" s="10">
        <v>0.152215814671886</v>
      </c>
      <c r="K294" s="10">
        <v>0.0232413848583124</v>
      </c>
      <c r="L294" s="10">
        <v>8.16194579946869</v>
      </c>
      <c r="M294" s="10">
        <v>0.496442790586494</v>
      </c>
      <c r="N294" s="10">
        <v>0.00225477329300331</v>
      </c>
      <c r="O294" s="10">
        <v>0.0557269494825054</v>
      </c>
      <c r="P294" s="10">
        <v>566.761363636364</v>
      </c>
      <c r="Q294" s="10">
        <v>1.70246186307251</v>
      </c>
      <c r="R294" s="10">
        <v>23.890775794899</v>
      </c>
      <c r="S294" s="10">
        <v>0.43465179726807</v>
      </c>
      <c r="T294" s="10">
        <v>0.409198831471211</v>
      </c>
      <c r="U294" s="10">
        <v>2.06930177514793</v>
      </c>
    </row>
    <row r="295" ht="16" spans="1:21">
      <c r="A295" s="14">
        <v>2016</v>
      </c>
      <c r="B295" s="15">
        <v>330000</v>
      </c>
      <c r="C295" s="16" t="s">
        <v>70</v>
      </c>
      <c r="D295" s="10">
        <v>78384</v>
      </c>
      <c r="E295" s="10">
        <v>84916</v>
      </c>
      <c r="F295" s="10">
        <v>0.640709146315656</v>
      </c>
      <c r="G295" s="10">
        <v>49861.7753623188</v>
      </c>
      <c r="H295" s="10">
        <v>0.677206851119895</v>
      </c>
      <c r="I295" s="10">
        <v>0.0164055171277997</v>
      </c>
      <c r="J295" s="10">
        <v>0.147059931434376</v>
      </c>
      <c r="K295" s="10">
        <v>0.0239266455749778</v>
      </c>
      <c r="L295" s="10">
        <v>8.17526610411206</v>
      </c>
      <c r="M295" s="10">
        <v>0.473110890083379</v>
      </c>
      <c r="N295" s="10">
        <v>0.00419795149616964</v>
      </c>
      <c r="O295" s="10">
        <v>0.0500958119947518</v>
      </c>
      <c r="P295" s="10">
        <v>575</v>
      </c>
      <c r="Q295" s="10">
        <v>1.69141342531849</v>
      </c>
      <c r="R295" s="10">
        <v>23.9683093449387</v>
      </c>
      <c r="S295" s="10">
        <v>0.442644008972785</v>
      </c>
      <c r="T295" s="10">
        <v>0.394918948660431</v>
      </c>
      <c r="U295" s="10">
        <v>2.0658182454299</v>
      </c>
    </row>
    <row r="296" ht="16" spans="1:21">
      <c r="A296" s="14">
        <v>2017</v>
      </c>
      <c r="B296" s="15">
        <v>330000</v>
      </c>
      <c r="C296" s="16" t="s">
        <v>70</v>
      </c>
      <c r="D296" s="10">
        <v>85612</v>
      </c>
      <c r="E296" s="10">
        <v>92057.0108</v>
      </c>
      <c r="F296" s="10">
        <v>0.604850285574708</v>
      </c>
      <c r="G296" s="10">
        <v>51371.1993517018</v>
      </c>
      <c r="H296" s="10">
        <v>0.689141004862237</v>
      </c>
      <c r="I296" s="10">
        <v>0.0162454781199352</v>
      </c>
      <c r="J296" s="10">
        <v>0.143221488805052</v>
      </c>
      <c r="K296" s="10">
        <v>0.02416536082789</v>
      </c>
      <c r="L296" s="10">
        <v>8.19229373114764</v>
      </c>
      <c r="M296" s="10">
        <v>0.486909304983865</v>
      </c>
      <c r="N296" s="10">
        <v>0.00619677080172738</v>
      </c>
      <c r="O296" s="10">
        <v>0.0672209487606649</v>
      </c>
      <c r="P296" s="10">
        <v>584.280303030303</v>
      </c>
      <c r="Q296" s="10">
        <v>1.69086313595951</v>
      </c>
      <c r="R296" s="10">
        <v>24.0948618184971</v>
      </c>
      <c r="S296" s="10">
        <v>0.441220080491421</v>
      </c>
      <c r="T296" s="10">
        <v>0.382395316307623</v>
      </c>
      <c r="U296" s="10">
        <v>2.05405513704119</v>
      </c>
    </row>
    <row r="297" ht="16" spans="1:21">
      <c r="A297" s="14">
        <v>2018</v>
      </c>
      <c r="B297" s="15">
        <v>330000</v>
      </c>
      <c r="C297" s="16" t="s">
        <v>70</v>
      </c>
      <c r="D297" s="10">
        <v>93230</v>
      </c>
      <c r="E297" s="10">
        <v>98643.4088</v>
      </c>
      <c r="F297" s="10">
        <v>0.585255334742461</v>
      </c>
      <c r="G297" s="10">
        <v>54115.1731707317</v>
      </c>
      <c r="H297" s="10">
        <v>0.700143472022956</v>
      </c>
      <c r="I297" s="10">
        <v>0.016251378925554</v>
      </c>
      <c r="J297" s="10">
        <v>0.148079747874241</v>
      </c>
      <c r="K297" s="10">
        <v>0.0249244741633163</v>
      </c>
      <c r="L297" s="10">
        <v>8.21365270303</v>
      </c>
      <c r="M297" s="10">
        <v>0.493269238726406</v>
      </c>
      <c r="N297" s="10">
        <v>0.0101833014957899</v>
      </c>
      <c r="O297" s="10">
        <v>0.110814569296655</v>
      </c>
      <c r="P297" s="10">
        <v>594.034090909091</v>
      </c>
      <c r="Q297" s="10">
        <v>1.7947378402422</v>
      </c>
      <c r="R297" s="10">
        <v>24.2035236885368</v>
      </c>
      <c r="S297" s="10">
        <v>0.433804919762494</v>
      </c>
      <c r="T297" s="10">
        <v>0.372761314971001</v>
      </c>
      <c r="U297" s="10">
        <v>2.03552853270823</v>
      </c>
    </row>
    <row r="298" ht="16" spans="1:21">
      <c r="A298" s="14">
        <v>2019</v>
      </c>
      <c r="B298" s="15">
        <v>330000</v>
      </c>
      <c r="C298" s="16" t="s">
        <v>70</v>
      </c>
      <c r="D298" s="10">
        <v>98770</v>
      </c>
      <c r="E298" s="10">
        <v>107623.61</v>
      </c>
      <c r="F298" s="10">
        <v>0.597820962233038</v>
      </c>
      <c r="G298" s="10">
        <v>58574.26344</v>
      </c>
      <c r="H298" s="10">
        <v>0.715764705882353</v>
      </c>
      <c r="I298" s="10">
        <v>0.0168578509803922</v>
      </c>
      <c r="J298" s="10">
        <v>0.159401876340815</v>
      </c>
      <c r="K298" s="10">
        <v>0.0267329837341103</v>
      </c>
      <c r="L298" s="10">
        <v>8.23509549725836</v>
      </c>
      <c r="M298" s="10">
        <v>0.493928836732733</v>
      </c>
      <c r="N298" s="10">
        <v>0.0142168038167206</v>
      </c>
      <c r="O298" s="10">
        <v>0.158411275655599</v>
      </c>
      <c r="P298" s="10">
        <v>603.693181818182</v>
      </c>
      <c r="Q298" s="10">
        <v>1.92579952611188</v>
      </c>
      <c r="R298" s="10">
        <v>24.2844623895645</v>
      </c>
      <c r="S298" s="10">
        <v>0.437766962313086</v>
      </c>
      <c r="T298" s="10">
        <v>0.360553616598892</v>
      </c>
      <c r="U298" s="10">
        <v>2.01439282367117</v>
      </c>
    </row>
    <row r="299" ht="16" spans="1:21">
      <c r="A299" s="14">
        <v>2020</v>
      </c>
      <c r="B299" s="15">
        <v>330000</v>
      </c>
      <c r="C299" s="16" t="s">
        <v>70</v>
      </c>
      <c r="D299" s="10">
        <v>100738</v>
      </c>
      <c r="E299" s="10">
        <v>100620.32</v>
      </c>
      <c r="F299" s="10">
        <v>0.60841025709002</v>
      </c>
      <c r="G299" s="10">
        <v>60849.5855935714</v>
      </c>
      <c r="H299" s="10">
        <v>0.721706864564007</v>
      </c>
      <c r="I299" s="10">
        <v>0.0311487012987013</v>
      </c>
      <c r="J299" s="10">
        <v>0.154218407737934</v>
      </c>
      <c r="K299" s="10">
        <v>0.0287512910212076</v>
      </c>
      <c r="L299" s="10">
        <v>8.25764495820823</v>
      </c>
      <c r="M299" s="10">
        <v>0.520918191781923</v>
      </c>
      <c r="N299" s="10">
        <v>0.0216932991802328</v>
      </c>
      <c r="O299" s="10">
        <v>0.195101327735275</v>
      </c>
      <c r="P299" s="10">
        <v>612.5</v>
      </c>
      <c r="Q299" s="10">
        <v>2.19706302916566</v>
      </c>
      <c r="R299" s="10">
        <v>24.3330471601337</v>
      </c>
      <c r="S299" s="10">
        <v>0.411658223719297</v>
      </c>
      <c r="T299" s="10">
        <v>0.349793087243446</v>
      </c>
      <c r="U299" s="10">
        <v>1.96363921077357</v>
      </c>
    </row>
    <row r="300" ht="16" spans="1:21">
      <c r="A300" s="14">
        <v>2021</v>
      </c>
      <c r="B300" s="15">
        <v>330000</v>
      </c>
      <c r="C300" s="16" t="s">
        <v>70</v>
      </c>
      <c r="D300" s="10">
        <v>113839</v>
      </c>
      <c r="E300" s="10">
        <v>113032</v>
      </c>
      <c r="F300" s="10">
        <v>0.588974231151063</v>
      </c>
      <c r="G300" s="10">
        <v>66679.0875440514</v>
      </c>
      <c r="H300" s="10">
        <v>0.726605504587156</v>
      </c>
      <c r="I300" s="10">
        <v>0.0185060550458716</v>
      </c>
      <c r="J300" s="10">
        <v>0.147386305928623</v>
      </c>
      <c r="K300" s="10">
        <v>0.0291419104061544</v>
      </c>
      <c r="L300" s="10">
        <v>8.26796230533871</v>
      </c>
      <c r="M300" s="10">
        <v>0.558470451426781</v>
      </c>
      <c r="N300" s="10">
        <v>0.0250642888785642</v>
      </c>
      <c r="O300" s="10">
        <v>0.0450677194195633</v>
      </c>
      <c r="P300" s="10">
        <v>619.318181818182</v>
      </c>
      <c r="Q300" s="10">
        <v>2.21557236010416</v>
      </c>
      <c r="R300" s="10">
        <v>24.4280028744674</v>
      </c>
      <c r="S300" s="10">
        <v>0.39451896792039</v>
      </c>
      <c r="T300" s="10">
        <v>0.364609782714395</v>
      </c>
      <c r="U300" s="10">
        <v>1.9430589837433</v>
      </c>
    </row>
    <row r="301" ht="16" spans="1:21">
      <c r="A301" s="14">
        <v>2022</v>
      </c>
      <c r="B301" s="15">
        <v>330000</v>
      </c>
      <c r="C301" s="16" t="s">
        <v>70</v>
      </c>
      <c r="D301" s="10">
        <v>119022</v>
      </c>
      <c r="E301" s="10">
        <v>118496</v>
      </c>
      <c r="F301" s="10">
        <v>0.60948112709749</v>
      </c>
      <c r="G301" s="10">
        <v>72337.6348941863</v>
      </c>
      <c r="H301" s="10">
        <v>0.733769195681922</v>
      </c>
      <c r="I301" s="10">
        <v>0.0190552683594344</v>
      </c>
      <c r="J301" s="10">
        <v>0.152513175660961</v>
      </c>
      <c r="K301" s="10">
        <v>0.0309601354588614</v>
      </c>
      <c r="L301" s="10">
        <v>8.26487826280175</v>
      </c>
      <c r="M301" s="10">
        <v>0.605999198058944</v>
      </c>
      <c r="N301" s="10">
        <v>0.0311946103411965</v>
      </c>
      <c r="O301" s="10">
        <v>0.0423601394301351</v>
      </c>
      <c r="P301" s="10">
        <v>622.82196969697</v>
      </c>
      <c r="Q301" s="10">
        <v>2.41515642974817</v>
      </c>
      <c r="R301" s="10">
        <v>24.4002836995601</v>
      </c>
      <c r="S301" s="10">
        <v>0.390301893656979</v>
      </c>
      <c r="T301" s="10">
        <v>0.367021262967489</v>
      </c>
      <c r="U301" s="10">
        <v>1.89719153467323</v>
      </c>
    </row>
    <row r="302" ht="16" spans="1:21">
      <c r="A302" s="14">
        <v>2013</v>
      </c>
      <c r="B302" s="15">
        <v>500000</v>
      </c>
      <c r="C302" s="16" t="s">
        <v>71</v>
      </c>
      <c r="D302" s="10">
        <v>43528</v>
      </c>
      <c r="E302" s="10">
        <v>43223</v>
      </c>
      <c r="F302" s="10">
        <v>0.8010070926341</v>
      </c>
      <c r="G302" s="10">
        <v>34656.9246097642</v>
      </c>
      <c r="H302" s="10">
        <v>0.582862836267021</v>
      </c>
      <c r="I302" s="10">
        <v>0.0218997010959814</v>
      </c>
      <c r="J302" s="10">
        <v>0.234638766925604</v>
      </c>
      <c r="K302" s="10">
        <v>0.0135474776628082</v>
      </c>
      <c r="L302" s="10">
        <v>7.38937245912383</v>
      </c>
      <c r="M302" s="10">
        <v>0.326556157695969</v>
      </c>
      <c r="N302" s="10">
        <v>0.0069299026681814</v>
      </c>
      <c r="O302" s="10">
        <v>0.0274486167828303</v>
      </c>
      <c r="P302" s="10">
        <v>365.412621359223</v>
      </c>
      <c r="Q302" s="10">
        <v>1.33420967791458</v>
      </c>
      <c r="R302" s="10">
        <v>23.0951130615123</v>
      </c>
      <c r="S302" s="10">
        <v>0.388083760631275</v>
      </c>
      <c r="T302" s="10">
        <v>0.366583254014554</v>
      </c>
      <c r="U302" s="10">
        <v>2.71494171670788</v>
      </c>
    </row>
    <row r="303" ht="16" spans="1:21">
      <c r="A303" s="14">
        <v>2014</v>
      </c>
      <c r="B303" s="15">
        <v>500000</v>
      </c>
      <c r="C303" s="16" t="s">
        <v>71</v>
      </c>
      <c r="D303" s="10">
        <v>48311</v>
      </c>
      <c r="E303" s="10">
        <v>47850</v>
      </c>
      <c r="F303" s="10">
        <v>0.84009764903787</v>
      </c>
      <c r="G303" s="10">
        <v>40372.7242852448</v>
      </c>
      <c r="H303" s="10">
        <v>0.597436740059152</v>
      </c>
      <c r="I303" s="10">
        <v>0.0227260926717056</v>
      </c>
      <c r="J303" s="10">
        <v>0.225831179310439</v>
      </c>
      <c r="K303" s="10">
        <v>0.0138030334112884</v>
      </c>
      <c r="L303" s="10">
        <v>7.39763506223266</v>
      </c>
      <c r="M303" s="10">
        <v>0.400865096623313</v>
      </c>
      <c r="N303" s="10">
        <v>0.0106812182879963</v>
      </c>
      <c r="O303" s="10">
        <v>0.0285769157127422</v>
      </c>
      <c r="P303" s="10">
        <v>369.296116504854</v>
      </c>
      <c r="Q303" s="10">
        <v>1.36841997292086</v>
      </c>
      <c r="R303" s="10">
        <v>23.2413674940397</v>
      </c>
      <c r="S303" s="10">
        <v>0.390507255296161</v>
      </c>
      <c r="T303" s="10">
        <v>0.367202779031442</v>
      </c>
      <c r="U303" s="10">
        <v>2.64984193888303</v>
      </c>
    </row>
    <row r="304" ht="16" spans="1:21">
      <c r="A304" s="14">
        <v>2015</v>
      </c>
      <c r="B304" s="15">
        <v>500000</v>
      </c>
      <c r="C304" s="16" t="s">
        <v>71</v>
      </c>
      <c r="D304" s="10">
        <v>52476</v>
      </c>
      <c r="E304" s="10">
        <v>52321</v>
      </c>
      <c r="F304" s="10">
        <v>0.894812505844581</v>
      </c>
      <c r="G304" s="10">
        <v>46753.2247557003</v>
      </c>
      <c r="H304" s="10">
        <v>0.614657980456026</v>
      </c>
      <c r="I304" s="10">
        <v>0.0233413680781759</v>
      </c>
      <c r="J304" s="10">
        <v>0.236247623203765</v>
      </c>
      <c r="K304" s="10">
        <v>0.015398594806895</v>
      </c>
      <c r="L304" s="10">
        <v>7.4069596366599</v>
      </c>
      <c r="M304" s="10">
        <v>0.2891489043359</v>
      </c>
      <c r="N304" s="10">
        <v>0.00356846731710358</v>
      </c>
      <c r="O304" s="10">
        <v>0.0345726068389389</v>
      </c>
      <c r="P304" s="10">
        <v>372.572815533981</v>
      </c>
      <c r="Q304" s="10">
        <v>1.39608678033727</v>
      </c>
      <c r="R304" s="10">
        <v>23.4038648094786</v>
      </c>
      <c r="S304" s="10">
        <v>0.478015024469312</v>
      </c>
      <c r="T304" s="10">
        <v>0.350456656588012</v>
      </c>
      <c r="U304" s="10">
        <v>2.59295573536411</v>
      </c>
    </row>
    <row r="305" ht="16" spans="1:21">
      <c r="A305" s="14">
        <v>2016</v>
      </c>
      <c r="B305" s="15">
        <v>500000</v>
      </c>
      <c r="C305" s="16" t="s">
        <v>71</v>
      </c>
      <c r="D305" s="10">
        <v>58327</v>
      </c>
      <c r="E305" s="10">
        <v>58502</v>
      </c>
      <c r="F305" s="10">
        <v>0.890423347944293</v>
      </c>
      <c r="G305" s="10">
        <v>51601.6077170418</v>
      </c>
      <c r="H305" s="10">
        <v>0.633440514469453</v>
      </c>
      <c r="I305" s="10">
        <v>0.0235522508038585</v>
      </c>
      <c r="J305" s="10">
        <v>0.221909781945292</v>
      </c>
      <c r="K305" s="10">
        <v>0.0167665200022194</v>
      </c>
      <c r="L305" s="10">
        <v>7.41356032069126</v>
      </c>
      <c r="M305" s="10">
        <v>0.23127585862509</v>
      </c>
      <c r="N305" s="10">
        <v>0.00816678688342673</v>
      </c>
      <c r="O305" s="10">
        <v>0.0237602119513954</v>
      </c>
      <c r="P305" s="10">
        <v>377.427184466019</v>
      </c>
      <c r="Q305" s="10">
        <v>1.37519780280752</v>
      </c>
      <c r="R305" s="10">
        <v>23.4596189507612</v>
      </c>
      <c r="S305" s="10">
        <v>0.484292293180935</v>
      </c>
      <c r="T305" s="10">
        <v>0.3271486434001</v>
      </c>
      <c r="U305" s="10">
        <v>2.56385834271365</v>
      </c>
    </row>
    <row r="306" ht="16" spans="1:21">
      <c r="A306" s="14">
        <v>2017</v>
      </c>
      <c r="B306" s="15">
        <v>500000</v>
      </c>
      <c r="C306" s="16" t="s">
        <v>71</v>
      </c>
      <c r="D306" s="10">
        <v>64171</v>
      </c>
      <c r="E306" s="10">
        <v>63442</v>
      </c>
      <c r="F306" s="10">
        <v>0.87395533805435</v>
      </c>
      <c r="G306" s="10">
        <v>55779.4211195929</v>
      </c>
      <c r="H306" s="10">
        <v>0.650127226463104</v>
      </c>
      <c r="I306" s="10">
        <v>0.0237550572519084</v>
      </c>
      <c r="J306" s="10">
        <v>0.215958098902139</v>
      </c>
      <c r="K306" s="10">
        <v>0.0181713066185595</v>
      </c>
      <c r="L306" s="10">
        <v>7.41416918541852</v>
      </c>
      <c r="M306" s="10">
        <v>0.224095797431515</v>
      </c>
      <c r="N306" s="10">
        <v>0.0025595152070885</v>
      </c>
      <c r="O306" s="10">
        <v>0.0354541195935474</v>
      </c>
      <c r="P306" s="10">
        <v>381.553398058252</v>
      </c>
      <c r="Q306" s="10">
        <v>1.38898999815611</v>
      </c>
      <c r="R306" s="10">
        <v>23.5615006239583</v>
      </c>
      <c r="S306" s="10">
        <v>0.486856072120919</v>
      </c>
      <c r="T306" s="10">
        <v>0.309095348918336</v>
      </c>
      <c r="U306" s="10">
        <v>2.54731761354645</v>
      </c>
    </row>
    <row r="307" ht="16" spans="1:21">
      <c r="A307" s="14">
        <v>2018</v>
      </c>
      <c r="B307" s="15">
        <v>500000</v>
      </c>
      <c r="C307" s="16" t="s">
        <v>71</v>
      </c>
      <c r="D307" s="10">
        <v>68464</v>
      </c>
      <c r="E307" s="10">
        <v>65932.7242</v>
      </c>
      <c r="F307" s="10">
        <v>0.869184183465501</v>
      </c>
      <c r="G307" s="10">
        <v>59325.4615871008</v>
      </c>
      <c r="H307" s="10">
        <v>0.66613974075245</v>
      </c>
      <c r="I307" s="10">
        <v>0.0241166930129624</v>
      </c>
      <c r="J307" s="10">
        <v>0.210247443118654</v>
      </c>
      <c r="K307" s="10">
        <v>0.0190010283109761</v>
      </c>
      <c r="L307" s="10">
        <v>7.41651677389917</v>
      </c>
      <c r="M307" s="10">
        <v>0.242202679166975</v>
      </c>
      <c r="N307" s="10">
        <v>0.00872443118654117</v>
      </c>
      <c r="O307" s="10">
        <v>0.0777418105684429</v>
      </c>
      <c r="P307" s="10">
        <v>383.859223300971</v>
      </c>
      <c r="Q307" s="10">
        <v>1.45565617357148</v>
      </c>
      <c r="R307" s="10">
        <v>23.7306869368684</v>
      </c>
      <c r="S307" s="10">
        <v>0.495868227970059</v>
      </c>
      <c r="T307" s="10">
        <v>0.290340361669014</v>
      </c>
      <c r="U307" s="10">
        <v>2.53167404397359</v>
      </c>
    </row>
    <row r="308" ht="16" spans="1:21">
      <c r="A308" s="14">
        <v>2019</v>
      </c>
      <c r="B308" s="15">
        <v>500000</v>
      </c>
      <c r="C308" s="16" t="s">
        <v>71</v>
      </c>
      <c r="D308" s="10">
        <v>74337</v>
      </c>
      <c r="E308" s="10">
        <v>75828</v>
      </c>
      <c r="F308" s="10">
        <v>0.839431984342831</v>
      </c>
      <c r="G308" s="10">
        <v>62156.4100878294</v>
      </c>
      <c r="H308" s="10">
        <v>0.682245922208281</v>
      </c>
      <c r="I308" s="10">
        <v>0.0261877038895859</v>
      </c>
      <c r="J308" s="10">
        <v>0.204122715603792</v>
      </c>
      <c r="K308" s="10">
        <v>0.0198922044582264</v>
      </c>
      <c r="L308" s="10">
        <v>7.41947650157974</v>
      </c>
      <c r="M308" s="10">
        <v>0.245332168365402</v>
      </c>
      <c r="N308" s="10">
        <v>0.00239983393911666</v>
      </c>
      <c r="O308" s="10">
        <v>0.117314727736404</v>
      </c>
      <c r="P308" s="10">
        <v>386.893203883495</v>
      </c>
      <c r="Q308" s="10">
        <v>1.53492785671318</v>
      </c>
      <c r="R308" s="10">
        <v>23.7033190072612</v>
      </c>
      <c r="S308" s="10">
        <v>0.49274754509485</v>
      </c>
      <c r="T308" s="10">
        <v>0.277550432520821</v>
      </c>
      <c r="U308" s="10">
        <v>2.50703759994714</v>
      </c>
    </row>
    <row r="309" ht="16" spans="1:21">
      <c r="A309" s="14">
        <v>2020</v>
      </c>
      <c r="B309" s="15">
        <v>500000</v>
      </c>
      <c r="C309" s="16" t="s">
        <v>71</v>
      </c>
      <c r="D309" s="10">
        <v>78294</v>
      </c>
      <c r="E309" s="10">
        <v>78170.36</v>
      </c>
      <c r="F309" s="10">
        <v>0.82216915243972</v>
      </c>
      <c r="G309" s="10">
        <v>64157.8891053412</v>
      </c>
      <c r="H309" s="10">
        <v>0.69460891243378</v>
      </c>
      <c r="I309" s="10">
        <v>0.0285308818946712</v>
      </c>
      <c r="J309" s="10">
        <v>0.193368581628823</v>
      </c>
      <c r="K309" s="10">
        <v>0.0210369376312826</v>
      </c>
      <c r="L309" s="10">
        <v>7.42417124761134</v>
      </c>
      <c r="M309" s="10">
        <v>0.259419832756954</v>
      </c>
      <c r="N309" s="10">
        <v>0.00470381048982884</v>
      </c>
      <c r="O309" s="10">
        <v>0.135468915475972</v>
      </c>
      <c r="P309" s="10">
        <v>389.441747572816</v>
      </c>
      <c r="Q309" s="10">
        <v>1.63571685289161</v>
      </c>
      <c r="R309" s="10">
        <v>23.8143731442017</v>
      </c>
      <c r="S309" s="10">
        <v>0.470708506712883</v>
      </c>
      <c r="T309" s="10">
        <v>0.279169694985105</v>
      </c>
      <c r="U309" s="10">
        <v>2.44520506081535</v>
      </c>
    </row>
    <row r="310" ht="16" spans="1:21">
      <c r="A310" s="14">
        <v>2021</v>
      </c>
      <c r="B310" s="15">
        <v>500000</v>
      </c>
      <c r="C310" s="16" t="s">
        <v>71</v>
      </c>
      <c r="D310" s="10">
        <v>87450</v>
      </c>
      <c r="E310" s="10">
        <v>86879</v>
      </c>
      <c r="F310" s="10">
        <v>0.778000408776916</v>
      </c>
      <c r="G310" s="10">
        <v>68007.9417103116</v>
      </c>
      <c r="H310" s="10">
        <v>0.703300124533001</v>
      </c>
      <c r="I310" s="10">
        <v>0.0312179327521793</v>
      </c>
      <c r="J310" s="10">
        <v>0.170616120495917</v>
      </c>
      <c r="K310" s="10">
        <v>0.0215063759691993</v>
      </c>
      <c r="L310" s="10">
        <v>7.41954244032267</v>
      </c>
      <c r="M310" s="10">
        <v>0.284509098097039</v>
      </c>
      <c r="N310" s="10">
        <v>0.00657178574862968</v>
      </c>
      <c r="O310" s="10">
        <v>0.0191378800668155</v>
      </c>
      <c r="P310" s="10">
        <v>389.805825242718</v>
      </c>
      <c r="Q310" s="10">
        <v>1.63987349210928</v>
      </c>
      <c r="R310" s="10">
        <v>24.004945135803</v>
      </c>
      <c r="S310" s="10">
        <v>0.4974730476221</v>
      </c>
      <c r="T310" s="10">
        <v>0.282808532159431</v>
      </c>
      <c r="U310" s="10">
        <v>2.40348066298343</v>
      </c>
    </row>
    <row r="311" ht="16" spans="1:21">
      <c r="A311" s="17">
        <v>2022</v>
      </c>
      <c r="B311" s="10">
        <v>500000</v>
      </c>
      <c r="C311" s="18" t="s">
        <v>72</v>
      </c>
      <c r="D311" s="10">
        <v>88953</v>
      </c>
      <c r="E311" s="10">
        <v>90663</v>
      </c>
      <c r="F311" s="10">
        <v>0.769771240074524</v>
      </c>
      <c r="G311" s="10">
        <v>68462.6826439266</v>
      </c>
      <c r="H311" s="10">
        <v>0.709617180205416</v>
      </c>
      <c r="I311" s="10">
        <v>0.0331818549642079</v>
      </c>
      <c r="J311" s="10">
        <v>0.16979713816791</v>
      </c>
      <c r="K311" s="10">
        <v>0.0240287558484188</v>
      </c>
      <c r="L311" s="10">
        <v>7.40511261112099</v>
      </c>
      <c r="M311" s="10">
        <v>0.287157519745522</v>
      </c>
      <c r="N311" s="10">
        <v>0.0195782489562956</v>
      </c>
      <c r="O311" s="10">
        <v>0.0200032824633172</v>
      </c>
      <c r="P311" s="10">
        <v>389.927184466019</v>
      </c>
      <c r="Q311" s="10">
        <v>1.72752265004672</v>
      </c>
      <c r="R311" s="10">
        <v>23.9508987371403</v>
      </c>
      <c r="S311" s="10">
        <v>0.48733382092028</v>
      </c>
      <c r="T311" s="10">
        <v>0.278774920300531</v>
      </c>
      <c r="U311" s="10">
        <v>2.35639206751929</v>
      </c>
    </row>
  </sheetData>
  <autoFilter xmlns:etc="http://www.wps.cn/officeDocument/2017/etCustomData" ref="A1:C31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92" zoomScaleNormal="92" topLeftCell="A14" workbookViewId="0">
      <selection activeCell="C19" sqref="C19"/>
    </sheetView>
  </sheetViews>
  <sheetFormatPr defaultColWidth="9.23076923076923" defaultRowHeight="13.6" outlineLevelCol="5"/>
  <cols>
    <col min="1" max="1" width="16.5" style="1" customWidth="1"/>
    <col min="2" max="2" width="22.8173076923077" style="1" customWidth="1"/>
    <col min="3" max="4" width="25.75" style="1" customWidth="1"/>
    <col min="5" max="5" width="39.8846153846154" style="1" customWidth="1"/>
    <col min="6" max="6" width="40.2211538461538" style="1" customWidth="1"/>
    <col min="7" max="7" width="31.2115384615385" style="1" customWidth="1"/>
    <col min="8" max="16384" width="9.23076923076923" style="1"/>
  </cols>
  <sheetData>
    <row r="1" ht="14" spans="1:6">
      <c r="A1" s="2" t="s">
        <v>0</v>
      </c>
      <c r="B1" s="2" t="s">
        <v>91</v>
      </c>
      <c r="C1" s="2" t="s">
        <v>92</v>
      </c>
      <c r="D1" s="2" t="s">
        <v>93</v>
      </c>
      <c r="E1" s="6" t="s">
        <v>94</v>
      </c>
      <c r="F1" s="6" t="s">
        <v>95</v>
      </c>
    </row>
    <row r="2" ht="14" spans="1:6">
      <c r="A2" s="2" t="s">
        <v>96</v>
      </c>
      <c r="B2" s="2" t="s">
        <v>73</v>
      </c>
      <c r="C2" s="2" t="s">
        <v>97</v>
      </c>
      <c r="D2" s="2" t="s">
        <v>98</v>
      </c>
      <c r="E2" s="6" t="s">
        <v>99</v>
      </c>
      <c r="F2" s="2"/>
    </row>
    <row r="3" ht="41" spans="1:6">
      <c r="A3" s="2" t="s">
        <v>96</v>
      </c>
      <c r="B3" s="2" t="s">
        <v>74</v>
      </c>
      <c r="C3" s="2" t="s">
        <v>100</v>
      </c>
      <c r="D3" s="2" t="s">
        <v>98</v>
      </c>
      <c r="E3" s="6" t="s">
        <v>101</v>
      </c>
      <c r="F3" s="2"/>
    </row>
    <row r="4" ht="41" spans="1:6">
      <c r="A4" s="2" t="s">
        <v>96</v>
      </c>
      <c r="B4" s="2" t="s">
        <v>102</v>
      </c>
      <c r="C4" s="2" t="s">
        <v>103</v>
      </c>
      <c r="D4" s="2" t="s">
        <v>104</v>
      </c>
      <c r="E4" s="6" t="s">
        <v>105</v>
      </c>
      <c r="F4" s="7" t="s">
        <v>106</v>
      </c>
    </row>
    <row r="5" ht="41" spans="1:6">
      <c r="A5" s="2" t="s">
        <v>96</v>
      </c>
      <c r="B5" s="2" t="s">
        <v>76</v>
      </c>
      <c r="C5" s="2" t="s">
        <v>107</v>
      </c>
      <c r="D5" s="2" t="s">
        <v>108</v>
      </c>
      <c r="E5" s="6" t="s">
        <v>105</v>
      </c>
      <c r="F5" s="8"/>
    </row>
    <row r="6" ht="14" spans="1:6">
      <c r="A6" s="2" t="s">
        <v>96</v>
      </c>
      <c r="B6" s="2" t="s">
        <v>77</v>
      </c>
      <c r="C6" s="2" t="s">
        <v>109</v>
      </c>
      <c r="D6" s="1" t="s">
        <v>110</v>
      </c>
      <c r="E6" s="6" t="s">
        <v>99</v>
      </c>
      <c r="F6" s="2" t="s">
        <v>111</v>
      </c>
    </row>
    <row r="7" ht="41" spans="1:6">
      <c r="A7" s="2" t="s">
        <v>96</v>
      </c>
      <c r="B7" s="2" t="s">
        <v>78</v>
      </c>
      <c r="C7" s="2" t="s">
        <v>112</v>
      </c>
      <c r="D7" s="2" t="s">
        <v>113</v>
      </c>
      <c r="E7" s="6" t="s">
        <v>114</v>
      </c>
      <c r="F7" s="2"/>
    </row>
    <row r="8" ht="14" spans="1:6">
      <c r="A8" s="2" t="s">
        <v>96</v>
      </c>
      <c r="B8" s="2" t="s">
        <v>115</v>
      </c>
      <c r="C8" s="2" t="s">
        <v>116</v>
      </c>
      <c r="D8" s="2" t="s">
        <v>117</v>
      </c>
      <c r="E8" s="6" t="s">
        <v>99</v>
      </c>
      <c r="F8" s="2"/>
    </row>
    <row r="9" ht="14" spans="1:6">
      <c r="A9" s="2" t="s">
        <v>96</v>
      </c>
      <c r="B9" s="2" t="s">
        <v>80</v>
      </c>
      <c r="C9" s="2" t="s">
        <v>118</v>
      </c>
      <c r="D9" s="2" t="s">
        <v>119</v>
      </c>
      <c r="E9" s="6" t="s">
        <v>99</v>
      </c>
      <c r="F9" s="2"/>
    </row>
    <row r="10" ht="14" spans="1:6">
      <c r="A10" s="2" t="s">
        <v>96</v>
      </c>
      <c r="B10" s="2" t="s">
        <v>81</v>
      </c>
      <c r="C10" s="2" t="s">
        <v>120</v>
      </c>
      <c r="D10" s="2" t="s">
        <v>121</v>
      </c>
      <c r="E10" s="6" t="s">
        <v>99</v>
      </c>
      <c r="F10" s="2"/>
    </row>
    <row r="11" ht="14" spans="1:6">
      <c r="A11" s="2" t="s">
        <v>96</v>
      </c>
      <c r="B11" s="2" t="s">
        <v>82</v>
      </c>
      <c r="C11" s="2" t="s">
        <v>82</v>
      </c>
      <c r="D11" s="2" t="s">
        <v>122</v>
      </c>
      <c r="E11" s="6" t="s">
        <v>99</v>
      </c>
      <c r="F11" s="2"/>
    </row>
    <row r="12" ht="14" spans="1:6">
      <c r="A12" s="2" t="s">
        <v>96</v>
      </c>
      <c r="B12" s="2" t="s">
        <v>83</v>
      </c>
      <c r="C12" s="2" t="s">
        <v>123</v>
      </c>
      <c r="D12" s="2" t="s">
        <v>124</v>
      </c>
      <c r="E12" s="6" t="s">
        <v>99</v>
      </c>
      <c r="F12" s="2"/>
    </row>
    <row r="13" ht="14" spans="1:6">
      <c r="A13" s="2" t="s">
        <v>96</v>
      </c>
      <c r="B13" s="2" t="s">
        <v>84</v>
      </c>
      <c r="C13" s="2" t="s">
        <v>125</v>
      </c>
      <c r="D13" s="2" t="s">
        <v>126</v>
      </c>
      <c r="E13" s="6" t="s">
        <v>99</v>
      </c>
      <c r="F13" s="2"/>
    </row>
    <row r="14" ht="218" spans="1:6">
      <c r="A14" s="2" t="s">
        <v>127</v>
      </c>
      <c r="B14" s="2" t="s">
        <v>85</v>
      </c>
      <c r="C14" s="2" t="s">
        <v>128</v>
      </c>
      <c r="D14" s="2" t="s">
        <v>129</v>
      </c>
      <c r="E14" s="6" t="s">
        <v>130</v>
      </c>
      <c r="F14" s="9" t="s">
        <v>131</v>
      </c>
    </row>
    <row r="15" ht="28" spans="1:6">
      <c r="A15" s="2" t="s">
        <v>96</v>
      </c>
      <c r="B15" s="2" t="s">
        <v>86</v>
      </c>
      <c r="C15" s="2" t="s">
        <v>132</v>
      </c>
      <c r="D15" s="2" t="s">
        <v>133</v>
      </c>
      <c r="E15" s="6" t="s">
        <v>99</v>
      </c>
      <c r="F15" s="2"/>
    </row>
    <row r="16" ht="28" spans="1:6">
      <c r="A16" s="2" t="s">
        <v>96</v>
      </c>
      <c r="B16" s="2" t="s">
        <v>87</v>
      </c>
      <c r="C16" s="2" t="s">
        <v>134</v>
      </c>
      <c r="D16" s="2" t="s">
        <v>135</v>
      </c>
      <c r="E16" s="6" t="s">
        <v>99</v>
      </c>
      <c r="F16" s="2"/>
    </row>
    <row r="17" ht="28" spans="1:6">
      <c r="A17" s="2" t="s">
        <v>96</v>
      </c>
      <c r="B17" s="2" t="s">
        <v>88</v>
      </c>
      <c r="C17" s="2" t="s">
        <v>136</v>
      </c>
      <c r="D17" s="2" t="s">
        <v>137</v>
      </c>
      <c r="E17" s="6" t="s">
        <v>99</v>
      </c>
      <c r="F17" s="2"/>
    </row>
    <row r="18" ht="16" spans="1:6">
      <c r="A18" s="2" t="s">
        <v>96</v>
      </c>
      <c r="B18" s="2" t="s">
        <v>89</v>
      </c>
      <c r="C18" s="3" t="s">
        <v>138</v>
      </c>
      <c r="D18" s="2" t="s">
        <v>139</v>
      </c>
      <c r="E18" s="6" t="s">
        <v>99</v>
      </c>
      <c r="F18" s="2"/>
    </row>
    <row r="19" ht="55" spans="1:6">
      <c r="A19" s="4" t="s">
        <v>96</v>
      </c>
      <c r="B19" s="4" t="s">
        <v>90</v>
      </c>
      <c r="C19" s="5" t="s">
        <v>140</v>
      </c>
      <c r="D19" s="5" t="s">
        <v>141</v>
      </c>
      <c r="E19" s="6" t="s">
        <v>99</v>
      </c>
      <c r="F19" s="5"/>
    </row>
  </sheetData>
  <mergeCells count="1">
    <mergeCell ref="F4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Control Variables(originaldata)</vt:lpstr>
      <vt:lpstr>Control variables</vt:lpstr>
      <vt:lpstr>variables' explanation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2025-04-23T08:49:00Z</dcterms:created>
  <dcterms:modified xsi:type="dcterms:W3CDTF">2025-04-22T03:43:56Z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6DC0DEBB523F3065AD630368B01C0115_41</vt:lpwstr>
  </property>
  <property fmtid="{D5CDD505-2E9C-101B-9397-08002B2CF9AE}" pid="3" name="KSOProductBuildVer">
    <vt:lpwstr>2052-7.3.1.8967</vt:lpwstr>
  </property>
</Properties>
</file>