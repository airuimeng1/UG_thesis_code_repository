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660" windowHeight="11180" activeTab="3"/>
  </bookViews>
  <sheets>
    <sheet name="original data" sheetId="1" r:id="rId1"/>
    <sheet name="linear interpoation" sheetId="5" r:id="rId2"/>
    <sheet name="dependent variables" sheetId="6" r:id="rId3"/>
    <sheet name="variables explanation" sheetId="4" r:id="rId4"/>
  </sheets>
  <definedNames>
    <definedName name="_xlnm._FilterDatabase" localSheetId="0" hidden="1">'original data'!$A$2:$AS$312</definedName>
    <definedName name="_xlnm._FilterDatabase" localSheetId="1" hidden="1">'linear interpoation'!$A$3:$BB$313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ray</author>
  </authors>
  <commentList>
    <comment ref="X2" authorId="0">
      <text>
        <r>
          <rPr>
            <sz val="9"/>
            <rFont val="宋体"/>
            <charset val="0"/>
          </rPr>
          <t>Year-End Participants in Urban Employee Basic Pension Insurance /Total Participants in Basic Pension Insurance +Year-End Participants in Urban Employee Basic Medical Insurance/Year-End Participants in Urban Basic Medical Insurance</t>
        </r>
      </text>
    </comment>
  </commentList>
</comments>
</file>

<file path=xl/sharedStrings.xml><?xml version="1.0" encoding="utf-8"?>
<sst xmlns="http://schemas.openxmlformats.org/spreadsheetml/2006/main" count="1147" uniqueCount="136">
  <si>
    <t>different area</t>
  </si>
  <si>
    <t>gender structure</t>
  </si>
  <si>
    <t>Education attainment structure</t>
  </si>
  <si>
    <t>employment industrial structure</t>
  </si>
  <si>
    <t>detailed industrial struceure</t>
  </si>
  <si>
    <t>employment stability and quality</t>
  </si>
  <si>
    <t>year</t>
  </si>
  <si>
    <t>id</t>
  </si>
  <si>
    <t>province</t>
  </si>
  <si>
    <t>west_area</t>
  </si>
  <si>
    <t>east_area</t>
  </si>
  <si>
    <t>middle_area</t>
  </si>
  <si>
    <t>north_east_area</t>
  </si>
  <si>
    <t>Percentage of Male Employees (%)</t>
  </si>
  <si>
    <t>Percentage of Female Employees (%)</t>
  </si>
  <si>
    <t>Percentage of Employees with No Formal Education (%)</t>
  </si>
  <si>
    <t>​Percentage of Employees with Primary School Education (%)</t>
  </si>
  <si>
    <t>​Percentage of Employees with Junior High School Education (%)</t>
  </si>
  <si>
    <t>​Percentage of Employees with Senior High School Education (%)</t>
  </si>
  <si>
    <t>​Percentage of Employees with Associate Degree (%)</t>
  </si>
  <si>
    <t>Percentage of Employees with Bachelor's Degree (%)</t>
  </si>
  <si>
    <t>Percentage of Employees with Graduate Degree (%)</t>
  </si>
  <si>
    <t>Employment in Primary Industry (Agriculture, 10,000 persons)</t>
  </si>
  <si>
    <t>Employment in Secondary Industry (Industry, 10,000 persons)</t>
  </si>
  <si>
    <t>Employment in Tertiary Industry (Services, 10,000 persons)</t>
  </si>
  <si>
    <t>Total Employment (10,000 persons)</t>
  </si>
  <si>
    <t>Urban Unit Employees in Agriculture, Forestry, Animal Husbandry, and Fishing (10,000 persons)</t>
  </si>
  <si>
    <t>Urban Unit Employees in Mining (10,000 persons)</t>
  </si>
  <si>
    <t>Urban Unit Employees in Manufacturing (10,000 persons)</t>
  </si>
  <si>
    <t>​Urban Unit Employees in Electricity, Heat, Gas, and Water Supply (10,000 persons)</t>
  </si>
  <si>
    <t>Urban Unit Employees in Construction (10,000 persons)</t>
  </si>
  <si>
    <t>​Urban Unit Employees in Transportation, Storage, and Postal Services (10,000 persons)</t>
  </si>
  <si>
    <t>​Urban Unit Employees in Information Transmission, Software, and IT Services (10,000 persons)</t>
  </si>
  <si>
    <t>Urban Unit Employees in Wholesale and Retail Trade (10,000 persons)</t>
  </si>
  <si>
    <t>Urban Unit Employees in Accommodation and Catering Services (10,000 persons)</t>
  </si>
  <si>
    <t>​Urban Unit Employees in Finance (10,000 persons)</t>
  </si>
  <si>
    <t>Urban Unit Employees in Real Estate (10,000 persons)</t>
  </si>
  <si>
    <t>Urban Unit Employees in Leasing and Business Services (10,000 persons)</t>
  </si>
  <si>
    <t>Urban Unit Employees in Scientific Research and Technical Services (10,000 persons)</t>
  </si>
  <si>
    <t>Urban Unit Employees in Water Conservancy, Environment, and Public Facilities Management (10,000 persons)</t>
  </si>
  <si>
    <t>Urban Unit Employees in Resident Services, Repair, and Other Services (10,000 persons)</t>
  </si>
  <si>
    <t>Urban Unit Employees in Education (10,000 persons)</t>
  </si>
  <si>
    <t>Urban Unit Employees in Healthcare and Social Work (10,000 persons)</t>
  </si>
  <si>
    <t>Urban Unit Employees in Culture, Sports, and Entertainment (10,000 persons)</t>
  </si>
  <si>
    <t>Urban Unit Employees in Public Administration, Social Security, and Social Organizations (10,000 persons)</t>
  </si>
  <si>
    <t>Year-End Participants in Urban Employee Basic Pension Insurance (10,000 persons)</t>
  </si>
  <si>
    <t>​Participants in Urban-Rural Resident Social Pension Insurance (10,000 persons)</t>
  </si>
  <si>
    <t>​Total Participants in Basic Pension Insurance (10,000 persons)</t>
  </si>
  <si>
    <t>Year-End Participants in Urban Employee Basic Medical Insurance (10,000 persons)</t>
  </si>
  <si>
    <t>Year-End Participants in Urban Resident Basic Medical Insurance (10,000 persons)</t>
  </si>
  <si>
    <t>​Year-End Participants in Urban Basic Medical Insurance (10,000 persons)</t>
  </si>
  <si>
    <t>安徽省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</si>
  <si>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</si>
  <si>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</si>
  <si>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</si>
  <si>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</si>
  <si>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</si>
  <si>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</si>
  <si>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</si>
  <si>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</si>
  <si>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</si>
  <si>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</si>
  <si>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</si>
  <si>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</si>
  <si>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</si>
  <si>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</si>
  <si>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</si>
  <si>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</si>
  <si>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</si>
  <si>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宁夏回族自治区</t>
  </si>
  <si>
    <t>青海省</t>
  </si>
  <si>
    <t>山东省</t>
  </si>
  <si>
    <t>山西省</t>
  </si>
  <si>
    <t>陕西省</t>
  </si>
  <si>
    <t>上海市</t>
  </si>
  <si>
    <t>四川省</t>
  </si>
  <si>
    <t>天津市</t>
  </si>
  <si>
    <t>西藏自治区</t>
  </si>
  <si>
    <t>新疆维吾尔自治区</t>
  </si>
  <si>
    <t>云南省</t>
  </si>
  <si>
    <t>浙江省</t>
  </si>
  <si>
    <t>重庆市</t>
  </si>
  <si>
    <t>first</t>
  </si>
  <si>
    <t>second</t>
  </si>
  <si>
    <t>Producer Services</t>
  </si>
  <si>
    <t>Consumer Services</t>
  </si>
  <si>
    <t>Public Services</t>
  </si>
  <si>
    <t>Mixed Services</t>
  </si>
  <si>
    <t>Low_skilled employees(%)</t>
  </si>
  <si>
    <t>Middle_skilled employees(%)</t>
  </si>
  <si>
    <t>High_skilled employees(%)</t>
  </si>
  <si>
    <t>Employment in Primary Industry (%)</t>
  </si>
  <si>
    <t>Employment in Secondary Industry (%)</t>
  </si>
  <si>
    <t>Employment in Tertiary Industry (%)</t>
  </si>
  <si>
    <t>PS total</t>
  </si>
  <si>
    <t>CS total</t>
  </si>
  <si>
    <t>skilled structure</t>
  </si>
  <si>
    <t>Detailed industrial struceure for the third</t>
  </si>
  <si>
    <t>Urban Unit Employees in Producer Ssevices(10,000 persons)</t>
  </si>
  <si>
    <t>Urban Unit Employees in Consumer Ssevices(10,000 persons)</t>
  </si>
  <si>
    <t>Urban Unit Employees in Public Ssevices(10,000 persons)</t>
  </si>
  <si>
    <t>Urban Unit Employees in Mixed Ssevices(Real Estate )(10,000 persons)</t>
  </si>
  <si>
    <t>Pension and Medical Insurance percentage</t>
  </si>
  <si>
    <t>male_pct</t>
  </si>
  <si>
    <t>female_pct</t>
  </si>
  <si>
    <t>low_skill_pct</t>
  </si>
  <si>
    <t>mid_skill_pct</t>
  </si>
  <si>
    <t>high_skill_pct</t>
  </si>
  <si>
    <t>emp_primary_pct</t>
  </si>
  <si>
    <t>emp_primary</t>
  </si>
  <si>
    <t>emp_secondary_pct</t>
  </si>
  <si>
    <t>emp_secondary</t>
  </si>
  <si>
    <t>emp_tertiary_pct</t>
  </si>
  <si>
    <t>emp_tertiary</t>
  </si>
  <si>
    <t>emp</t>
  </si>
  <si>
    <t>producer_emp</t>
  </si>
  <si>
    <t>consumer_emp</t>
  </si>
  <si>
    <t>public_emp</t>
  </si>
  <si>
    <t>mixed_emp</t>
  </si>
  <si>
    <t>insurance_pct</t>
  </si>
  <si>
    <t>primary indicator</t>
  </si>
  <si>
    <t>sepecific indicator</t>
  </si>
  <si>
    <t>variable name</t>
  </si>
  <si>
    <t>data sources</t>
  </si>
  <si>
    <t>中国劳动统计年鉴China Labor Statistical Yearbook</t>
  </si>
  <si>
    <t>Employment in Primary Industry (10,000 persons)</t>
  </si>
  <si>
    <t>Employment in Secondary Industry(10,000 persons)</t>
  </si>
  <si>
    <t>Employment in Tertiary Industry(10,000 persons)</t>
  </si>
  <si>
    <t>Employment</t>
  </si>
  <si>
    <t>Employment stability and quality</t>
  </si>
  <si>
    <t>insurance</t>
  </si>
  <si>
    <t>Secondary Industry</t>
  </si>
  <si>
    <t>emp_min</t>
  </si>
  <si>
    <t>emp_manu</t>
  </si>
  <si>
    <t>emp_elec</t>
  </si>
  <si>
    <t>emp_constc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</si>
</sst>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.25"/>
      <color theme="1"/>
      <name val="宋体"/>
      <charset val="134"/>
      <scheme val="minor"/>
    </font>
    <font>
      <sz val="9"/>
      <color theme="1"/>
      <name val="Times New Roman Regular"/>
      <charset val="134"/>
    </font>
    <font>
      <sz val="9"/>
      <name val="Times New Roman Regular"/>
      <charset val="0"/>
    </font>
    <font>
      <sz val="9"/>
      <name val="Times New Roman Regular"/>
      <charset val="134"/>
    </font>
    <font>
      <sz val="9"/>
      <name val="宋体-简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</fonts>
  <fills count="42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0" fontId="4" fillId="6" borderId="2" xfId="0" applyNumberFormat="1" applyFont="1" applyFill="1" applyBorder="1" applyAlignment="1">
      <alignment horizontal="center" vertical="center" wrapText="1"/>
    </xf>
    <xf numFmtId="0" fontId="4" fillId="6" borderId="3" xfId="0" applyNumberFormat="1" applyFont="1" applyFill="1" applyBorder="1" applyAlignment="1">
      <alignment horizontal="center" vertical="center" wrapText="1"/>
    </xf>
    <xf numFmtId="0" fontId="4" fillId="6" borderId="4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/>
    </xf>
    <xf numFmtId="0" fontId="4" fillId="10" borderId="1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/>
    </xf>
    <xf numFmtId="0" fontId="8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12"/>
  <sheetViews>
    <sheetView zoomScale="95" zoomScaleNormal="95" workbookViewId="0">
      <pane xSplit="3" topLeftCell="AF1" activePane="topRight" state="frozen"/>
      <selection/>
      <selection pane="topRight" activeCell="AS2" sqref="AS2"/>
    </sheetView>
  </sheetViews>
  <sheetFormatPr defaultColWidth="9.23076923076923" defaultRowHeight="13.6"/>
  <cols>
    <col min="1" max="1" width="10.3076923076923" style="48"/>
    <col min="2" max="2" width="12.7692307692308" style="48"/>
    <col min="3" max="3" width="19.4230769230769" style="48" customWidth="1"/>
    <col min="4" max="7" width="9.23076923076923" style="49"/>
    <col min="8" max="16" width="9.23076923076923" style="46"/>
    <col min="17" max="19" width="11.4615384615385" style="50"/>
    <col min="20" max="20" width="12.6923076923077" style="51"/>
    <col min="21" max="39" width="9.69230769230769" style="49"/>
    <col min="40" max="44" width="10.3076923076923" style="46"/>
    <col min="45" max="45" width="11.4615384615385" style="46"/>
    <col min="46" max="46" width="9.69230769230769" style="46"/>
    <col min="47" max="16384" width="9.23076923076923" style="46"/>
  </cols>
  <sheetData>
    <row r="1" s="46" customFormat="1" spans="1:45">
      <c r="A1" s="52"/>
      <c r="B1" s="52"/>
      <c r="C1" s="52"/>
      <c r="D1" s="53" t="s">
        <v>0</v>
      </c>
      <c r="E1" s="53"/>
      <c r="F1" s="53"/>
      <c r="G1" s="53"/>
      <c r="H1" s="57" t="s">
        <v>1</v>
      </c>
      <c r="I1" s="57"/>
      <c r="J1" s="58" t="s">
        <v>2</v>
      </c>
      <c r="K1" s="58"/>
      <c r="L1" s="58"/>
      <c r="M1" s="58"/>
      <c r="N1" s="58"/>
      <c r="O1" s="58"/>
      <c r="P1" s="58"/>
      <c r="Q1" s="59" t="s">
        <v>3</v>
      </c>
      <c r="R1" s="59"/>
      <c r="S1" s="59"/>
      <c r="T1" s="59"/>
      <c r="U1" s="60" t="s">
        <v>4</v>
      </c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1" t="s">
        <v>5</v>
      </c>
      <c r="AO1" s="61"/>
      <c r="AP1" s="61"/>
      <c r="AQ1" s="61"/>
      <c r="AR1" s="61"/>
      <c r="AS1" s="61"/>
    </row>
    <row r="2" s="47" customFormat="1" ht="150" spans="1:45">
      <c r="A2" s="28" t="s">
        <v>6</v>
      </c>
      <c r="B2" s="28" t="s">
        <v>7</v>
      </c>
      <c r="C2" s="28" t="s">
        <v>8</v>
      </c>
      <c r="D2" s="27" t="s">
        <v>9</v>
      </c>
      <c r="E2" s="27" t="s">
        <v>10</v>
      </c>
      <c r="F2" s="27" t="s">
        <v>11</v>
      </c>
      <c r="G2" s="2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24</v>
      </c>
      <c r="T2" s="7" t="s">
        <v>25</v>
      </c>
      <c r="U2" s="7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7" t="s">
        <v>32</v>
      </c>
      <c r="AB2" s="7" t="s">
        <v>33</v>
      </c>
      <c r="AC2" s="7" t="s">
        <v>34</v>
      </c>
      <c r="AD2" s="7" t="s">
        <v>35</v>
      </c>
      <c r="AE2" s="7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</row>
    <row r="3" spans="1:45">
      <c r="A3" s="54">
        <v>2013</v>
      </c>
      <c r="B3" s="54">
        <v>340000</v>
      </c>
      <c r="C3" s="55" t="s">
        <v>51</v>
      </c>
      <c r="D3" s="49">
        <v>0</v>
      </c>
      <c r="E3" s="49">
        <v>0</v>
      </c>
      <c r="F3" s="49">
        <v>1</v>
      </c>
      <c r="G3" s="49">
        <v>0</v>
      </c>
      <c r="J3" s="56">
        <v>5.689</v>
      </c>
      <c r="K3" s="56">
        <v>22.785</v>
      </c>
      <c r="L3" s="56">
        <v>49.967</v>
      </c>
      <c r="M3" s="56">
        <v>11.417</v>
      </c>
      <c r="N3" s="56">
        <v>6.084</v>
      </c>
      <c r="O3" s="56">
        <v>3.748</v>
      </c>
      <c r="P3" s="56">
        <v>0.31</v>
      </c>
      <c r="Q3" s="50">
        <v>1469.7</v>
      </c>
      <c r="R3" s="50">
        <v>1169.2</v>
      </c>
      <c r="S3" s="50">
        <v>1637</v>
      </c>
      <c r="T3" s="51">
        <v>4275.9</v>
      </c>
      <c r="U3" s="56">
        <v>4.9</v>
      </c>
      <c r="V3" s="56">
        <v>33.1</v>
      </c>
      <c r="W3" s="56">
        <v>120.4</v>
      </c>
      <c r="X3" s="56">
        <v>12</v>
      </c>
      <c r="Y3" s="56">
        <v>99.7</v>
      </c>
      <c r="Z3" s="56">
        <v>22</v>
      </c>
      <c r="AA3" s="56">
        <v>6.2</v>
      </c>
      <c r="AB3" s="56">
        <v>22.6</v>
      </c>
      <c r="AC3" s="56">
        <v>5.8</v>
      </c>
      <c r="AD3" s="56">
        <v>17.2</v>
      </c>
      <c r="AE3" s="56">
        <v>9.4</v>
      </c>
      <c r="AF3" s="56">
        <v>7.1</v>
      </c>
      <c r="AG3" s="56">
        <v>8.3</v>
      </c>
      <c r="AH3" s="56">
        <v>7.8</v>
      </c>
      <c r="AI3" s="56">
        <v>0.9</v>
      </c>
      <c r="AJ3" s="56">
        <v>63.7</v>
      </c>
      <c r="AK3" s="56">
        <v>27.2</v>
      </c>
      <c r="AL3" s="56">
        <v>3.4</v>
      </c>
      <c r="AM3" s="56">
        <v>48.1</v>
      </c>
      <c r="AN3" s="56">
        <v>811.329</v>
      </c>
      <c r="AO3" s="56">
        <v>3308.707</v>
      </c>
      <c r="AP3" s="56">
        <v>4120.036</v>
      </c>
      <c r="AQ3" s="56">
        <v>715.966</v>
      </c>
      <c r="AR3" s="56">
        <v>944.868</v>
      </c>
      <c r="AS3" s="56">
        <v>1660.834</v>
      </c>
    </row>
    <row r="4" spans="1:45">
      <c r="A4" s="54">
        <v>2014</v>
      </c>
      <c r="B4" s="54">
        <v>340000</v>
      </c>
      <c r="C4" s="55" t="s">
        <v>51</v>
      </c>
      <c r="D4" s="56">
        <v>0</v>
      </c>
      <c r="E4" s="56">
        <v>0</v>
      </c>
      <c r="F4" s="56">
        <v>1</v>
      </c>
      <c r="G4" s="56">
        <v>0</v>
      </c>
      <c r="H4" s="56">
        <v>53.9</v>
      </c>
      <c r="I4" s="56">
        <v>46.1</v>
      </c>
      <c r="J4" s="56">
        <v>4.9</v>
      </c>
      <c r="K4" s="56">
        <v>20.7</v>
      </c>
      <c r="L4" s="56">
        <v>51.7</v>
      </c>
      <c r="M4" s="56">
        <v>11.1</v>
      </c>
      <c r="N4" s="56">
        <v>6.8</v>
      </c>
      <c r="O4" s="56">
        <v>4.4</v>
      </c>
      <c r="P4" s="56">
        <v>0.4</v>
      </c>
      <c r="Q4" s="50">
        <v>1415.3</v>
      </c>
      <c r="R4" s="50">
        <v>1211.1</v>
      </c>
      <c r="S4" s="50">
        <v>1684.6</v>
      </c>
      <c r="T4" s="51">
        <v>4311</v>
      </c>
      <c r="U4" s="56">
        <v>4.5</v>
      </c>
      <c r="V4" s="56">
        <v>31.3</v>
      </c>
      <c r="W4" s="56">
        <v>122.6</v>
      </c>
      <c r="X4" s="56">
        <v>10.8</v>
      </c>
      <c r="Y4" s="56">
        <v>97.1</v>
      </c>
      <c r="Z4" s="56">
        <v>21.7</v>
      </c>
      <c r="AA4" s="56">
        <v>7.4</v>
      </c>
      <c r="AB4" s="56">
        <v>23.4</v>
      </c>
      <c r="AC4" s="56">
        <v>6</v>
      </c>
      <c r="AD4" s="56">
        <v>17.7</v>
      </c>
      <c r="AE4" s="56">
        <v>10.4</v>
      </c>
      <c r="AF4" s="56">
        <v>6</v>
      </c>
      <c r="AG4" s="56">
        <v>9.6</v>
      </c>
      <c r="AH4" s="56">
        <v>8.2</v>
      </c>
      <c r="AI4" s="56">
        <v>0.9</v>
      </c>
      <c r="AJ4" s="56">
        <v>64.7</v>
      </c>
      <c r="AK4" s="56">
        <v>28.2</v>
      </c>
      <c r="AL4" s="56">
        <v>3.4</v>
      </c>
      <c r="AM4" s="56">
        <v>47.8</v>
      </c>
      <c r="AN4" s="56">
        <v>829.2</v>
      </c>
      <c r="AO4" s="56">
        <v>3337.2</v>
      </c>
      <c r="AP4" s="56">
        <v>4166.4</v>
      </c>
      <c r="AQ4" s="56">
        <v>739.9</v>
      </c>
      <c r="AR4" s="56">
        <v>1016.5</v>
      </c>
      <c r="AS4" s="56">
        <v>1756.4</v>
      </c>
    </row>
    <row r="5" spans="1:45">
      <c r="A5" s="54">
        <v>2015</v>
      </c>
      <c r="B5" s="54">
        <v>340000</v>
      </c>
      <c r="C5" s="55" t="s">
        <v>51</v>
      </c>
      <c r="D5" s="49">
        <v>0</v>
      </c>
      <c r="E5" s="49">
        <v>0</v>
      </c>
      <c r="F5" s="56">
        <v>1</v>
      </c>
      <c r="G5" s="49">
        <v>0</v>
      </c>
      <c r="H5" s="56">
        <v>59.058</v>
      </c>
      <c r="I5" s="56">
        <v>40.942</v>
      </c>
      <c r="J5" s="56">
        <v>7.352</v>
      </c>
      <c r="K5" s="56">
        <v>20.637</v>
      </c>
      <c r="L5" s="56">
        <v>45.166</v>
      </c>
      <c r="M5" s="56">
        <v>8.859</v>
      </c>
      <c r="N5" s="56">
        <v>7.326</v>
      </c>
      <c r="O5" s="56">
        <v>5.569</v>
      </c>
      <c r="P5" s="56">
        <v>0.38</v>
      </c>
      <c r="Q5" s="50">
        <v>1396.2</v>
      </c>
      <c r="R5" s="50">
        <v>1232.1</v>
      </c>
      <c r="S5" s="50">
        <v>1713.8</v>
      </c>
      <c r="T5" s="51">
        <v>4342.1</v>
      </c>
      <c r="U5" s="56">
        <v>4.4</v>
      </c>
      <c r="V5" s="56">
        <v>27</v>
      </c>
      <c r="W5" s="56">
        <v>120.9</v>
      </c>
      <c r="X5" s="56">
        <v>10.3</v>
      </c>
      <c r="Y5" s="56">
        <v>92.6</v>
      </c>
      <c r="Z5" s="56">
        <v>22.3</v>
      </c>
      <c r="AA5" s="56">
        <v>7.7</v>
      </c>
      <c r="AB5" s="56">
        <v>23.6</v>
      </c>
      <c r="AC5" s="56">
        <v>6</v>
      </c>
      <c r="AD5" s="56">
        <v>19.1</v>
      </c>
      <c r="AE5" s="56">
        <v>10.4</v>
      </c>
      <c r="AF5" s="56">
        <v>6.3</v>
      </c>
      <c r="AG5" s="56">
        <v>9.2</v>
      </c>
      <c r="AH5" s="56">
        <v>8.2</v>
      </c>
      <c r="AI5" s="56">
        <v>0.9</v>
      </c>
      <c r="AJ5" s="56">
        <v>64.4</v>
      </c>
      <c r="AK5" s="56">
        <v>29.1</v>
      </c>
      <c r="AL5" s="56">
        <v>3.2</v>
      </c>
      <c r="AM5" s="56">
        <v>48.3</v>
      </c>
      <c r="AN5" s="56">
        <v>857.513</v>
      </c>
      <c r="AO5" s="56">
        <v>3396.568</v>
      </c>
      <c r="AP5" s="56">
        <v>4254.081</v>
      </c>
      <c r="AQ5" s="56">
        <v>763.301</v>
      </c>
      <c r="AR5" s="56">
        <v>974.294</v>
      </c>
      <c r="AS5" s="56">
        <v>1737.595</v>
      </c>
    </row>
    <row r="6" spans="1:45">
      <c r="A6" s="54">
        <v>2016</v>
      </c>
      <c r="B6" s="54">
        <v>340000</v>
      </c>
      <c r="C6" s="55" t="s">
        <v>51</v>
      </c>
      <c r="D6" s="56">
        <v>0</v>
      </c>
      <c r="E6" s="56">
        <v>0</v>
      </c>
      <c r="F6" s="56">
        <v>1</v>
      </c>
      <c r="G6" s="56">
        <v>0</v>
      </c>
      <c r="H6" s="56">
        <v>56.938</v>
      </c>
      <c r="I6" s="56">
        <v>43.062</v>
      </c>
      <c r="J6" s="56">
        <v>7.147</v>
      </c>
      <c r="K6" s="56">
        <v>20.301</v>
      </c>
      <c r="L6" s="56">
        <v>45.785</v>
      </c>
      <c r="M6" s="56">
        <v>8.682</v>
      </c>
      <c r="N6" s="56">
        <v>7.651</v>
      </c>
      <c r="O6" s="56">
        <v>5.62</v>
      </c>
      <c r="P6" s="56">
        <v>0.476</v>
      </c>
      <c r="Q6" s="50">
        <v>1383.5</v>
      </c>
      <c r="R6" s="50">
        <v>1245.5</v>
      </c>
      <c r="S6" s="50">
        <v>1732.6</v>
      </c>
      <c r="T6" s="51">
        <v>4361.6</v>
      </c>
      <c r="U6" s="56">
        <v>4.2</v>
      </c>
      <c r="V6" s="56">
        <v>23.1</v>
      </c>
      <c r="W6" s="56">
        <v>122.4</v>
      </c>
      <c r="X6" s="56">
        <v>10.4</v>
      </c>
      <c r="Y6" s="56">
        <v>91.8</v>
      </c>
      <c r="Z6" s="56">
        <v>22.9</v>
      </c>
      <c r="AA6" s="56">
        <v>8</v>
      </c>
      <c r="AB6" s="56">
        <v>23.2</v>
      </c>
      <c r="AC6" s="56">
        <v>5.9</v>
      </c>
      <c r="AD6" s="56">
        <v>22.3</v>
      </c>
      <c r="AE6" s="56">
        <v>10.5</v>
      </c>
      <c r="AF6" s="56">
        <v>6.6</v>
      </c>
      <c r="AG6" s="56">
        <v>9.1</v>
      </c>
      <c r="AH6" s="56">
        <v>7.8</v>
      </c>
      <c r="AI6" s="56">
        <v>1</v>
      </c>
      <c r="AJ6" s="56">
        <v>64.6</v>
      </c>
      <c r="AK6" s="56">
        <v>30.5</v>
      </c>
      <c r="AL6" s="56">
        <v>3.4</v>
      </c>
      <c r="AM6" s="56">
        <v>49.4</v>
      </c>
      <c r="AN6" s="56">
        <v>892.237</v>
      </c>
      <c r="AO6" s="56">
        <v>3431.882</v>
      </c>
      <c r="AP6" s="56">
        <v>4324.119</v>
      </c>
      <c r="AQ6" s="56">
        <v>781.952</v>
      </c>
      <c r="AR6" s="56">
        <v>839.568</v>
      </c>
      <c r="AS6" s="56">
        <v>1621.52</v>
      </c>
    </row>
    <row r="7" spans="1:45">
      <c r="A7" s="54">
        <v>2017</v>
      </c>
      <c r="B7" s="54">
        <v>340000</v>
      </c>
      <c r="C7" s="55" t="s">
        <v>51</v>
      </c>
      <c r="D7" s="49">
        <v>0</v>
      </c>
      <c r="E7" s="49">
        <v>0</v>
      </c>
      <c r="F7" s="49">
        <v>1</v>
      </c>
      <c r="G7" s="49">
        <v>0</v>
      </c>
      <c r="H7" s="56">
        <v>55.112</v>
      </c>
      <c r="I7" s="56">
        <v>44.888</v>
      </c>
      <c r="J7" s="56">
        <v>7.096</v>
      </c>
      <c r="K7" s="56">
        <v>20.036</v>
      </c>
      <c r="L7" s="56">
        <v>46.733</v>
      </c>
      <c r="M7" s="56">
        <v>9.262</v>
      </c>
      <c r="N7" s="56">
        <v>7.033</v>
      </c>
      <c r="O7" s="56">
        <v>5.193</v>
      </c>
      <c r="P7" s="56">
        <v>0.445</v>
      </c>
      <c r="Q7" s="50">
        <v>1363.3</v>
      </c>
      <c r="R7" s="50">
        <v>1259.5</v>
      </c>
      <c r="S7" s="50">
        <v>1755.1</v>
      </c>
      <c r="T7" s="51">
        <v>4377.9</v>
      </c>
      <c r="U7" s="56">
        <v>3.8</v>
      </c>
      <c r="V7" s="56">
        <v>20.3</v>
      </c>
      <c r="W7" s="56">
        <v>119.8</v>
      </c>
      <c r="X7" s="56">
        <v>10.2</v>
      </c>
      <c r="Y7" s="56">
        <v>93.3</v>
      </c>
      <c r="Z7" s="56">
        <v>24.2</v>
      </c>
      <c r="AA7" s="56">
        <v>8.2</v>
      </c>
      <c r="AB7" s="56">
        <v>22.7</v>
      </c>
      <c r="AC7" s="56">
        <v>5.4</v>
      </c>
      <c r="AD7" s="56">
        <v>23.7</v>
      </c>
      <c r="AE7" s="56">
        <v>11.2</v>
      </c>
      <c r="AF7" s="56">
        <v>7.4</v>
      </c>
      <c r="AG7" s="56">
        <v>8.9</v>
      </c>
      <c r="AH7" s="56">
        <v>7</v>
      </c>
      <c r="AI7" s="56">
        <v>1</v>
      </c>
      <c r="AJ7" s="56">
        <v>63.6</v>
      </c>
      <c r="AK7" s="56">
        <v>31.5</v>
      </c>
      <c r="AL7" s="56">
        <v>3.2</v>
      </c>
      <c r="AM7" s="56">
        <v>51</v>
      </c>
      <c r="AN7" s="56">
        <v>1076.974</v>
      </c>
      <c r="AO7" s="56">
        <v>3429.46</v>
      </c>
      <c r="AP7" s="56">
        <v>4506.434</v>
      </c>
      <c r="AQ7" s="56">
        <v>809.197</v>
      </c>
      <c r="AR7" s="56">
        <v>1298.859</v>
      </c>
      <c r="AS7" s="56">
        <v>2108.056</v>
      </c>
    </row>
    <row r="8" spans="1:45">
      <c r="A8" s="54">
        <v>2018</v>
      </c>
      <c r="B8" s="54">
        <v>340000</v>
      </c>
      <c r="C8" s="55" t="s">
        <v>51</v>
      </c>
      <c r="D8" s="56">
        <v>0</v>
      </c>
      <c r="E8" s="56">
        <v>0</v>
      </c>
      <c r="F8" s="56">
        <v>1</v>
      </c>
      <c r="G8" s="56">
        <v>0</v>
      </c>
      <c r="H8" s="56">
        <v>55.331</v>
      </c>
      <c r="I8" s="56">
        <v>44.669</v>
      </c>
      <c r="J8" s="56">
        <v>6.859</v>
      </c>
      <c r="K8" s="56">
        <v>18.257</v>
      </c>
      <c r="L8" s="56">
        <v>45.824</v>
      </c>
      <c r="M8" s="56">
        <v>9.733</v>
      </c>
      <c r="N8" s="56">
        <v>8.043</v>
      </c>
      <c r="O8" s="56">
        <v>6.143</v>
      </c>
      <c r="P8" s="56">
        <v>0.55</v>
      </c>
      <c r="Q8" s="50">
        <v>1353.6</v>
      </c>
      <c r="R8" s="50">
        <v>1263.3</v>
      </c>
      <c r="S8" s="50">
        <v>1768.4</v>
      </c>
      <c r="T8" s="51">
        <v>4385.3</v>
      </c>
      <c r="U8" s="56">
        <v>3.1</v>
      </c>
      <c r="V8" s="56">
        <v>19</v>
      </c>
      <c r="W8" s="56">
        <v>139.5</v>
      </c>
      <c r="X8" s="56">
        <v>10.3</v>
      </c>
      <c r="Y8" s="56">
        <v>139.4</v>
      </c>
      <c r="Z8" s="56">
        <v>24.5</v>
      </c>
      <c r="AA8" s="56">
        <v>9.3</v>
      </c>
      <c r="AB8" s="56">
        <v>23</v>
      </c>
      <c r="AC8" s="56">
        <v>6.4</v>
      </c>
      <c r="AD8" s="56">
        <v>24.1</v>
      </c>
      <c r="AE8" s="56">
        <v>14.7</v>
      </c>
      <c r="AF8" s="56">
        <v>8.8</v>
      </c>
      <c r="AG8" s="56">
        <v>9.3</v>
      </c>
      <c r="AH8" s="56">
        <v>6.1</v>
      </c>
      <c r="AI8" s="56">
        <v>1.3</v>
      </c>
      <c r="AJ8" s="56">
        <v>64.1</v>
      </c>
      <c r="AK8" s="56">
        <v>32.5</v>
      </c>
      <c r="AL8" s="56">
        <v>3.3</v>
      </c>
      <c r="AM8" s="56">
        <v>53.6</v>
      </c>
      <c r="AN8" s="56">
        <v>1141.718</v>
      </c>
      <c r="AO8" s="56">
        <v>3487.763</v>
      </c>
      <c r="AP8" s="56">
        <v>4629.481</v>
      </c>
      <c r="AQ8" s="56">
        <v>854.581</v>
      </c>
      <c r="AR8" s="56">
        <v>5250.508</v>
      </c>
      <c r="AS8" s="56">
        <v>6105.088</v>
      </c>
    </row>
    <row r="9" spans="1:45">
      <c r="A9" s="54">
        <v>2019</v>
      </c>
      <c r="B9" s="54">
        <v>340000</v>
      </c>
      <c r="C9" s="55" t="s">
        <v>51</v>
      </c>
      <c r="D9" s="49">
        <v>0</v>
      </c>
      <c r="E9" s="49">
        <v>0</v>
      </c>
      <c r="F9" s="56">
        <v>1</v>
      </c>
      <c r="G9" s="49">
        <v>0</v>
      </c>
      <c r="H9" s="56">
        <v>56.5</v>
      </c>
      <c r="I9" s="56">
        <v>43.5</v>
      </c>
      <c r="J9" s="56">
        <v>6.7</v>
      </c>
      <c r="K9" s="56">
        <v>18</v>
      </c>
      <c r="L9" s="56">
        <v>42.5</v>
      </c>
      <c r="M9" s="56">
        <v>14</v>
      </c>
      <c r="N9" s="56">
        <v>10.4</v>
      </c>
      <c r="O9" s="56">
        <v>7.8</v>
      </c>
      <c r="P9" s="56">
        <v>0.7</v>
      </c>
      <c r="Q9" s="50">
        <v>1346.9</v>
      </c>
      <c r="R9" s="50">
        <v>1261.1</v>
      </c>
      <c r="S9" s="50">
        <v>1776.1</v>
      </c>
      <c r="T9" s="51">
        <v>4384</v>
      </c>
      <c r="U9" s="56">
        <v>3.2</v>
      </c>
      <c r="V9" s="56">
        <v>14.3</v>
      </c>
      <c r="W9" s="56">
        <v>127.7</v>
      </c>
      <c r="X9" s="56">
        <v>10.4</v>
      </c>
      <c r="Y9" s="56">
        <v>111.1</v>
      </c>
      <c r="Z9" s="56">
        <v>23.7</v>
      </c>
      <c r="AA9" s="56">
        <v>9.3</v>
      </c>
      <c r="AB9" s="56">
        <v>27</v>
      </c>
      <c r="AC9" s="56">
        <v>5.8</v>
      </c>
      <c r="AD9" s="56">
        <v>23.2</v>
      </c>
      <c r="AE9" s="56">
        <v>17.6</v>
      </c>
      <c r="AF9" s="56">
        <v>18.3</v>
      </c>
      <c r="AG9" s="56">
        <v>10.6</v>
      </c>
      <c r="AH9" s="56">
        <v>8.3</v>
      </c>
      <c r="AI9" s="56">
        <v>2.2</v>
      </c>
      <c r="AJ9" s="56">
        <v>69.5</v>
      </c>
      <c r="AK9" s="56">
        <v>35.6</v>
      </c>
      <c r="AL9" s="56">
        <v>3.7</v>
      </c>
      <c r="AM9" s="56">
        <v>59.6</v>
      </c>
      <c r="AN9" s="56">
        <v>1217</v>
      </c>
      <c r="AO9" s="56">
        <v>3501.7</v>
      </c>
      <c r="AP9" s="56">
        <v>4718.7</v>
      </c>
      <c r="AQ9" s="56">
        <v>888.1</v>
      </c>
      <c r="AR9" s="56">
        <v>5843.3</v>
      </c>
      <c r="AS9" s="56">
        <v>6731.5</v>
      </c>
    </row>
    <row r="10" spans="1:45">
      <c r="A10" s="54">
        <v>2020</v>
      </c>
      <c r="B10" s="54">
        <v>340000</v>
      </c>
      <c r="C10" s="55" t="s">
        <v>51</v>
      </c>
      <c r="D10" s="56">
        <v>0</v>
      </c>
      <c r="E10" s="56">
        <v>0</v>
      </c>
      <c r="F10" s="56">
        <v>1</v>
      </c>
      <c r="G10" s="56">
        <v>0</v>
      </c>
      <c r="H10" s="56">
        <v>56.6</v>
      </c>
      <c r="I10" s="56">
        <v>43.4</v>
      </c>
      <c r="J10" s="56">
        <v>6.6</v>
      </c>
      <c r="K10" s="56">
        <v>17.7</v>
      </c>
      <c r="L10" s="56">
        <v>43.7</v>
      </c>
      <c r="M10" s="56">
        <v>13.5</v>
      </c>
      <c r="N10" s="56">
        <v>10.2</v>
      </c>
      <c r="O10" s="56">
        <v>7.6</v>
      </c>
      <c r="P10" s="56">
        <v>0.7</v>
      </c>
      <c r="Q10" s="50">
        <v>815</v>
      </c>
      <c r="R10" s="50">
        <v>1020</v>
      </c>
      <c r="S10" s="50">
        <v>1408</v>
      </c>
      <c r="T10" s="51">
        <v>3243</v>
      </c>
      <c r="U10" s="56">
        <v>3</v>
      </c>
      <c r="V10" s="56">
        <v>13.6</v>
      </c>
      <c r="W10" s="56">
        <v>127.3</v>
      </c>
      <c r="X10" s="56">
        <v>10.1</v>
      </c>
      <c r="Y10" s="56">
        <v>105.8</v>
      </c>
      <c r="Z10" s="56">
        <v>20.8</v>
      </c>
      <c r="AA10" s="56">
        <v>9.7</v>
      </c>
      <c r="AB10" s="56">
        <v>23.5</v>
      </c>
      <c r="AC10" s="56">
        <v>5.8</v>
      </c>
      <c r="AD10" s="56">
        <v>27.5</v>
      </c>
      <c r="AE10" s="56">
        <v>15.6</v>
      </c>
      <c r="AF10" s="56">
        <v>18.6</v>
      </c>
      <c r="AG10" s="56">
        <v>11.1</v>
      </c>
      <c r="AH10" s="56">
        <v>7.1</v>
      </c>
      <c r="AI10" s="56">
        <v>2</v>
      </c>
      <c r="AJ10" s="56">
        <v>66</v>
      </c>
      <c r="AK10" s="56">
        <v>35.1</v>
      </c>
      <c r="AL10" s="56">
        <v>3.5</v>
      </c>
      <c r="AM10" s="56">
        <v>59.6</v>
      </c>
      <c r="AN10" s="56">
        <v>1283.5</v>
      </c>
      <c r="AO10" s="56">
        <v>3490.1</v>
      </c>
      <c r="AP10" s="56">
        <v>4773.6</v>
      </c>
      <c r="AQ10" s="56">
        <v>951.6</v>
      </c>
      <c r="AR10" s="56">
        <v>5753</v>
      </c>
      <c r="AS10" s="56">
        <v>6704.6</v>
      </c>
    </row>
    <row r="11" spans="1:45">
      <c r="A11" s="54">
        <v>2021</v>
      </c>
      <c r="B11" s="54">
        <v>340000</v>
      </c>
      <c r="C11" s="55" t="s">
        <v>51</v>
      </c>
      <c r="D11" s="49">
        <v>0</v>
      </c>
      <c r="E11" s="49">
        <v>0</v>
      </c>
      <c r="F11" s="49">
        <v>1</v>
      </c>
      <c r="G11" s="49">
        <v>0</v>
      </c>
      <c r="H11" s="56">
        <v>58.293</v>
      </c>
      <c r="I11" s="56">
        <v>41.707</v>
      </c>
      <c r="J11" s="56">
        <v>5.275</v>
      </c>
      <c r="K11" s="56">
        <v>18.972</v>
      </c>
      <c r="L11" s="56">
        <v>41.763</v>
      </c>
      <c r="M11" s="56">
        <v>14.338</v>
      </c>
      <c r="N11" s="56">
        <v>10.291</v>
      </c>
      <c r="O11" s="56">
        <v>8.453</v>
      </c>
      <c r="P11" s="56">
        <v>0.907</v>
      </c>
      <c r="Q11" s="50">
        <v>779</v>
      </c>
      <c r="R11" s="50">
        <v>1026</v>
      </c>
      <c r="S11" s="50">
        <v>1410</v>
      </c>
      <c r="T11" s="51">
        <v>3215</v>
      </c>
      <c r="U11" s="56">
        <v>2.7</v>
      </c>
      <c r="V11" s="56">
        <v>13</v>
      </c>
      <c r="W11" s="56">
        <v>131</v>
      </c>
      <c r="X11" s="56">
        <v>10.3</v>
      </c>
      <c r="Y11" s="56">
        <v>98.4</v>
      </c>
      <c r="Z11" s="56">
        <v>20.9</v>
      </c>
      <c r="AA11" s="56">
        <v>10</v>
      </c>
      <c r="AB11" s="56">
        <v>23.8</v>
      </c>
      <c r="AC11" s="56">
        <v>5.4</v>
      </c>
      <c r="AD11" s="56">
        <v>22.2</v>
      </c>
      <c r="AE11" s="56">
        <v>15.1</v>
      </c>
      <c r="AF11" s="56">
        <v>21.4</v>
      </c>
      <c r="AG11" s="56">
        <v>10.7</v>
      </c>
      <c r="AH11" s="56">
        <v>7.1</v>
      </c>
      <c r="AI11" s="56">
        <v>2.4</v>
      </c>
      <c r="AJ11" s="56">
        <v>68.2</v>
      </c>
      <c r="AK11" s="56">
        <v>36.9</v>
      </c>
      <c r="AL11" s="56">
        <v>3.5</v>
      </c>
      <c r="AM11" s="56">
        <v>60.2</v>
      </c>
      <c r="AN11" s="56">
        <v>1384.177</v>
      </c>
      <c r="AO11" s="56">
        <v>3457.605</v>
      </c>
      <c r="AP11" s="56">
        <v>4841.781</v>
      </c>
      <c r="AQ11" s="56">
        <v>1010.844</v>
      </c>
      <c r="AR11" s="56">
        <v>5651.038</v>
      </c>
      <c r="AS11" s="56">
        <v>6661.882</v>
      </c>
    </row>
    <row r="12" spans="1:45">
      <c r="A12" s="54">
        <v>2022</v>
      </c>
      <c r="B12" s="54">
        <v>340000</v>
      </c>
      <c r="C12" s="55" t="s">
        <v>51</v>
      </c>
      <c r="D12" s="56">
        <v>0</v>
      </c>
      <c r="E12" s="56">
        <v>0</v>
      </c>
      <c r="F12" s="56">
        <v>1</v>
      </c>
      <c r="G12" s="56">
        <v>0</v>
      </c>
      <c r="H12" s="56">
        <v>57.941</v>
      </c>
      <c r="I12" s="56">
        <v>42.059</v>
      </c>
      <c r="J12" s="56">
        <v>5.249</v>
      </c>
      <c r="K12" s="56">
        <v>21.64</v>
      </c>
      <c r="L12" s="56">
        <v>40.094</v>
      </c>
      <c r="M12" s="56">
        <v>13.24</v>
      </c>
      <c r="N12" s="56">
        <v>10.047</v>
      </c>
      <c r="O12" s="56">
        <v>8.833</v>
      </c>
      <c r="P12" s="56">
        <v>0.897</v>
      </c>
      <c r="Q12" s="50">
        <v>790</v>
      </c>
      <c r="R12" s="50">
        <v>1020</v>
      </c>
      <c r="S12" s="50">
        <v>1366</v>
      </c>
      <c r="T12" s="51">
        <v>3176</v>
      </c>
      <c r="U12" s="56">
        <v>2.3</v>
      </c>
      <c r="V12" s="56">
        <v>11.9</v>
      </c>
      <c r="W12" s="56">
        <v>141.4</v>
      </c>
      <c r="X12" s="56">
        <v>9.7</v>
      </c>
      <c r="Y12" s="56">
        <v>93.9</v>
      </c>
      <c r="Z12" s="56">
        <v>26.1</v>
      </c>
      <c r="AA12" s="56">
        <v>11.7</v>
      </c>
      <c r="AB12" s="56">
        <v>23.9</v>
      </c>
      <c r="AC12" s="56">
        <v>6.2</v>
      </c>
      <c r="AD12" s="56">
        <v>19.1</v>
      </c>
      <c r="AE12" s="56">
        <v>15.3</v>
      </c>
      <c r="AF12" s="56">
        <v>21.9</v>
      </c>
      <c r="AG12" s="56">
        <v>11.7</v>
      </c>
      <c r="AH12" s="56">
        <v>8.9</v>
      </c>
      <c r="AI12" s="56">
        <v>2.7</v>
      </c>
      <c r="AJ12" s="56">
        <v>68.9</v>
      </c>
      <c r="AK12" s="56">
        <v>37.4</v>
      </c>
      <c r="AL12" s="56">
        <v>3.6</v>
      </c>
      <c r="AM12" s="56">
        <v>60.2</v>
      </c>
      <c r="AN12" s="56">
        <v>1580.923</v>
      </c>
      <c r="AO12" s="56">
        <v>3465.774</v>
      </c>
      <c r="AP12" s="56">
        <v>5046.696</v>
      </c>
      <c r="AQ12" s="56">
        <v>1063.307</v>
      </c>
      <c r="AR12" s="56">
        <v>5443.368</v>
      </c>
      <c r="AS12" s="56">
        <v>6506.675</v>
      </c>
    </row>
    <row r="13" spans="1:45">
      <c r="A13" s="54">
        <v>2013</v>
      </c>
      <c r="B13" s="54">
        <v>110000</v>
      </c>
      <c r="C13" s="55" t="s">
        <v>52</v>
      </c>
      <c r="D13" s="49">
        <v>0</v>
      </c>
      <c r="E13" s="49">
        <v>1</v>
      </c>
      <c r="F13" s="49">
        <v>0</v>
      </c>
      <c r="G13" s="49">
        <v>0</v>
      </c>
      <c r="J13" s="56">
        <v>0.337</v>
      </c>
      <c r="K13" s="56">
        <v>3.746</v>
      </c>
      <c r="L13" s="56">
        <v>22.627</v>
      </c>
      <c r="M13" s="56">
        <v>21.883</v>
      </c>
      <c r="N13" s="56">
        <v>18.289</v>
      </c>
      <c r="O13" s="56">
        <v>26.031</v>
      </c>
      <c r="P13" s="56">
        <v>7.086</v>
      </c>
      <c r="Q13" s="50">
        <v>55.4</v>
      </c>
      <c r="R13" s="50">
        <v>210.9</v>
      </c>
      <c r="S13" s="50">
        <v>874.7</v>
      </c>
      <c r="T13" s="51">
        <v>1141</v>
      </c>
      <c r="U13" s="56">
        <v>3.1</v>
      </c>
      <c r="V13" s="56">
        <v>6.8</v>
      </c>
      <c r="W13" s="56">
        <v>103.5</v>
      </c>
      <c r="X13" s="56">
        <v>8.7</v>
      </c>
      <c r="Y13" s="56">
        <v>43.9</v>
      </c>
      <c r="Z13" s="56">
        <v>59.2</v>
      </c>
      <c r="AA13" s="56">
        <v>58.2</v>
      </c>
      <c r="AB13" s="56">
        <v>68.8</v>
      </c>
      <c r="AC13" s="56">
        <v>31</v>
      </c>
      <c r="AD13" s="56">
        <v>39.1</v>
      </c>
      <c r="AE13" s="56">
        <v>40.6</v>
      </c>
      <c r="AF13" s="56">
        <v>66.2</v>
      </c>
      <c r="AG13" s="56">
        <v>59.7</v>
      </c>
      <c r="AH13" s="56">
        <v>9.8</v>
      </c>
      <c r="AI13" s="56">
        <v>9.1</v>
      </c>
      <c r="AJ13" s="56">
        <v>46.1</v>
      </c>
      <c r="AK13" s="56">
        <v>24.8</v>
      </c>
      <c r="AL13" s="56">
        <v>18.1</v>
      </c>
      <c r="AM13" s="56">
        <v>45.5</v>
      </c>
      <c r="AN13" s="56">
        <v>1311.3</v>
      </c>
      <c r="AO13" s="56">
        <v>180.052</v>
      </c>
      <c r="AP13" s="56">
        <v>1491.352</v>
      </c>
      <c r="AQ13" s="56">
        <v>1354.767</v>
      </c>
      <c r="AR13" s="56">
        <v>160.098</v>
      </c>
      <c r="AS13" s="56">
        <v>1514.865</v>
      </c>
    </row>
    <row r="14" spans="1:45">
      <c r="A14" s="54">
        <v>2014</v>
      </c>
      <c r="B14" s="54">
        <v>110000</v>
      </c>
      <c r="C14" s="55" t="s">
        <v>52</v>
      </c>
      <c r="D14" s="56">
        <v>0</v>
      </c>
      <c r="E14" s="56">
        <v>1</v>
      </c>
      <c r="F14" s="56">
        <v>0</v>
      </c>
      <c r="G14" s="56">
        <v>0</v>
      </c>
      <c r="H14" s="56">
        <v>59.5</v>
      </c>
      <c r="I14" s="56">
        <v>40.5</v>
      </c>
      <c r="J14" s="56">
        <v>0.3</v>
      </c>
      <c r="K14" s="56">
        <v>3</v>
      </c>
      <c r="L14" s="56">
        <v>20.9</v>
      </c>
      <c r="M14" s="56">
        <v>19.9</v>
      </c>
      <c r="N14" s="56">
        <v>18.5</v>
      </c>
      <c r="O14" s="56">
        <v>29.5</v>
      </c>
      <c r="P14" s="56">
        <v>7.9</v>
      </c>
      <c r="Q14" s="50">
        <v>52.41</v>
      </c>
      <c r="R14" s="50">
        <v>209.89</v>
      </c>
      <c r="S14" s="50">
        <v>894.39</v>
      </c>
      <c r="T14" s="51">
        <v>1156.7</v>
      </c>
      <c r="U14" s="56">
        <v>3.2</v>
      </c>
      <c r="V14" s="56">
        <v>6.1</v>
      </c>
      <c r="W14" s="56">
        <v>100</v>
      </c>
      <c r="X14" s="56">
        <v>8.2</v>
      </c>
      <c r="Y14" s="56">
        <v>45.6</v>
      </c>
      <c r="Z14" s="56">
        <v>60.2</v>
      </c>
      <c r="AA14" s="56">
        <v>61.1</v>
      </c>
      <c r="AB14" s="56">
        <v>72.3</v>
      </c>
      <c r="AC14" s="56">
        <v>30.3</v>
      </c>
      <c r="AD14" s="56">
        <v>43.2</v>
      </c>
      <c r="AE14" s="56">
        <v>41</v>
      </c>
      <c r="AF14" s="56">
        <v>70.8</v>
      </c>
      <c r="AG14" s="56">
        <v>59.8</v>
      </c>
      <c r="AH14" s="56">
        <v>9.9</v>
      </c>
      <c r="AI14" s="56">
        <v>8.8</v>
      </c>
      <c r="AJ14" s="56">
        <v>45.8</v>
      </c>
      <c r="AK14" s="56">
        <v>25.4</v>
      </c>
      <c r="AL14" s="56">
        <v>17.4</v>
      </c>
      <c r="AM14" s="56">
        <v>46.7</v>
      </c>
      <c r="AN14" s="56">
        <v>1392.6</v>
      </c>
      <c r="AO14" s="56">
        <v>186.3</v>
      </c>
      <c r="AP14" s="56">
        <v>1578.9</v>
      </c>
      <c r="AQ14" s="56">
        <v>1431.3</v>
      </c>
      <c r="AR14" s="56">
        <v>173</v>
      </c>
      <c r="AS14" s="56">
        <v>1604.3</v>
      </c>
    </row>
    <row r="15" spans="1:45">
      <c r="A15" s="54">
        <v>2015</v>
      </c>
      <c r="B15" s="54">
        <v>110000</v>
      </c>
      <c r="C15" s="55" t="s">
        <v>52</v>
      </c>
      <c r="D15" s="49">
        <v>0</v>
      </c>
      <c r="E15" s="56">
        <v>1</v>
      </c>
      <c r="F15" s="49">
        <v>0</v>
      </c>
      <c r="G15" s="49">
        <v>0</v>
      </c>
      <c r="H15" s="56">
        <v>60.512</v>
      </c>
      <c r="I15" s="56">
        <v>39.488</v>
      </c>
      <c r="J15" s="56">
        <v>0.197</v>
      </c>
      <c r="K15" s="56">
        <v>2.974</v>
      </c>
      <c r="L15" s="56">
        <v>21.48</v>
      </c>
      <c r="M15" s="56">
        <v>13.619</v>
      </c>
      <c r="N15" s="56">
        <v>19.775</v>
      </c>
      <c r="O15" s="56">
        <v>26.761</v>
      </c>
      <c r="P15" s="56">
        <v>6.054</v>
      </c>
      <c r="Q15" s="50">
        <v>50.3</v>
      </c>
      <c r="R15" s="50">
        <v>200.8</v>
      </c>
      <c r="S15" s="50">
        <v>935</v>
      </c>
      <c r="T15" s="51">
        <v>1186.1</v>
      </c>
      <c r="U15" s="56">
        <v>3.9</v>
      </c>
      <c r="V15" s="56">
        <v>5.3</v>
      </c>
      <c r="W15" s="56">
        <v>92.2</v>
      </c>
      <c r="X15" s="56">
        <v>8.2</v>
      </c>
      <c r="Y15" s="56">
        <v>45.3</v>
      </c>
      <c r="Z15" s="56">
        <v>60</v>
      </c>
      <c r="AA15" s="56">
        <v>68</v>
      </c>
      <c r="AB15" s="56">
        <v>77.1</v>
      </c>
      <c r="AC15" s="56">
        <v>29.8</v>
      </c>
      <c r="AD15" s="56">
        <v>47.2</v>
      </c>
      <c r="AE15" s="56">
        <v>42.2</v>
      </c>
      <c r="AF15" s="56">
        <v>80.1</v>
      </c>
      <c r="AG15" s="56">
        <v>59.3</v>
      </c>
      <c r="AH15" s="56">
        <v>10.2</v>
      </c>
      <c r="AI15" s="56">
        <v>9</v>
      </c>
      <c r="AJ15" s="56">
        <v>47.3</v>
      </c>
      <c r="AK15" s="56">
        <v>27.3</v>
      </c>
      <c r="AL15" s="56">
        <v>18.3</v>
      </c>
      <c r="AM15" s="56">
        <v>46.7</v>
      </c>
      <c r="AN15" s="56">
        <v>1424.249</v>
      </c>
      <c r="AO15" s="56">
        <v>187.628</v>
      </c>
      <c r="AP15" s="56">
        <v>1611.876</v>
      </c>
      <c r="AQ15" s="56">
        <v>1475.658</v>
      </c>
      <c r="AR15" s="56">
        <v>180.961</v>
      </c>
      <c r="AS15" s="56">
        <v>1656.619</v>
      </c>
    </row>
    <row r="16" spans="1:45">
      <c r="A16" s="54">
        <v>2016</v>
      </c>
      <c r="B16" s="54">
        <v>110000</v>
      </c>
      <c r="C16" s="55" t="s">
        <v>52</v>
      </c>
      <c r="D16" s="56">
        <v>0</v>
      </c>
      <c r="E16" s="56">
        <v>1</v>
      </c>
      <c r="F16" s="56">
        <v>0</v>
      </c>
      <c r="G16" s="56">
        <v>0</v>
      </c>
      <c r="H16" s="56">
        <v>60.001</v>
      </c>
      <c r="I16" s="56">
        <v>39.999</v>
      </c>
      <c r="J16" s="56">
        <v>0.203</v>
      </c>
      <c r="K16" s="56">
        <v>2.399</v>
      </c>
      <c r="L16" s="56">
        <v>22.005</v>
      </c>
      <c r="M16" s="56">
        <v>12.112</v>
      </c>
      <c r="N16" s="56">
        <v>19.698</v>
      </c>
      <c r="O16" s="56">
        <v>27.567</v>
      </c>
      <c r="P16" s="56">
        <v>6.788</v>
      </c>
      <c r="Q16" s="50">
        <v>49.6</v>
      </c>
      <c r="R16" s="50">
        <v>193</v>
      </c>
      <c r="S16" s="50">
        <v>977.5</v>
      </c>
      <c r="T16" s="51">
        <v>1220.1</v>
      </c>
      <c r="U16" s="56">
        <v>3.7</v>
      </c>
      <c r="V16" s="56">
        <v>4.5</v>
      </c>
      <c r="W16" s="56">
        <v>86.9</v>
      </c>
      <c r="X16" s="56">
        <v>9.1</v>
      </c>
      <c r="Y16" s="56">
        <v>45.9</v>
      </c>
      <c r="Z16" s="56">
        <v>58.2</v>
      </c>
      <c r="AA16" s="56">
        <v>69.2</v>
      </c>
      <c r="AB16" s="56">
        <v>78.4</v>
      </c>
      <c r="AC16" s="56">
        <v>29.4</v>
      </c>
      <c r="AD16" s="56">
        <v>51.4</v>
      </c>
      <c r="AE16" s="56">
        <v>43.9</v>
      </c>
      <c r="AF16" s="56">
        <v>80.1</v>
      </c>
      <c r="AG16" s="56">
        <v>69</v>
      </c>
      <c r="AH16" s="56">
        <v>10.3</v>
      </c>
      <c r="AI16" s="56">
        <v>8.6</v>
      </c>
      <c r="AJ16" s="56">
        <v>48.6</v>
      </c>
      <c r="AK16" s="56">
        <v>28.6</v>
      </c>
      <c r="AL16" s="56">
        <v>18.7</v>
      </c>
      <c r="AM16" s="56">
        <v>47</v>
      </c>
      <c r="AN16" s="56">
        <v>1546.64</v>
      </c>
      <c r="AO16" s="56">
        <v>215.729</v>
      </c>
      <c r="AP16" s="56">
        <v>1762.369</v>
      </c>
      <c r="AQ16" s="56">
        <v>1517.624</v>
      </c>
      <c r="AR16" s="56">
        <v>191.194</v>
      </c>
      <c r="AS16" s="56">
        <v>1708.818</v>
      </c>
    </row>
    <row r="17" spans="1:45">
      <c r="A17" s="54">
        <v>2017</v>
      </c>
      <c r="B17" s="54">
        <v>110000</v>
      </c>
      <c r="C17" s="55" t="s">
        <v>52</v>
      </c>
      <c r="D17" s="49">
        <v>0</v>
      </c>
      <c r="E17" s="49">
        <v>1</v>
      </c>
      <c r="F17" s="49">
        <v>0</v>
      </c>
      <c r="G17" s="49">
        <v>0</v>
      </c>
      <c r="H17" s="56">
        <v>58.755</v>
      </c>
      <c r="I17" s="56">
        <v>41.245</v>
      </c>
      <c r="J17" s="56">
        <v>0.139</v>
      </c>
      <c r="K17" s="56">
        <v>2.341</v>
      </c>
      <c r="L17" s="56">
        <v>20.7</v>
      </c>
      <c r="M17" s="56">
        <v>12.467</v>
      </c>
      <c r="N17" s="56">
        <v>18.232</v>
      </c>
      <c r="O17" s="56">
        <v>30.386</v>
      </c>
      <c r="P17" s="56">
        <v>7.154</v>
      </c>
      <c r="Q17" s="50">
        <v>48.8</v>
      </c>
      <c r="R17" s="50">
        <v>192.81</v>
      </c>
      <c r="S17" s="50">
        <v>1005.2</v>
      </c>
      <c r="T17" s="51">
        <v>1246.75</v>
      </c>
      <c r="U17" s="56">
        <v>3.4</v>
      </c>
      <c r="V17" s="56">
        <v>4.1</v>
      </c>
      <c r="W17" s="56">
        <v>82.4</v>
      </c>
      <c r="X17" s="56">
        <v>9</v>
      </c>
      <c r="Y17" s="56">
        <v>46.6</v>
      </c>
      <c r="Z17" s="56">
        <v>57.7</v>
      </c>
      <c r="AA17" s="56">
        <v>77.4</v>
      </c>
      <c r="AB17" s="56">
        <v>76.8</v>
      </c>
      <c r="AC17" s="56">
        <v>31.1</v>
      </c>
      <c r="AD17" s="56">
        <v>54.4</v>
      </c>
      <c r="AE17" s="56">
        <v>44.3</v>
      </c>
      <c r="AF17" s="56">
        <v>88.3</v>
      </c>
      <c r="AG17" s="56">
        <v>71.2</v>
      </c>
      <c r="AH17" s="56">
        <v>10.7</v>
      </c>
      <c r="AI17" s="56">
        <v>8.6</v>
      </c>
      <c r="AJ17" s="56">
        <v>50.6</v>
      </c>
      <c r="AK17" s="56">
        <v>29.3</v>
      </c>
      <c r="AL17" s="56">
        <v>19</v>
      </c>
      <c r="AM17" s="56">
        <v>47.8</v>
      </c>
      <c r="AN17" s="56">
        <v>1604.49</v>
      </c>
      <c r="AO17" s="56">
        <v>213.119</v>
      </c>
      <c r="AP17" s="56">
        <v>1817.609</v>
      </c>
      <c r="AQ17" s="56">
        <v>1569.161</v>
      </c>
      <c r="AR17" s="56">
        <v>202.241</v>
      </c>
      <c r="AS17" s="56">
        <v>1771.402</v>
      </c>
    </row>
    <row r="18" spans="1:45">
      <c r="A18" s="54">
        <v>2018</v>
      </c>
      <c r="B18" s="54">
        <v>110000</v>
      </c>
      <c r="C18" s="55" t="s">
        <v>52</v>
      </c>
      <c r="D18" s="56">
        <v>0</v>
      </c>
      <c r="E18" s="56">
        <v>1</v>
      </c>
      <c r="F18" s="56">
        <v>0</v>
      </c>
      <c r="G18" s="56">
        <v>0</v>
      </c>
      <c r="H18" s="56">
        <v>58.451</v>
      </c>
      <c r="I18" s="56">
        <v>41.549</v>
      </c>
      <c r="J18" s="56">
        <v>0.211</v>
      </c>
      <c r="K18" s="56">
        <v>2.686</v>
      </c>
      <c r="L18" s="56">
        <v>19.911</v>
      </c>
      <c r="M18" s="56">
        <v>11.806</v>
      </c>
      <c r="N18" s="56">
        <v>17.934</v>
      </c>
      <c r="O18" s="56">
        <v>31.57</v>
      </c>
      <c r="P18" s="56">
        <v>7.927</v>
      </c>
      <c r="Q18" s="50">
        <v>45.4</v>
      </c>
      <c r="R18" s="50">
        <v>182.2</v>
      </c>
      <c r="S18" s="50">
        <v>1010.2</v>
      </c>
      <c r="T18" s="51">
        <v>1237.8</v>
      </c>
      <c r="U18" s="56">
        <v>2.7</v>
      </c>
      <c r="V18" s="56">
        <v>3.6</v>
      </c>
      <c r="W18" s="56">
        <v>74.4</v>
      </c>
      <c r="X18" s="56">
        <v>9.7</v>
      </c>
      <c r="Y18" s="56">
        <v>47.8</v>
      </c>
      <c r="Z18" s="56">
        <v>60.2</v>
      </c>
      <c r="AA18" s="56">
        <v>84</v>
      </c>
      <c r="AB18" s="56">
        <v>73.6</v>
      </c>
      <c r="AC18" s="56">
        <v>31.2</v>
      </c>
      <c r="AD18" s="56">
        <v>54.7</v>
      </c>
      <c r="AE18" s="56">
        <v>47.3</v>
      </c>
      <c r="AF18" s="56">
        <v>81.3</v>
      </c>
      <c r="AG18" s="56">
        <v>71.7</v>
      </c>
      <c r="AH18" s="56">
        <v>12.2</v>
      </c>
      <c r="AI18" s="56">
        <v>11.4</v>
      </c>
      <c r="AJ18" s="56">
        <v>55.8</v>
      </c>
      <c r="AK18" s="56">
        <v>30.5</v>
      </c>
      <c r="AL18" s="56">
        <v>19</v>
      </c>
      <c r="AM18" s="56">
        <v>48.2</v>
      </c>
      <c r="AN18" s="56">
        <v>1685.78</v>
      </c>
      <c r="AO18" s="56">
        <v>208.993</v>
      </c>
      <c r="AP18" s="56">
        <v>1894.773</v>
      </c>
      <c r="AQ18" s="56">
        <v>1628.878</v>
      </c>
      <c r="AR18" s="56">
        <v>389.233</v>
      </c>
      <c r="AS18" s="56">
        <v>2018.111</v>
      </c>
    </row>
    <row r="19" spans="1:45">
      <c r="A19" s="54">
        <v>2019</v>
      </c>
      <c r="B19" s="54">
        <v>110000</v>
      </c>
      <c r="C19" s="55" t="s">
        <v>52</v>
      </c>
      <c r="D19" s="49">
        <v>0</v>
      </c>
      <c r="E19" s="56">
        <v>1</v>
      </c>
      <c r="F19" s="49">
        <v>0</v>
      </c>
      <c r="G19" s="49">
        <v>0</v>
      </c>
      <c r="H19" s="56">
        <v>55</v>
      </c>
      <c r="I19" s="56">
        <v>45</v>
      </c>
      <c r="J19" s="56">
        <v>0.2</v>
      </c>
      <c r="K19" s="56">
        <v>1.9</v>
      </c>
      <c r="L19" s="56">
        <v>17.4</v>
      </c>
      <c r="M19" s="56">
        <v>18.3</v>
      </c>
      <c r="N19" s="56">
        <v>21.5</v>
      </c>
      <c r="O19" s="56">
        <v>31.1</v>
      </c>
      <c r="P19" s="56">
        <v>9.6</v>
      </c>
      <c r="Q19" s="50">
        <v>42.2</v>
      </c>
      <c r="R19" s="50">
        <v>172.5</v>
      </c>
      <c r="S19" s="50">
        <v>1058.1</v>
      </c>
      <c r="T19" s="51">
        <v>1273</v>
      </c>
      <c r="U19" s="56">
        <v>0.4</v>
      </c>
      <c r="V19" s="56">
        <v>3.2</v>
      </c>
      <c r="W19" s="56">
        <v>65.4</v>
      </c>
      <c r="X19" s="56">
        <v>9.6</v>
      </c>
      <c r="Y19" s="56">
        <v>45.1</v>
      </c>
      <c r="Z19" s="56">
        <v>59</v>
      </c>
      <c r="AA19" s="56">
        <v>85.9</v>
      </c>
      <c r="AB19" s="56">
        <v>59.6</v>
      </c>
      <c r="AC19" s="56">
        <v>30.5</v>
      </c>
      <c r="AD19" s="56">
        <v>64.5</v>
      </c>
      <c r="AE19" s="56">
        <v>47.4</v>
      </c>
      <c r="AF19" s="56">
        <v>73.7</v>
      </c>
      <c r="AG19" s="56">
        <v>68.9</v>
      </c>
      <c r="AH19" s="56">
        <v>12.4</v>
      </c>
      <c r="AI19" s="56">
        <v>6.8</v>
      </c>
      <c r="AJ19" s="56">
        <v>57.6</v>
      </c>
      <c r="AK19" s="56">
        <v>32.5</v>
      </c>
      <c r="AL19" s="56">
        <v>18.6</v>
      </c>
      <c r="AM19" s="56">
        <v>50.2</v>
      </c>
      <c r="AN19" s="56">
        <v>1748.2</v>
      </c>
      <c r="AO19" s="56">
        <v>204.7</v>
      </c>
      <c r="AP19" s="56">
        <v>1953</v>
      </c>
      <c r="AQ19" s="56">
        <v>1682.5</v>
      </c>
      <c r="AR19" s="56">
        <v>400.1</v>
      </c>
      <c r="AS19" s="56">
        <v>2082.7</v>
      </c>
    </row>
    <row r="20" spans="1:45">
      <c r="A20" s="54">
        <v>2020</v>
      </c>
      <c r="B20" s="54">
        <v>110000</v>
      </c>
      <c r="C20" s="55" t="s">
        <v>52</v>
      </c>
      <c r="D20" s="56">
        <v>0</v>
      </c>
      <c r="E20" s="56">
        <v>1</v>
      </c>
      <c r="F20" s="56">
        <v>0</v>
      </c>
      <c r="G20" s="56">
        <v>0</v>
      </c>
      <c r="H20" s="56">
        <v>55.3</v>
      </c>
      <c r="I20" s="56">
        <v>44.7</v>
      </c>
      <c r="J20" s="56">
        <v>0.2</v>
      </c>
      <c r="K20" s="56">
        <v>1.9</v>
      </c>
      <c r="L20" s="56">
        <v>18.2</v>
      </c>
      <c r="M20" s="56">
        <v>16.8</v>
      </c>
      <c r="N20" s="56">
        <v>19.2</v>
      </c>
      <c r="O20" s="56">
        <v>33.5</v>
      </c>
      <c r="P20" s="56">
        <v>10.3</v>
      </c>
      <c r="Q20" s="50">
        <v>28</v>
      </c>
      <c r="R20" s="50">
        <v>194</v>
      </c>
      <c r="S20" s="50">
        <v>942</v>
      </c>
      <c r="T20" s="51">
        <v>1164</v>
      </c>
      <c r="U20" s="56">
        <v>1.2</v>
      </c>
      <c r="V20" s="56">
        <v>3.1</v>
      </c>
      <c r="W20" s="56">
        <v>59.8</v>
      </c>
      <c r="X20" s="56">
        <v>9.5</v>
      </c>
      <c r="Y20" s="56">
        <v>45.4</v>
      </c>
      <c r="Z20" s="56">
        <v>56</v>
      </c>
      <c r="AA20" s="56">
        <v>92.3</v>
      </c>
      <c r="AB20" s="56">
        <v>52.9</v>
      </c>
      <c r="AC20" s="56">
        <v>26.8</v>
      </c>
      <c r="AD20" s="56">
        <v>62.8</v>
      </c>
      <c r="AE20" s="56">
        <v>45</v>
      </c>
      <c r="AF20" s="56">
        <v>62.3</v>
      </c>
      <c r="AG20" s="56">
        <v>58.2</v>
      </c>
      <c r="AH20" s="56">
        <v>11.6</v>
      </c>
      <c r="AI20" s="56">
        <v>5.9</v>
      </c>
      <c r="AJ20" s="56">
        <v>58</v>
      </c>
      <c r="AK20" s="56">
        <v>31.6</v>
      </c>
      <c r="AL20" s="56">
        <v>17.9</v>
      </c>
      <c r="AM20" s="56">
        <v>39.7</v>
      </c>
      <c r="AN20" s="56">
        <v>1777.8</v>
      </c>
      <c r="AO20" s="56">
        <v>200.8</v>
      </c>
      <c r="AP20" s="56">
        <v>1978.6</v>
      </c>
      <c r="AQ20" s="56">
        <v>1741.6</v>
      </c>
      <c r="AR20" s="56">
        <v>398.3</v>
      </c>
      <c r="AS20" s="56">
        <v>2139.9</v>
      </c>
    </row>
    <row r="21" spans="1:45">
      <c r="A21" s="54">
        <v>2021</v>
      </c>
      <c r="B21" s="54">
        <v>110000</v>
      </c>
      <c r="C21" s="55" t="s">
        <v>52</v>
      </c>
      <c r="D21" s="49">
        <v>0</v>
      </c>
      <c r="E21" s="49">
        <v>1</v>
      </c>
      <c r="F21" s="49">
        <v>0</v>
      </c>
      <c r="G21" s="49">
        <v>0</v>
      </c>
      <c r="H21" s="56">
        <v>57.569</v>
      </c>
      <c r="I21" s="56">
        <v>42.431</v>
      </c>
      <c r="J21" s="56">
        <v>0.228</v>
      </c>
      <c r="K21" s="56">
        <v>2.612</v>
      </c>
      <c r="L21" s="56">
        <v>18.015</v>
      </c>
      <c r="M21" s="56">
        <v>16.383</v>
      </c>
      <c r="N21" s="56">
        <v>19.036</v>
      </c>
      <c r="O21" s="56">
        <v>31.752</v>
      </c>
      <c r="P21" s="56">
        <v>11.974</v>
      </c>
      <c r="Q21" s="50">
        <v>27</v>
      </c>
      <c r="R21" s="50">
        <v>193</v>
      </c>
      <c r="S21" s="50">
        <v>938</v>
      </c>
      <c r="T21" s="51">
        <v>1158</v>
      </c>
      <c r="U21" s="56">
        <v>1.5</v>
      </c>
      <c r="V21" s="56">
        <v>2.8</v>
      </c>
      <c r="W21" s="56">
        <v>59.8</v>
      </c>
      <c r="X21" s="56">
        <v>9.5</v>
      </c>
      <c r="Y21" s="56">
        <v>46.2</v>
      </c>
      <c r="Z21" s="56">
        <v>54.9</v>
      </c>
      <c r="AA21" s="56">
        <v>101.2</v>
      </c>
      <c r="AB21" s="56">
        <v>52.4</v>
      </c>
      <c r="AC21" s="56">
        <v>28.3</v>
      </c>
      <c r="AD21" s="56">
        <v>61.1</v>
      </c>
      <c r="AE21" s="56">
        <v>46</v>
      </c>
      <c r="AF21" s="56">
        <v>68.5</v>
      </c>
      <c r="AG21" s="56">
        <v>61.2</v>
      </c>
      <c r="AH21" s="56">
        <v>12</v>
      </c>
      <c r="AI21" s="56">
        <v>5.8</v>
      </c>
      <c r="AJ21" s="56">
        <v>52.5</v>
      </c>
      <c r="AK21" s="56">
        <v>32.9</v>
      </c>
      <c r="AL21" s="56">
        <v>19.2</v>
      </c>
      <c r="AM21" s="56">
        <v>43.6</v>
      </c>
      <c r="AN21" s="56">
        <v>1826.758</v>
      </c>
      <c r="AO21" s="56">
        <v>192.425</v>
      </c>
      <c r="AP21" s="56">
        <v>2019.184</v>
      </c>
      <c r="AQ21" s="56">
        <v>1486.048</v>
      </c>
      <c r="AR21" s="56">
        <v>400.849</v>
      </c>
      <c r="AS21" s="56">
        <v>1886.896</v>
      </c>
    </row>
    <row r="22" spans="1:45">
      <c r="A22" s="54">
        <v>2022</v>
      </c>
      <c r="B22" s="54">
        <v>110000</v>
      </c>
      <c r="C22" s="55" t="s">
        <v>52</v>
      </c>
      <c r="D22" s="56">
        <v>0</v>
      </c>
      <c r="E22" s="56">
        <v>1</v>
      </c>
      <c r="F22" s="56">
        <v>0</v>
      </c>
      <c r="G22" s="56">
        <v>0</v>
      </c>
      <c r="H22" s="56">
        <v>57.478</v>
      </c>
      <c r="I22" s="56">
        <v>42.522</v>
      </c>
      <c r="J22" s="56">
        <v>0.225</v>
      </c>
      <c r="K22" s="56">
        <v>3.125</v>
      </c>
      <c r="L22" s="56">
        <v>16.922</v>
      </c>
      <c r="M22" s="56">
        <v>14.387</v>
      </c>
      <c r="N22" s="56">
        <v>18.433</v>
      </c>
      <c r="O22" s="56">
        <v>35.326</v>
      </c>
      <c r="P22" s="56">
        <v>11.582</v>
      </c>
      <c r="Q22" s="50">
        <v>25</v>
      </c>
      <c r="R22" s="50">
        <v>186</v>
      </c>
      <c r="S22" s="50">
        <v>921</v>
      </c>
      <c r="T22" s="51">
        <v>1132</v>
      </c>
      <c r="U22" s="56">
        <v>1.5</v>
      </c>
      <c r="V22" s="56">
        <v>2.6</v>
      </c>
      <c r="W22" s="56">
        <v>57.4</v>
      </c>
      <c r="X22" s="56">
        <v>9.3</v>
      </c>
      <c r="Y22" s="56">
        <v>44.9</v>
      </c>
      <c r="Z22" s="56">
        <v>52.4</v>
      </c>
      <c r="AA22" s="56">
        <v>100.9</v>
      </c>
      <c r="AB22" s="56">
        <v>50.8</v>
      </c>
      <c r="AC22" s="56">
        <v>27.2</v>
      </c>
      <c r="AD22" s="56">
        <v>58.6</v>
      </c>
      <c r="AE22" s="56">
        <v>45.2</v>
      </c>
      <c r="AF22" s="56">
        <v>70.2</v>
      </c>
      <c r="AG22" s="56">
        <v>62.4</v>
      </c>
      <c r="AH22" s="56">
        <v>11.4</v>
      </c>
      <c r="AI22" s="56">
        <v>5.9</v>
      </c>
      <c r="AJ22" s="56">
        <v>49</v>
      </c>
      <c r="AK22" s="56">
        <v>35.5</v>
      </c>
      <c r="AL22" s="56">
        <v>18.6</v>
      </c>
      <c r="AM22" s="56">
        <v>43.3</v>
      </c>
      <c r="AN22" s="56">
        <v>1867.836</v>
      </c>
      <c r="AO22" s="56">
        <v>188.262</v>
      </c>
      <c r="AP22" s="56">
        <v>2056.097</v>
      </c>
      <c r="AQ22" s="56">
        <v>1496.16</v>
      </c>
      <c r="AR22" s="56">
        <v>404.31</v>
      </c>
      <c r="AS22" s="56">
        <v>1900.47</v>
      </c>
    </row>
    <row r="23" spans="1:45">
      <c r="A23" s="54">
        <v>2013</v>
      </c>
      <c r="B23" s="54">
        <v>350000</v>
      </c>
      <c r="C23" s="55" t="s">
        <v>53</v>
      </c>
      <c r="D23" s="49">
        <v>0</v>
      </c>
      <c r="E23" s="49">
        <v>1</v>
      </c>
      <c r="F23" s="49">
        <v>0</v>
      </c>
      <c r="G23" s="49">
        <v>0</v>
      </c>
      <c r="J23" s="56">
        <v>1.811</v>
      </c>
      <c r="K23" s="56">
        <v>21.847</v>
      </c>
      <c r="L23" s="56">
        <v>41.752</v>
      </c>
      <c r="M23" s="56">
        <v>17.529</v>
      </c>
      <c r="N23" s="56">
        <v>9.234</v>
      </c>
      <c r="O23" s="56">
        <v>7.387</v>
      </c>
      <c r="P23" s="56">
        <v>0.44</v>
      </c>
      <c r="Q23" s="50">
        <v>511</v>
      </c>
      <c r="R23" s="50">
        <v>864</v>
      </c>
      <c r="S23" s="50">
        <v>835</v>
      </c>
      <c r="T23" s="51">
        <v>2210</v>
      </c>
      <c r="U23" s="56">
        <v>4.5</v>
      </c>
      <c r="V23" s="56">
        <v>2.8</v>
      </c>
      <c r="W23" s="56">
        <v>252.6</v>
      </c>
      <c r="X23" s="56">
        <v>8.9</v>
      </c>
      <c r="Y23" s="56">
        <v>146.2</v>
      </c>
      <c r="Z23" s="56">
        <v>24.3</v>
      </c>
      <c r="AA23" s="56">
        <v>7</v>
      </c>
      <c r="AB23" s="56">
        <v>26.4</v>
      </c>
      <c r="AC23" s="56">
        <v>9.8</v>
      </c>
      <c r="AD23" s="56">
        <v>15.1</v>
      </c>
      <c r="AE23" s="56">
        <v>12.6</v>
      </c>
      <c r="AF23" s="56">
        <v>11.4</v>
      </c>
      <c r="AG23" s="56">
        <v>7.7</v>
      </c>
      <c r="AH23" s="56">
        <v>5.5</v>
      </c>
      <c r="AI23" s="56">
        <v>1.4</v>
      </c>
      <c r="AJ23" s="56">
        <v>48.2</v>
      </c>
      <c r="AK23" s="56">
        <v>19.8</v>
      </c>
      <c r="AL23" s="56">
        <v>4</v>
      </c>
      <c r="AM23" s="56">
        <v>35.9</v>
      </c>
      <c r="AN23" s="56">
        <v>812.82</v>
      </c>
      <c r="AO23" s="56">
        <v>1467.162</v>
      </c>
      <c r="AP23" s="56">
        <v>2279.983</v>
      </c>
      <c r="AQ23" s="56">
        <v>703.003</v>
      </c>
      <c r="AR23" s="56">
        <v>580.782</v>
      </c>
      <c r="AS23" s="56">
        <v>1283.785</v>
      </c>
    </row>
    <row r="24" spans="1:45">
      <c r="A24" s="54">
        <v>2014</v>
      </c>
      <c r="B24" s="54">
        <v>350000</v>
      </c>
      <c r="C24" s="55" t="s">
        <v>53</v>
      </c>
      <c r="D24" s="56">
        <v>0</v>
      </c>
      <c r="E24" s="56">
        <v>1</v>
      </c>
      <c r="F24" s="56">
        <v>0</v>
      </c>
      <c r="G24" s="56">
        <v>0</v>
      </c>
      <c r="H24" s="56">
        <v>58.4</v>
      </c>
      <c r="I24" s="56">
        <v>41.6</v>
      </c>
      <c r="J24" s="56">
        <v>1.5</v>
      </c>
      <c r="K24" s="56">
        <v>20.1</v>
      </c>
      <c r="L24" s="56">
        <v>42.7</v>
      </c>
      <c r="M24" s="56">
        <v>17.7</v>
      </c>
      <c r="N24" s="56">
        <v>9.9</v>
      </c>
      <c r="O24" s="56">
        <v>7.6</v>
      </c>
      <c r="P24" s="56">
        <v>0.5</v>
      </c>
      <c r="Q24" s="50">
        <v>493</v>
      </c>
      <c r="R24" s="50">
        <v>848</v>
      </c>
      <c r="S24" s="50">
        <v>879</v>
      </c>
      <c r="T24" s="51">
        <v>2219</v>
      </c>
      <c r="U24" s="56">
        <v>4.5</v>
      </c>
      <c r="V24" s="56">
        <v>2.5</v>
      </c>
      <c r="W24" s="56">
        <v>245.3</v>
      </c>
      <c r="X24" s="56">
        <v>9.1</v>
      </c>
      <c r="Y24" s="56">
        <v>154.8</v>
      </c>
      <c r="Z24" s="56">
        <v>24</v>
      </c>
      <c r="AA24" s="56">
        <v>7.1</v>
      </c>
      <c r="AB24" s="56">
        <v>27</v>
      </c>
      <c r="AC24" s="56">
        <v>9.9</v>
      </c>
      <c r="AD24" s="56">
        <v>16.5</v>
      </c>
      <c r="AE24" s="56">
        <v>14.3</v>
      </c>
      <c r="AF24" s="56">
        <v>11.7</v>
      </c>
      <c r="AG24" s="56">
        <v>8.5</v>
      </c>
      <c r="AH24" s="56">
        <v>5.8</v>
      </c>
      <c r="AI24" s="56">
        <v>1.5</v>
      </c>
      <c r="AJ24" s="56">
        <v>50.1</v>
      </c>
      <c r="AK24" s="56">
        <v>21</v>
      </c>
      <c r="AL24" s="56">
        <v>4</v>
      </c>
      <c r="AM24" s="56">
        <v>37</v>
      </c>
      <c r="AN24" s="56">
        <v>848.3</v>
      </c>
      <c r="AO24" s="56">
        <v>1473</v>
      </c>
      <c r="AP24" s="56">
        <v>2321.3</v>
      </c>
      <c r="AQ24" s="56">
        <v>737.3</v>
      </c>
      <c r="AR24" s="56">
        <v>555.7</v>
      </c>
      <c r="AS24" s="56">
        <v>1293</v>
      </c>
    </row>
    <row r="25" spans="1:45">
      <c r="A25" s="54">
        <v>2015</v>
      </c>
      <c r="B25" s="54">
        <v>350000</v>
      </c>
      <c r="C25" s="55" t="s">
        <v>53</v>
      </c>
      <c r="D25" s="49">
        <v>0</v>
      </c>
      <c r="E25" s="56">
        <v>1</v>
      </c>
      <c r="F25" s="49">
        <v>0</v>
      </c>
      <c r="G25" s="49">
        <v>0</v>
      </c>
      <c r="H25" s="56">
        <v>58.759</v>
      </c>
      <c r="I25" s="56">
        <v>41.241</v>
      </c>
      <c r="J25" s="56">
        <v>2.971</v>
      </c>
      <c r="K25" s="56">
        <v>20.306</v>
      </c>
      <c r="L25" s="56">
        <v>40.967</v>
      </c>
      <c r="M25" s="56">
        <v>11.226</v>
      </c>
      <c r="N25" s="56">
        <v>8.8</v>
      </c>
      <c r="O25" s="56">
        <v>8.452</v>
      </c>
      <c r="P25" s="56">
        <v>0.6</v>
      </c>
      <c r="Q25" s="50">
        <v>480</v>
      </c>
      <c r="R25" s="50">
        <v>837</v>
      </c>
      <c r="S25" s="50">
        <v>938</v>
      </c>
      <c r="T25" s="51">
        <v>2255</v>
      </c>
      <c r="U25" s="56">
        <v>4.5</v>
      </c>
      <c r="V25" s="56">
        <v>2.5</v>
      </c>
      <c r="W25" s="56">
        <v>235.5</v>
      </c>
      <c r="X25" s="56">
        <v>9</v>
      </c>
      <c r="Y25" s="56">
        <v>162.9</v>
      </c>
      <c r="Z25" s="56">
        <v>24.5</v>
      </c>
      <c r="AA25" s="56">
        <v>9</v>
      </c>
      <c r="AB25" s="56">
        <v>28.4</v>
      </c>
      <c r="AC25" s="56">
        <v>9.8</v>
      </c>
      <c r="AD25" s="56">
        <v>17.9</v>
      </c>
      <c r="AE25" s="56">
        <v>15.3</v>
      </c>
      <c r="AF25" s="56">
        <v>12.6</v>
      </c>
      <c r="AG25" s="56">
        <v>8.6</v>
      </c>
      <c r="AH25" s="56">
        <v>5.5</v>
      </c>
      <c r="AI25" s="56">
        <v>1.8</v>
      </c>
      <c r="AJ25" s="56">
        <v>50.3</v>
      </c>
      <c r="AK25" s="56">
        <v>21.6</v>
      </c>
      <c r="AL25" s="56">
        <v>4.3</v>
      </c>
      <c r="AM25" s="56">
        <v>39.2</v>
      </c>
      <c r="AN25" s="56">
        <v>883.666</v>
      </c>
      <c r="AO25" s="56">
        <v>1480.413</v>
      </c>
      <c r="AP25" s="56">
        <v>2364.079</v>
      </c>
      <c r="AQ25" s="56">
        <v>759.377</v>
      </c>
      <c r="AR25" s="56">
        <v>541.861</v>
      </c>
      <c r="AS25" s="56">
        <v>1301.238</v>
      </c>
    </row>
    <row r="26" spans="1:45">
      <c r="A26" s="54">
        <v>2016</v>
      </c>
      <c r="B26" s="54">
        <v>350000</v>
      </c>
      <c r="C26" s="55" t="s">
        <v>53</v>
      </c>
      <c r="D26" s="56">
        <v>0</v>
      </c>
      <c r="E26" s="56">
        <v>1</v>
      </c>
      <c r="F26" s="56">
        <v>0</v>
      </c>
      <c r="G26" s="56">
        <v>0</v>
      </c>
      <c r="H26" s="56">
        <v>59.291</v>
      </c>
      <c r="I26" s="56">
        <v>40.709</v>
      </c>
      <c r="J26" s="56">
        <v>2.721</v>
      </c>
      <c r="K26" s="56">
        <v>21.552</v>
      </c>
      <c r="L26" s="56">
        <v>38.805</v>
      </c>
      <c r="M26" s="56">
        <v>11.341</v>
      </c>
      <c r="N26" s="56">
        <v>9.415</v>
      </c>
      <c r="O26" s="56">
        <v>8.747</v>
      </c>
      <c r="P26" s="56">
        <v>0.648</v>
      </c>
      <c r="Q26" s="50">
        <v>450</v>
      </c>
      <c r="R26" s="50">
        <v>821</v>
      </c>
      <c r="S26" s="50">
        <v>978</v>
      </c>
      <c r="T26" s="51">
        <v>2248</v>
      </c>
      <c r="U26" s="56">
        <v>4.3</v>
      </c>
      <c r="V26" s="56">
        <v>2.1</v>
      </c>
      <c r="W26" s="56">
        <v>228.3</v>
      </c>
      <c r="X26" s="56">
        <v>9.1</v>
      </c>
      <c r="Y26" s="56">
        <v>168.5</v>
      </c>
      <c r="Z26" s="56">
        <v>23.4</v>
      </c>
      <c r="AA26" s="56">
        <v>9.1</v>
      </c>
      <c r="AB26" s="56">
        <v>27.8</v>
      </c>
      <c r="AC26" s="56">
        <v>9.8</v>
      </c>
      <c r="AD26" s="56">
        <v>19.6</v>
      </c>
      <c r="AE26" s="56">
        <v>15.6</v>
      </c>
      <c r="AF26" s="56">
        <v>14.5</v>
      </c>
      <c r="AG26" s="56">
        <v>8.7</v>
      </c>
      <c r="AH26" s="56">
        <v>5.6</v>
      </c>
      <c r="AI26" s="56">
        <v>2.7</v>
      </c>
      <c r="AJ26" s="56">
        <v>52.1</v>
      </c>
      <c r="AK26" s="56">
        <v>22.8</v>
      </c>
      <c r="AL26" s="56">
        <v>4.2</v>
      </c>
      <c r="AM26" s="56">
        <v>40.5</v>
      </c>
      <c r="AN26" s="56">
        <v>979.765</v>
      </c>
      <c r="AO26" s="56">
        <v>1489.105</v>
      </c>
      <c r="AP26" s="56">
        <v>2468.87</v>
      </c>
      <c r="AQ26" s="56">
        <v>792.119</v>
      </c>
      <c r="AR26" s="56">
        <v>505.78</v>
      </c>
      <c r="AS26" s="56">
        <v>1297.899</v>
      </c>
    </row>
    <row r="27" spans="1:45">
      <c r="A27" s="54">
        <v>2017</v>
      </c>
      <c r="B27" s="54">
        <v>350000</v>
      </c>
      <c r="C27" s="55" t="s">
        <v>53</v>
      </c>
      <c r="D27" s="49">
        <v>0</v>
      </c>
      <c r="E27" s="49">
        <v>1</v>
      </c>
      <c r="F27" s="49">
        <v>0</v>
      </c>
      <c r="G27" s="49">
        <v>0</v>
      </c>
      <c r="H27" s="56">
        <v>59.146</v>
      </c>
      <c r="I27" s="56">
        <v>40.854</v>
      </c>
      <c r="J27" s="56">
        <v>2.288</v>
      </c>
      <c r="K27" s="56">
        <v>19.33</v>
      </c>
      <c r="L27" s="56">
        <v>40.132</v>
      </c>
      <c r="M27" s="56">
        <v>11.954</v>
      </c>
      <c r="N27" s="56">
        <v>8.97</v>
      </c>
      <c r="O27" s="56">
        <v>9.236</v>
      </c>
      <c r="P27" s="56">
        <v>0.647</v>
      </c>
      <c r="Q27" s="50">
        <v>418</v>
      </c>
      <c r="R27" s="50">
        <v>794</v>
      </c>
      <c r="S27" s="50">
        <v>1024</v>
      </c>
      <c r="T27" s="51">
        <v>2236</v>
      </c>
      <c r="U27" s="56">
        <v>4.2</v>
      </c>
      <c r="V27" s="56">
        <v>2</v>
      </c>
      <c r="W27" s="56">
        <v>213.1</v>
      </c>
      <c r="X27" s="56">
        <v>8.7</v>
      </c>
      <c r="Y27" s="56">
        <v>176.7</v>
      </c>
      <c r="Z27" s="56">
        <v>23.9</v>
      </c>
      <c r="AA27" s="56">
        <v>10.8</v>
      </c>
      <c r="AB27" s="56">
        <v>28.7</v>
      </c>
      <c r="AC27" s="56">
        <v>10</v>
      </c>
      <c r="AD27" s="56">
        <v>20.8</v>
      </c>
      <c r="AE27" s="56">
        <v>15.6</v>
      </c>
      <c r="AF27" s="56">
        <v>16.3</v>
      </c>
      <c r="AG27" s="56">
        <v>7.8</v>
      </c>
      <c r="AH27" s="56">
        <v>5.8</v>
      </c>
      <c r="AI27" s="56">
        <v>3.8</v>
      </c>
      <c r="AJ27" s="56">
        <v>53.1</v>
      </c>
      <c r="AK27" s="56">
        <v>24</v>
      </c>
      <c r="AL27" s="56">
        <v>4.3</v>
      </c>
      <c r="AM27" s="56">
        <v>42.7</v>
      </c>
      <c r="AN27" s="56">
        <v>1022.074</v>
      </c>
      <c r="AO27" s="56">
        <v>1493.74</v>
      </c>
      <c r="AP27" s="56">
        <v>2515.814</v>
      </c>
      <c r="AQ27" s="56">
        <v>819.342</v>
      </c>
      <c r="AR27" s="56">
        <v>2949.268</v>
      </c>
      <c r="AS27" s="56">
        <v>3768.61</v>
      </c>
    </row>
    <row r="28" spans="1:45">
      <c r="A28" s="54">
        <v>2018</v>
      </c>
      <c r="B28" s="54">
        <v>350000</v>
      </c>
      <c r="C28" s="55" t="s">
        <v>53</v>
      </c>
      <c r="D28" s="56">
        <v>0</v>
      </c>
      <c r="E28" s="56">
        <v>1</v>
      </c>
      <c r="F28" s="56">
        <v>0</v>
      </c>
      <c r="G28" s="56">
        <v>0</v>
      </c>
      <c r="H28" s="56">
        <v>57.792</v>
      </c>
      <c r="I28" s="56">
        <v>42.208</v>
      </c>
      <c r="J28" s="56">
        <v>2.266</v>
      </c>
      <c r="K28" s="56">
        <v>19.022</v>
      </c>
      <c r="L28" s="56">
        <v>39.582</v>
      </c>
      <c r="M28" s="56">
        <v>11.849</v>
      </c>
      <c r="N28" s="56">
        <v>9.193</v>
      </c>
      <c r="O28" s="56">
        <v>10.463</v>
      </c>
      <c r="P28" s="56">
        <v>0.621</v>
      </c>
      <c r="Q28" s="50">
        <v>400</v>
      </c>
      <c r="R28" s="50">
        <v>782</v>
      </c>
      <c r="S28" s="50">
        <v>1040</v>
      </c>
      <c r="T28" s="51">
        <v>2222</v>
      </c>
      <c r="U28" s="56">
        <v>3.6</v>
      </c>
      <c r="V28" s="56">
        <v>1.3</v>
      </c>
      <c r="W28" s="56">
        <v>213.6</v>
      </c>
      <c r="X28" s="56">
        <v>11.5</v>
      </c>
      <c r="Y28" s="56">
        <v>197</v>
      </c>
      <c r="Z28" s="56">
        <v>23</v>
      </c>
      <c r="AA28" s="56">
        <v>12.3</v>
      </c>
      <c r="AB28" s="56">
        <v>29.5</v>
      </c>
      <c r="AC28" s="56">
        <v>11.1</v>
      </c>
      <c r="AD28" s="56">
        <v>20</v>
      </c>
      <c r="AE28" s="56">
        <v>17.1</v>
      </c>
      <c r="AF28" s="56">
        <v>18.6</v>
      </c>
      <c r="AG28" s="56">
        <v>7.7</v>
      </c>
      <c r="AH28" s="56">
        <v>5.7</v>
      </c>
      <c r="AI28" s="56">
        <v>3.1</v>
      </c>
      <c r="AJ28" s="56">
        <v>54.7</v>
      </c>
      <c r="AK28" s="56">
        <v>23.8</v>
      </c>
      <c r="AL28" s="56">
        <v>4.3</v>
      </c>
      <c r="AM28" s="56">
        <v>47.2</v>
      </c>
      <c r="AN28" s="56">
        <v>1074.269</v>
      </c>
      <c r="AO28" s="56">
        <v>1525.637</v>
      </c>
      <c r="AP28" s="56">
        <v>2599.906</v>
      </c>
      <c r="AQ28" s="56">
        <v>853.063</v>
      </c>
      <c r="AR28" s="56">
        <v>2951.675</v>
      </c>
      <c r="AS28" s="56">
        <v>3804.738</v>
      </c>
    </row>
    <row r="29" spans="1:45">
      <c r="A29" s="54">
        <v>2019</v>
      </c>
      <c r="B29" s="54">
        <v>350000</v>
      </c>
      <c r="C29" s="55" t="s">
        <v>53</v>
      </c>
      <c r="D29" s="49">
        <v>0</v>
      </c>
      <c r="E29" s="56">
        <v>1</v>
      </c>
      <c r="F29" s="49">
        <v>0</v>
      </c>
      <c r="G29" s="49">
        <v>0</v>
      </c>
      <c r="H29" s="56">
        <v>59.1</v>
      </c>
      <c r="I29" s="56">
        <v>40.9</v>
      </c>
      <c r="J29" s="56">
        <v>2.2</v>
      </c>
      <c r="K29" s="56">
        <v>17.4</v>
      </c>
      <c r="L29" s="56">
        <v>39.8</v>
      </c>
      <c r="M29" s="56">
        <v>19</v>
      </c>
      <c r="N29" s="56">
        <v>10.6</v>
      </c>
      <c r="O29" s="56">
        <v>10.2</v>
      </c>
      <c r="P29" s="56">
        <v>0.8</v>
      </c>
      <c r="Q29" s="50">
        <v>369</v>
      </c>
      <c r="R29" s="50">
        <v>745</v>
      </c>
      <c r="S29" s="50">
        <v>1096</v>
      </c>
      <c r="T29" s="51">
        <v>2210</v>
      </c>
      <c r="U29" s="56">
        <v>1.5</v>
      </c>
      <c r="V29" s="56">
        <v>1.4</v>
      </c>
      <c r="W29" s="56">
        <v>170.8</v>
      </c>
      <c r="X29" s="56">
        <v>11.4</v>
      </c>
      <c r="Y29" s="56">
        <v>163.7</v>
      </c>
      <c r="Z29" s="56">
        <v>22.9</v>
      </c>
      <c r="AA29" s="56">
        <v>10.8</v>
      </c>
      <c r="AB29" s="56">
        <v>24.7</v>
      </c>
      <c r="AC29" s="56">
        <v>9.2</v>
      </c>
      <c r="AD29" s="56">
        <v>25.2</v>
      </c>
      <c r="AE29" s="56">
        <v>17.4</v>
      </c>
      <c r="AF29" s="56">
        <v>19.9</v>
      </c>
      <c r="AG29" s="56">
        <v>7.9</v>
      </c>
      <c r="AH29" s="56">
        <v>6.9</v>
      </c>
      <c r="AI29" s="56">
        <v>3.5</v>
      </c>
      <c r="AJ29" s="56">
        <v>60.7</v>
      </c>
      <c r="AK29" s="56">
        <v>25.8</v>
      </c>
      <c r="AL29" s="56">
        <v>4.2</v>
      </c>
      <c r="AM29" s="56">
        <v>51.9</v>
      </c>
      <c r="AN29" s="56">
        <v>1137.3</v>
      </c>
      <c r="AO29" s="56">
        <v>1554.1</v>
      </c>
      <c r="AP29" s="56">
        <v>2691.5</v>
      </c>
      <c r="AQ29" s="56">
        <v>841.4</v>
      </c>
      <c r="AR29" s="56">
        <v>2946.7</v>
      </c>
      <c r="AS29" s="56">
        <v>3788.1</v>
      </c>
    </row>
    <row r="30" spans="1:45">
      <c r="A30" s="54">
        <v>2020</v>
      </c>
      <c r="B30" s="54">
        <v>350000</v>
      </c>
      <c r="C30" s="55" t="s">
        <v>53</v>
      </c>
      <c r="D30" s="56">
        <v>0</v>
      </c>
      <c r="E30" s="56">
        <v>1</v>
      </c>
      <c r="F30" s="56">
        <v>0</v>
      </c>
      <c r="G30" s="56">
        <v>0</v>
      </c>
      <c r="H30" s="56">
        <v>58.3</v>
      </c>
      <c r="I30" s="56">
        <v>41.7</v>
      </c>
      <c r="J30" s="56">
        <v>2</v>
      </c>
      <c r="K30" s="56">
        <v>17.6</v>
      </c>
      <c r="L30" s="56">
        <v>40.6</v>
      </c>
      <c r="M30" s="56">
        <v>17.5</v>
      </c>
      <c r="N30" s="56">
        <v>10.8</v>
      </c>
      <c r="O30" s="56">
        <v>10.8</v>
      </c>
      <c r="P30" s="56">
        <v>0.7</v>
      </c>
      <c r="Q30" s="50">
        <v>323</v>
      </c>
      <c r="R30" s="50">
        <v>719</v>
      </c>
      <c r="S30" s="50">
        <v>1164</v>
      </c>
      <c r="T30" s="51">
        <v>2206</v>
      </c>
      <c r="U30" s="56">
        <v>1.1</v>
      </c>
      <c r="V30" s="56">
        <v>1.6</v>
      </c>
      <c r="W30" s="56">
        <v>162.1</v>
      </c>
      <c r="X30" s="56">
        <v>10.9</v>
      </c>
      <c r="Y30" s="56">
        <v>136.9</v>
      </c>
      <c r="Z30" s="56">
        <v>22.8</v>
      </c>
      <c r="AA30" s="56">
        <v>10.3</v>
      </c>
      <c r="AB30" s="56">
        <v>24.1</v>
      </c>
      <c r="AC30" s="56">
        <v>8.8</v>
      </c>
      <c r="AD30" s="56">
        <v>26.6</v>
      </c>
      <c r="AE30" s="56">
        <v>16.9</v>
      </c>
      <c r="AF30" s="56">
        <v>18.3</v>
      </c>
      <c r="AG30" s="56">
        <v>8.4</v>
      </c>
      <c r="AH30" s="56">
        <v>7.4</v>
      </c>
      <c r="AI30" s="56">
        <v>3.6</v>
      </c>
      <c r="AJ30" s="56">
        <v>63.5</v>
      </c>
      <c r="AK30" s="56">
        <v>26.5</v>
      </c>
      <c r="AL30" s="56">
        <v>4.2</v>
      </c>
      <c r="AM30" s="56">
        <v>51.8</v>
      </c>
      <c r="AN30" s="56">
        <v>1200.6</v>
      </c>
      <c r="AO30" s="56">
        <v>1588.2</v>
      </c>
      <c r="AP30" s="56">
        <v>2788.7</v>
      </c>
      <c r="AQ30" s="56">
        <v>893.1</v>
      </c>
      <c r="AR30" s="56">
        <v>2947.3</v>
      </c>
      <c r="AS30" s="56">
        <v>3840.5</v>
      </c>
    </row>
    <row r="31" spans="1:45">
      <c r="A31" s="54">
        <v>2021</v>
      </c>
      <c r="B31" s="54">
        <v>350000</v>
      </c>
      <c r="C31" s="55" t="s">
        <v>53</v>
      </c>
      <c r="D31" s="49">
        <v>0</v>
      </c>
      <c r="E31" s="49">
        <v>1</v>
      </c>
      <c r="F31" s="49">
        <v>0</v>
      </c>
      <c r="G31" s="49">
        <v>0</v>
      </c>
      <c r="H31" s="56">
        <v>58.487</v>
      </c>
      <c r="I31" s="56">
        <v>41.513</v>
      </c>
      <c r="J31" s="56">
        <v>1.867</v>
      </c>
      <c r="K31" s="56">
        <v>16.874</v>
      </c>
      <c r="L31" s="56">
        <v>39.105</v>
      </c>
      <c r="M31" s="56">
        <v>18.366</v>
      </c>
      <c r="N31" s="56">
        <v>11.079</v>
      </c>
      <c r="O31" s="56">
        <v>11.712</v>
      </c>
      <c r="P31" s="56">
        <v>0.997</v>
      </c>
      <c r="Q31" s="50">
        <v>301</v>
      </c>
      <c r="R31" s="50">
        <v>729</v>
      </c>
      <c r="S31" s="50">
        <v>1167</v>
      </c>
      <c r="T31" s="51">
        <v>2197</v>
      </c>
      <c r="U31" s="56">
        <v>1.3</v>
      </c>
      <c r="V31" s="56">
        <v>1.6</v>
      </c>
      <c r="W31" s="56">
        <v>160.4</v>
      </c>
      <c r="X31" s="56">
        <v>10.9</v>
      </c>
      <c r="Y31" s="56">
        <v>112.8</v>
      </c>
      <c r="Z31" s="56">
        <v>21.6</v>
      </c>
      <c r="AA31" s="56">
        <v>10.7</v>
      </c>
      <c r="AB31" s="56">
        <v>24.5</v>
      </c>
      <c r="AC31" s="56">
        <v>9.4</v>
      </c>
      <c r="AD31" s="56">
        <v>24</v>
      </c>
      <c r="AE31" s="56">
        <v>16.2</v>
      </c>
      <c r="AF31" s="56">
        <v>18.7</v>
      </c>
      <c r="AG31" s="56">
        <v>8.3</v>
      </c>
      <c r="AH31" s="56">
        <v>7.2</v>
      </c>
      <c r="AI31" s="56">
        <v>3.7</v>
      </c>
      <c r="AJ31" s="56">
        <v>64</v>
      </c>
      <c r="AK31" s="56">
        <v>27.9</v>
      </c>
      <c r="AL31" s="56">
        <v>4</v>
      </c>
      <c r="AM31" s="56">
        <v>51.8</v>
      </c>
      <c r="AN31" s="56">
        <v>1329.955</v>
      </c>
      <c r="AO31" s="56">
        <v>1597.427</v>
      </c>
      <c r="AP31" s="56">
        <v>2927.382</v>
      </c>
      <c r="AQ31" s="56">
        <v>933.046</v>
      </c>
      <c r="AR31" s="56">
        <v>2939.018</v>
      </c>
      <c r="AS31" s="56">
        <v>3872.064</v>
      </c>
    </row>
    <row r="32" spans="1:45">
      <c r="A32" s="54">
        <v>2022</v>
      </c>
      <c r="B32" s="54">
        <v>350000</v>
      </c>
      <c r="C32" s="55" t="s">
        <v>53</v>
      </c>
      <c r="D32" s="56">
        <v>0</v>
      </c>
      <c r="E32" s="56">
        <v>1</v>
      </c>
      <c r="F32" s="56">
        <v>0</v>
      </c>
      <c r="G32" s="56">
        <v>0</v>
      </c>
      <c r="H32" s="56">
        <v>58.298</v>
      </c>
      <c r="I32" s="56">
        <v>41.702</v>
      </c>
      <c r="J32" s="56">
        <v>2.063</v>
      </c>
      <c r="K32" s="56">
        <v>19.609</v>
      </c>
      <c r="L32" s="56">
        <v>37.865</v>
      </c>
      <c r="M32" s="56">
        <v>16.113</v>
      </c>
      <c r="N32" s="56">
        <v>11.276</v>
      </c>
      <c r="O32" s="56">
        <v>12.07</v>
      </c>
      <c r="P32" s="56">
        <v>1.005</v>
      </c>
      <c r="Q32" s="50">
        <v>299</v>
      </c>
      <c r="R32" s="50">
        <v>721</v>
      </c>
      <c r="S32" s="50">
        <v>1154</v>
      </c>
      <c r="T32" s="51">
        <v>2174</v>
      </c>
      <c r="U32" s="56">
        <v>1.1</v>
      </c>
      <c r="V32" s="56">
        <v>1.4</v>
      </c>
      <c r="W32" s="56">
        <v>150.5</v>
      </c>
      <c r="X32" s="56">
        <v>11</v>
      </c>
      <c r="Y32" s="56">
        <v>110.1</v>
      </c>
      <c r="Z32" s="56">
        <v>21.4</v>
      </c>
      <c r="AA32" s="56">
        <v>10.4</v>
      </c>
      <c r="AB32" s="56">
        <v>24.1</v>
      </c>
      <c r="AC32" s="56">
        <v>9.3</v>
      </c>
      <c r="AD32" s="56">
        <v>20.5</v>
      </c>
      <c r="AE32" s="56">
        <v>16.3</v>
      </c>
      <c r="AF32" s="56">
        <v>18.5</v>
      </c>
      <c r="AG32" s="56">
        <v>8</v>
      </c>
      <c r="AH32" s="56">
        <v>7</v>
      </c>
      <c r="AI32" s="56">
        <v>3.8</v>
      </c>
      <c r="AJ32" s="56">
        <v>63</v>
      </c>
      <c r="AK32" s="56">
        <v>27.4</v>
      </c>
      <c r="AL32" s="56">
        <v>3.8</v>
      </c>
      <c r="AM32" s="56">
        <v>51.7</v>
      </c>
      <c r="AN32" s="56">
        <v>1673.829</v>
      </c>
      <c r="AO32" s="56">
        <v>1598.768</v>
      </c>
      <c r="AP32" s="56">
        <v>3272.596</v>
      </c>
      <c r="AQ32" s="56">
        <v>972.196</v>
      </c>
      <c r="AR32" s="56">
        <v>2891.297</v>
      </c>
      <c r="AS32" s="56">
        <v>3863.494</v>
      </c>
    </row>
    <row r="33" spans="1:45">
      <c r="A33" s="54">
        <v>2013</v>
      </c>
      <c r="B33" s="54">
        <v>620000</v>
      </c>
      <c r="C33" s="55" t="s">
        <v>54</v>
      </c>
      <c r="D33" s="49">
        <v>1</v>
      </c>
      <c r="E33" s="49">
        <v>0</v>
      </c>
      <c r="F33" s="49">
        <v>0</v>
      </c>
      <c r="G33" s="49">
        <v>0</v>
      </c>
      <c r="J33" s="56">
        <v>5.949</v>
      </c>
      <c r="K33" s="56">
        <v>24.836</v>
      </c>
      <c r="L33" s="56">
        <v>40.65</v>
      </c>
      <c r="M33" s="56">
        <v>14.776</v>
      </c>
      <c r="N33" s="56">
        <v>8.028</v>
      </c>
      <c r="O33" s="56">
        <v>5.392</v>
      </c>
      <c r="P33" s="56">
        <v>0.369</v>
      </c>
      <c r="Q33" s="50">
        <v>801.20848</v>
      </c>
      <c r="R33" s="50">
        <v>216.99808</v>
      </c>
      <c r="S33" s="50">
        <v>333.79344</v>
      </c>
      <c r="T33" s="51">
        <v>1352</v>
      </c>
      <c r="U33" s="56">
        <v>5.2</v>
      </c>
      <c r="V33" s="56">
        <v>10.6</v>
      </c>
      <c r="W33" s="56">
        <v>39.2</v>
      </c>
      <c r="X33" s="56">
        <v>10</v>
      </c>
      <c r="Y33" s="56">
        <v>46.1</v>
      </c>
      <c r="Z33" s="56">
        <v>12.7</v>
      </c>
      <c r="AA33" s="56">
        <v>3.1</v>
      </c>
      <c r="AB33" s="56">
        <v>7.7</v>
      </c>
      <c r="AC33" s="56">
        <v>3.5</v>
      </c>
      <c r="AD33" s="56">
        <v>7.2</v>
      </c>
      <c r="AE33" s="56">
        <v>3.9</v>
      </c>
      <c r="AF33" s="56">
        <v>2.7</v>
      </c>
      <c r="AG33" s="56">
        <v>6.9</v>
      </c>
      <c r="AH33" s="56">
        <v>5.4</v>
      </c>
      <c r="AI33" s="56">
        <v>0.3</v>
      </c>
      <c r="AJ33" s="56">
        <v>36.5</v>
      </c>
      <c r="AK33" s="56">
        <v>12.8</v>
      </c>
      <c r="AL33" s="56">
        <v>2.5</v>
      </c>
      <c r="AM33" s="56">
        <v>40.4</v>
      </c>
      <c r="AN33" s="56">
        <v>288.398</v>
      </c>
      <c r="AO33" s="56">
        <v>1238.492</v>
      </c>
      <c r="AP33" s="56">
        <v>1526.89</v>
      </c>
      <c r="AQ33" s="56">
        <v>297.052</v>
      </c>
      <c r="AR33" s="56">
        <v>325.718</v>
      </c>
      <c r="AS33" s="56">
        <v>622.771</v>
      </c>
    </row>
    <row r="34" spans="1:45">
      <c r="A34" s="54">
        <v>2014</v>
      </c>
      <c r="B34" s="54">
        <v>620000</v>
      </c>
      <c r="C34" s="55" t="s">
        <v>54</v>
      </c>
      <c r="D34" s="56">
        <v>1</v>
      </c>
      <c r="E34" s="56">
        <v>0</v>
      </c>
      <c r="F34" s="56">
        <v>0</v>
      </c>
      <c r="G34" s="56">
        <v>0</v>
      </c>
      <c r="H34" s="56">
        <v>54.8</v>
      </c>
      <c r="I34" s="56">
        <v>45.2</v>
      </c>
      <c r="J34" s="56">
        <v>5.7</v>
      </c>
      <c r="K34" s="56">
        <v>25.7</v>
      </c>
      <c r="L34" s="56">
        <v>39.9</v>
      </c>
      <c r="M34" s="56">
        <v>14.3</v>
      </c>
      <c r="N34" s="56">
        <v>8.3</v>
      </c>
      <c r="O34" s="56">
        <v>5.8</v>
      </c>
      <c r="P34" s="56">
        <v>0.3</v>
      </c>
      <c r="Q34" s="50">
        <v>782.1655</v>
      </c>
      <c r="R34" s="50">
        <v>217.04055</v>
      </c>
      <c r="S34" s="50">
        <v>348.80282</v>
      </c>
      <c r="T34" s="51">
        <v>1348</v>
      </c>
      <c r="U34" s="56">
        <v>5</v>
      </c>
      <c r="V34" s="56">
        <v>12.6</v>
      </c>
      <c r="W34" s="56">
        <v>37.5</v>
      </c>
      <c r="X34" s="56">
        <v>12.9</v>
      </c>
      <c r="Y34" s="56">
        <v>45.7</v>
      </c>
      <c r="Z34" s="56">
        <v>12.4</v>
      </c>
      <c r="AA34" s="56">
        <v>2.8</v>
      </c>
      <c r="AB34" s="56">
        <v>8.2</v>
      </c>
      <c r="AC34" s="56">
        <v>3.4</v>
      </c>
      <c r="AD34" s="56">
        <v>7.2</v>
      </c>
      <c r="AE34" s="56">
        <v>4.5</v>
      </c>
      <c r="AF34" s="56">
        <v>3.1</v>
      </c>
      <c r="AG34" s="56">
        <v>7</v>
      </c>
      <c r="AH34" s="56">
        <v>5.9</v>
      </c>
      <c r="AI34" s="56">
        <v>0.3</v>
      </c>
      <c r="AJ34" s="56">
        <v>38.1</v>
      </c>
      <c r="AK34" s="56">
        <v>13.7</v>
      </c>
      <c r="AL34" s="56">
        <v>2.5</v>
      </c>
      <c r="AM34" s="56">
        <v>41.9</v>
      </c>
      <c r="AN34" s="56">
        <v>298.8</v>
      </c>
      <c r="AO34" s="56">
        <v>1240.1</v>
      </c>
      <c r="AP34" s="56">
        <v>1539</v>
      </c>
      <c r="AQ34" s="56">
        <v>302.6</v>
      </c>
      <c r="AR34" s="56">
        <v>328.1</v>
      </c>
      <c r="AS34" s="56">
        <v>630.6</v>
      </c>
    </row>
    <row r="35" spans="1:45">
      <c r="A35" s="54">
        <v>2015</v>
      </c>
      <c r="B35" s="54">
        <v>620000</v>
      </c>
      <c r="C35" s="55" t="s">
        <v>54</v>
      </c>
      <c r="D35" s="56">
        <v>1</v>
      </c>
      <c r="E35" s="49">
        <v>0</v>
      </c>
      <c r="F35" s="49">
        <v>0</v>
      </c>
      <c r="G35" s="49">
        <v>0</v>
      </c>
      <c r="H35" s="56">
        <v>58.48</v>
      </c>
      <c r="I35" s="56">
        <v>41.52</v>
      </c>
      <c r="J35" s="56">
        <v>5.563</v>
      </c>
      <c r="K35" s="56">
        <v>27.652</v>
      </c>
      <c r="L35" s="56">
        <v>36.881</v>
      </c>
      <c r="M35" s="56">
        <v>11.821</v>
      </c>
      <c r="N35" s="56">
        <v>6.829</v>
      </c>
      <c r="O35" s="56">
        <v>6.158</v>
      </c>
      <c r="P35" s="56">
        <v>0.436</v>
      </c>
      <c r="Q35" s="50">
        <v>768.03223</v>
      </c>
      <c r="R35" s="50">
        <v>216.83213</v>
      </c>
      <c r="S35" s="50">
        <v>361.13563</v>
      </c>
      <c r="T35" s="51">
        <v>1346</v>
      </c>
      <c r="U35" s="56">
        <v>5</v>
      </c>
      <c r="V35" s="56">
        <v>11.9</v>
      </c>
      <c r="W35" s="56">
        <v>35.6</v>
      </c>
      <c r="X35" s="56">
        <v>12.1</v>
      </c>
      <c r="Y35" s="56">
        <v>43.8</v>
      </c>
      <c r="Z35" s="56">
        <v>12.6</v>
      </c>
      <c r="AA35" s="56">
        <v>2.7</v>
      </c>
      <c r="AB35" s="56">
        <v>8.2</v>
      </c>
      <c r="AC35" s="56">
        <v>3.3</v>
      </c>
      <c r="AD35" s="56">
        <v>7.5</v>
      </c>
      <c r="AE35" s="56">
        <v>4.5</v>
      </c>
      <c r="AF35" s="56">
        <v>3</v>
      </c>
      <c r="AG35" s="56">
        <v>7</v>
      </c>
      <c r="AH35" s="56">
        <v>5.9</v>
      </c>
      <c r="AI35" s="56">
        <v>0.3</v>
      </c>
      <c r="AJ35" s="56">
        <v>38.9</v>
      </c>
      <c r="AK35" s="56">
        <v>14.3</v>
      </c>
      <c r="AL35" s="56">
        <v>2.5</v>
      </c>
      <c r="AM35" s="56">
        <v>42.8</v>
      </c>
      <c r="AN35" s="56">
        <v>306.209</v>
      </c>
      <c r="AO35" s="56">
        <v>1236.74</v>
      </c>
      <c r="AP35" s="56">
        <v>1542.949</v>
      </c>
      <c r="AQ35" s="56">
        <v>307.924</v>
      </c>
      <c r="AR35" s="56">
        <v>327.032</v>
      </c>
      <c r="AS35" s="56">
        <v>634.956</v>
      </c>
    </row>
    <row r="36" spans="1:45">
      <c r="A36" s="54">
        <v>2016</v>
      </c>
      <c r="B36" s="54">
        <v>620000</v>
      </c>
      <c r="C36" s="55" t="s">
        <v>54</v>
      </c>
      <c r="D36" s="49">
        <v>1</v>
      </c>
      <c r="E36" s="56">
        <v>0</v>
      </c>
      <c r="F36" s="56">
        <v>0</v>
      </c>
      <c r="G36" s="56">
        <v>0</v>
      </c>
      <c r="H36" s="56">
        <v>56.023</v>
      </c>
      <c r="I36" s="56">
        <v>43.977</v>
      </c>
      <c r="J36" s="56">
        <v>5.287</v>
      </c>
      <c r="K36" s="56">
        <v>26.699</v>
      </c>
      <c r="L36" s="56">
        <v>38.091</v>
      </c>
      <c r="M36" s="56">
        <v>11.382</v>
      </c>
      <c r="N36" s="56">
        <v>7.347</v>
      </c>
      <c r="O36" s="56">
        <v>6.381</v>
      </c>
      <c r="P36" s="56">
        <v>0.389</v>
      </c>
      <c r="Q36" s="50">
        <v>750.41935</v>
      </c>
      <c r="R36" s="50">
        <v>213.48771</v>
      </c>
      <c r="S36" s="50">
        <v>377.09293</v>
      </c>
      <c r="T36" s="51">
        <v>1341</v>
      </c>
      <c r="U36" s="56">
        <v>5</v>
      </c>
      <c r="V36" s="56">
        <v>10.7</v>
      </c>
      <c r="W36" s="56">
        <v>33.6</v>
      </c>
      <c r="X36" s="56">
        <v>12.2</v>
      </c>
      <c r="Y36" s="56">
        <v>43.7</v>
      </c>
      <c r="Z36" s="56">
        <v>12.8</v>
      </c>
      <c r="AA36" s="56">
        <v>2.7</v>
      </c>
      <c r="AB36" s="56">
        <v>8.1</v>
      </c>
      <c r="AC36" s="56">
        <v>3.2</v>
      </c>
      <c r="AD36" s="56">
        <v>7.6</v>
      </c>
      <c r="AE36" s="56">
        <v>5.2</v>
      </c>
      <c r="AF36" s="56">
        <v>3.6</v>
      </c>
      <c r="AG36" s="56">
        <v>6.9</v>
      </c>
      <c r="AH36" s="56">
        <v>5.9</v>
      </c>
      <c r="AI36" s="56">
        <v>0.3</v>
      </c>
      <c r="AJ36" s="56">
        <v>38.7</v>
      </c>
      <c r="AK36" s="56">
        <v>14.5</v>
      </c>
      <c r="AL36" s="56">
        <v>2.7</v>
      </c>
      <c r="AM36" s="56">
        <v>43.5</v>
      </c>
      <c r="AN36" s="56">
        <v>314.967</v>
      </c>
      <c r="AO36" s="56">
        <v>1253.733</v>
      </c>
      <c r="AP36" s="56">
        <v>1568.7</v>
      </c>
      <c r="AQ36" s="56">
        <v>314.44</v>
      </c>
      <c r="AR36" s="56">
        <v>328.896</v>
      </c>
      <c r="AS36" s="56">
        <v>643.336</v>
      </c>
    </row>
    <row r="37" spans="1:45">
      <c r="A37" s="54">
        <v>2017</v>
      </c>
      <c r="B37" s="54">
        <v>620000</v>
      </c>
      <c r="C37" s="55" t="s">
        <v>54</v>
      </c>
      <c r="D37" s="56">
        <v>1</v>
      </c>
      <c r="E37" s="49">
        <v>0</v>
      </c>
      <c r="F37" s="49">
        <v>0</v>
      </c>
      <c r="G37" s="49">
        <v>0</v>
      </c>
      <c r="H37" s="56">
        <v>55.782</v>
      </c>
      <c r="I37" s="56">
        <v>44.218</v>
      </c>
      <c r="J37" s="56">
        <v>4.762</v>
      </c>
      <c r="K37" s="56">
        <v>24.579</v>
      </c>
      <c r="L37" s="56">
        <v>40.628</v>
      </c>
      <c r="M37" s="56">
        <v>11.797</v>
      </c>
      <c r="N37" s="56">
        <v>7.248</v>
      </c>
      <c r="O37" s="56">
        <v>6.768</v>
      </c>
      <c r="P37" s="56">
        <v>0.333</v>
      </c>
      <c r="Q37" s="50">
        <v>733.4811</v>
      </c>
      <c r="R37" s="50">
        <v>210.17326</v>
      </c>
      <c r="S37" s="50">
        <v>393.34563</v>
      </c>
      <c r="T37" s="51">
        <v>1337</v>
      </c>
      <c r="U37" s="56">
        <v>4.2</v>
      </c>
      <c r="V37" s="56">
        <v>9.2</v>
      </c>
      <c r="W37" s="56">
        <v>31.5</v>
      </c>
      <c r="X37" s="56">
        <v>12.6</v>
      </c>
      <c r="Y37" s="56">
        <v>40.5</v>
      </c>
      <c r="Z37" s="56">
        <v>13.3</v>
      </c>
      <c r="AA37" s="56">
        <v>2.9</v>
      </c>
      <c r="AB37" s="56">
        <v>7.7</v>
      </c>
      <c r="AC37" s="56">
        <v>3.2</v>
      </c>
      <c r="AD37" s="56">
        <v>8.4</v>
      </c>
      <c r="AE37" s="56">
        <v>5.3</v>
      </c>
      <c r="AF37" s="56">
        <v>5.3</v>
      </c>
      <c r="AG37" s="56">
        <v>7.1</v>
      </c>
      <c r="AH37" s="56">
        <v>6.4</v>
      </c>
      <c r="AI37" s="56">
        <v>0.3</v>
      </c>
      <c r="AJ37" s="56">
        <v>38.2</v>
      </c>
      <c r="AK37" s="56">
        <v>15.4</v>
      </c>
      <c r="AL37" s="56">
        <v>2.8</v>
      </c>
      <c r="AM37" s="56">
        <v>44.8</v>
      </c>
      <c r="AN37" s="56">
        <v>429.842</v>
      </c>
      <c r="AO37" s="56">
        <v>1262.357</v>
      </c>
      <c r="AP37" s="56">
        <v>1692.199</v>
      </c>
      <c r="AQ37" s="56">
        <v>320.245</v>
      </c>
      <c r="AR37" s="56">
        <v>2191.966</v>
      </c>
      <c r="AS37" s="56">
        <v>2512.211</v>
      </c>
    </row>
    <row r="38" spans="1:45">
      <c r="A38" s="54">
        <v>2018</v>
      </c>
      <c r="B38" s="54">
        <v>620000</v>
      </c>
      <c r="C38" s="55" t="s">
        <v>54</v>
      </c>
      <c r="D38" s="56">
        <v>1</v>
      </c>
      <c r="E38" s="56">
        <v>0</v>
      </c>
      <c r="F38" s="56">
        <v>0</v>
      </c>
      <c r="G38" s="56">
        <v>0</v>
      </c>
      <c r="H38" s="56">
        <v>56.424</v>
      </c>
      <c r="I38" s="56">
        <v>43.576</v>
      </c>
      <c r="J38" s="56">
        <v>5.15</v>
      </c>
      <c r="K38" s="56">
        <v>24.095</v>
      </c>
      <c r="L38" s="56">
        <v>39.097</v>
      </c>
      <c r="M38" s="56">
        <v>11.124</v>
      </c>
      <c r="N38" s="56">
        <v>8.195</v>
      </c>
      <c r="O38" s="56">
        <v>7.266</v>
      </c>
      <c r="P38" s="56">
        <v>0.423</v>
      </c>
      <c r="Q38" s="50">
        <v>720.643</v>
      </c>
      <c r="R38" s="50">
        <v>207.235</v>
      </c>
      <c r="S38" s="50">
        <v>409.122</v>
      </c>
      <c r="T38" s="51">
        <v>1337</v>
      </c>
      <c r="U38" s="56">
        <v>4</v>
      </c>
      <c r="V38" s="56">
        <v>8.4</v>
      </c>
      <c r="W38" s="56">
        <v>29.1</v>
      </c>
      <c r="X38" s="56">
        <v>12</v>
      </c>
      <c r="Y38" s="56">
        <v>35.6</v>
      </c>
      <c r="Z38" s="56">
        <v>14.6</v>
      </c>
      <c r="AA38" s="56">
        <v>3</v>
      </c>
      <c r="AB38" s="56">
        <v>7</v>
      </c>
      <c r="AC38" s="56">
        <v>2.7</v>
      </c>
      <c r="AD38" s="56">
        <v>7.7</v>
      </c>
      <c r="AE38" s="56">
        <v>4.5</v>
      </c>
      <c r="AF38" s="56">
        <v>3.4</v>
      </c>
      <c r="AG38" s="56">
        <v>6.5</v>
      </c>
      <c r="AH38" s="56">
        <v>6.4</v>
      </c>
      <c r="AI38" s="56">
        <v>0.4</v>
      </c>
      <c r="AJ38" s="56">
        <v>35.6</v>
      </c>
      <c r="AK38" s="56">
        <v>16.6</v>
      </c>
      <c r="AL38" s="56">
        <v>2.7</v>
      </c>
      <c r="AM38" s="56">
        <v>46.5</v>
      </c>
      <c r="AN38" s="56">
        <v>454.71</v>
      </c>
      <c r="AO38" s="56">
        <v>1316.965</v>
      </c>
      <c r="AP38" s="56">
        <v>1771.675</v>
      </c>
      <c r="AQ38" s="56">
        <v>331.593</v>
      </c>
      <c r="AR38" s="56">
        <v>2215.062</v>
      </c>
      <c r="AS38" s="56">
        <v>2546.655</v>
      </c>
    </row>
    <row r="39" spans="1:45">
      <c r="A39" s="54">
        <v>2019</v>
      </c>
      <c r="B39" s="54">
        <v>620000</v>
      </c>
      <c r="C39" s="55" t="s">
        <v>54</v>
      </c>
      <c r="D39" s="49">
        <v>1</v>
      </c>
      <c r="E39" s="49">
        <v>0</v>
      </c>
      <c r="F39" s="49">
        <v>0</v>
      </c>
      <c r="G39" s="49">
        <v>0</v>
      </c>
      <c r="H39" s="56">
        <v>56.3</v>
      </c>
      <c r="I39" s="56">
        <v>43.7</v>
      </c>
      <c r="J39" s="56">
        <v>5.1</v>
      </c>
      <c r="K39" s="56">
        <v>25.5</v>
      </c>
      <c r="L39" s="56">
        <v>36.8</v>
      </c>
      <c r="M39" s="56">
        <v>14.7</v>
      </c>
      <c r="N39" s="56">
        <v>9.3</v>
      </c>
      <c r="O39" s="56">
        <v>7.9</v>
      </c>
      <c r="P39" s="56">
        <v>0.7</v>
      </c>
      <c r="Q39" s="50">
        <v>706.49</v>
      </c>
      <c r="R39" s="50">
        <v>201.283</v>
      </c>
      <c r="S39" s="50">
        <v>425.227</v>
      </c>
      <c r="T39" s="51">
        <v>1333</v>
      </c>
      <c r="U39" s="56">
        <v>2</v>
      </c>
      <c r="V39" s="56">
        <v>7.7</v>
      </c>
      <c r="W39" s="56">
        <v>28.1</v>
      </c>
      <c r="X39" s="56">
        <v>11.3</v>
      </c>
      <c r="Y39" s="56">
        <v>34.6</v>
      </c>
      <c r="Z39" s="56">
        <v>13.2</v>
      </c>
      <c r="AA39" s="56">
        <v>3.7</v>
      </c>
      <c r="AB39" s="56">
        <v>7.8</v>
      </c>
      <c r="AC39" s="56">
        <v>2.8</v>
      </c>
      <c r="AD39" s="56">
        <v>9.6</v>
      </c>
      <c r="AE39" s="56">
        <v>5.4</v>
      </c>
      <c r="AF39" s="56">
        <v>3.8</v>
      </c>
      <c r="AG39" s="56">
        <v>6.6</v>
      </c>
      <c r="AH39" s="56">
        <v>6</v>
      </c>
      <c r="AI39" s="56">
        <v>0.5</v>
      </c>
      <c r="AJ39" s="56">
        <v>39.2</v>
      </c>
      <c r="AK39" s="56">
        <v>17</v>
      </c>
      <c r="AL39" s="56">
        <v>2.8</v>
      </c>
      <c r="AM39" s="56">
        <v>50.9</v>
      </c>
      <c r="AN39" s="56">
        <v>469.4</v>
      </c>
      <c r="AO39" s="56">
        <v>1372.6</v>
      </c>
      <c r="AP39" s="56">
        <v>1841.9</v>
      </c>
      <c r="AQ39" s="56">
        <v>344.3</v>
      </c>
      <c r="AR39" s="56">
        <v>2228.6</v>
      </c>
      <c r="AS39" s="56">
        <v>2572.9</v>
      </c>
    </row>
    <row r="40" spans="1:45">
      <c r="A40" s="54">
        <v>2020</v>
      </c>
      <c r="B40" s="54">
        <v>620000</v>
      </c>
      <c r="C40" s="55" t="s">
        <v>54</v>
      </c>
      <c r="D40" s="56">
        <v>1</v>
      </c>
      <c r="E40" s="56">
        <v>0</v>
      </c>
      <c r="F40" s="56">
        <v>0</v>
      </c>
      <c r="G40" s="56">
        <v>0</v>
      </c>
      <c r="H40" s="56">
        <v>55.3</v>
      </c>
      <c r="I40" s="56">
        <v>44.7</v>
      </c>
      <c r="J40" s="56">
        <v>6.9</v>
      </c>
      <c r="K40" s="56">
        <v>26</v>
      </c>
      <c r="L40" s="56">
        <v>36.1</v>
      </c>
      <c r="M40" s="56">
        <v>14.2</v>
      </c>
      <c r="N40" s="56">
        <v>8.7</v>
      </c>
      <c r="O40" s="56">
        <v>7.6</v>
      </c>
      <c r="P40" s="56">
        <v>0.5</v>
      </c>
      <c r="Q40" s="50">
        <v>597</v>
      </c>
      <c r="R40" s="50">
        <v>237</v>
      </c>
      <c r="S40" s="50">
        <v>497</v>
      </c>
      <c r="T40" s="51">
        <v>1331</v>
      </c>
      <c r="U40" s="56">
        <v>1.9</v>
      </c>
      <c r="V40" s="56">
        <v>7.2</v>
      </c>
      <c r="W40" s="56">
        <v>28.3</v>
      </c>
      <c r="X40" s="56">
        <v>10.7</v>
      </c>
      <c r="Y40" s="56">
        <v>33.1</v>
      </c>
      <c r="Z40" s="56">
        <v>13.2</v>
      </c>
      <c r="AA40" s="56">
        <v>3.6</v>
      </c>
      <c r="AB40" s="56">
        <v>8.5</v>
      </c>
      <c r="AC40" s="56">
        <v>3</v>
      </c>
      <c r="AD40" s="56">
        <v>14.3</v>
      </c>
      <c r="AE40" s="56">
        <v>6.7</v>
      </c>
      <c r="AF40" s="56">
        <v>4.2</v>
      </c>
      <c r="AG40" s="56">
        <v>7.3</v>
      </c>
      <c r="AH40" s="56">
        <v>4.5</v>
      </c>
      <c r="AI40" s="56">
        <v>0.9</v>
      </c>
      <c r="AJ40" s="56">
        <v>40.8</v>
      </c>
      <c r="AK40" s="56">
        <v>19.3</v>
      </c>
      <c r="AL40" s="56">
        <v>2.9</v>
      </c>
      <c r="AM40" s="56">
        <v>51.7</v>
      </c>
      <c r="AN40" s="56">
        <v>484.5</v>
      </c>
      <c r="AO40" s="56">
        <v>1388.2</v>
      </c>
      <c r="AP40" s="56">
        <v>1872.7</v>
      </c>
      <c r="AQ40" s="56">
        <v>361.9</v>
      </c>
      <c r="AR40" s="56">
        <v>2228.5</v>
      </c>
      <c r="AS40" s="56">
        <v>2590.4</v>
      </c>
    </row>
    <row r="41" spans="1:45">
      <c r="A41" s="54">
        <v>2021</v>
      </c>
      <c r="B41" s="54">
        <v>620000</v>
      </c>
      <c r="C41" s="55" t="s">
        <v>54</v>
      </c>
      <c r="D41" s="56">
        <v>1</v>
      </c>
      <c r="E41" s="49">
        <v>0</v>
      </c>
      <c r="F41" s="49">
        <v>0</v>
      </c>
      <c r="G41" s="49">
        <v>0</v>
      </c>
      <c r="H41" s="56">
        <v>56.039</v>
      </c>
      <c r="I41" s="56">
        <v>43.961</v>
      </c>
      <c r="J41" s="56">
        <v>7.263</v>
      </c>
      <c r="K41" s="56">
        <v>25.208</v>
      </c>
      <c r="L41" s="56">
        <v>34.505</v>
      </c>
      <c r="M41" s="56">
        <v>13.334</v>
      </c>
      <c r="N41" s="56">
        <v>9.724</v>
      </c>
      <c r="O41" s="56">
        <v>9.275</v>
      </c>
      <c r="P41" s="56">
        <v>0.692</v>
      </c>
      <c r="Q41" s="50">
        <v>580</v>
      </c>
      <c r="R41" s="50">
        <v>238</v>
      </c>
      <c r="S41" s="50">
        <v>501</v>
      </c>
      <c r="T41" s="51">
        <v>1319</v>
      </c>
      <c r="U41" s="56">
        <v>2.1</v>
      </c>
      <c r="V41" s="56">
        <v>7.3</v>
      </c>
      <c r="W41" s="56">
        <v>28.3</v>
      </c>
      <c r="X41" s="56">
        <v>10.6</v>
      </c>
      <c r="Y41" s="56">
        <v>31.5</v>
      </c>
      <c r="Z41" s="56">
        <v>13.2</v>
      </c>
      <c r="AA41" s="56">
        <v>3.5</v>
      </c>
      <c r="AB41" s="56">
        <v>9.4</v>
      </c>
      <c r="AC41" s="56">
        <v>3.1</v>
      </c>
      <c r="AD41" s="56">
        <v>12.6</v>
      </c>
      <c r="AE41" s="56">
        <v>6.9</v>
      </c>
      <c r="AF41" s="56">
        <v>4.5</v>
      </c>
      <c r="AG41" s="56">
        <v>7.6</v>
      </c>
      <c r="AH41" s="56">
        <v>4.9</v>
      </c>
      <c r="AI41" s="56">
        <v>0.9</v>
      </c>
      <c r="AJ41" s="56">
        <v>41.6</v>
      </c>
      <c r="AK41" s="56">
        <v>20</v>
      </c>
      <c r="AL41" s="56">
        <v>3</v>
      </c>
      <c r="AM41" s="56">
        <v>50.5</v>
      </c>
      <c r="AN41" s="56">
        <v>502.506</v>
      </c>
      <c r="AO41" s="56">
        <v>1387.891</v>
      </c>
      <c r="AP41" s="56">
        <v>1890.397</v>
      </c>
      <c r="AQ41" s="56">
        <v>372.336</v>
      </c>
      <c r="AR41" s="56">
        <v>2214.848</v>
      </c>
      <c r="AS41" s="56">
        <v>2587.184</v>
      </c>
    </row>
    <row r="42" spans="1:45">
      <c r="A42" s="54">
        <v>2022</v>
      </c>
      <c r="B42" s="54">
        <v>620000</v>
      </c>
      <c r="C42" s="55" t="s">
        <v>54</v>
      </c>
      <c r="D42" s="49">
        <v>1</v>
      </c>
      <c r="E42" s="56">
        <v>0</v>
      </c>
      <c r="F42" s="56">
        <v>0</v>
      </c>
      <c r="G42" s="56">
        <v>0</v>
      </c>
      <c r="H42" s="56">
        <v>55.797</v>
      </c>
      <c r="I42" s="56">
        <v>44.203</v>
      </c>
      <c r="J42" s="56">
        <v>7.626</v>
      </c>
      <c r="K42" s="56">
        <v>28.87</v>
      </c>
      <c r="L42" s="56">
        <v>31.389</v>
      </c>
      <c r="M42" s="56">
        <v>12.399</v>
      </c>
      <c r="N42" s="56">
        <v>9.329</v>
      </c>
      <c r="O42" s="56">
        <v>9.701</v>
      </c>
      <c r="P42" s="56">
        <v>0.687</v>
      </c>
      <c r="Q42" s="50">
        <v>614</v>
      </c>
      <c r="R42" s="50">
        <v>227</v>
      </c>
      <c r="S42" s="50">
        <v>466</v>
      </c>
      <c r="T42" s="51">
        <v>1307</v>
      </c>
      <c r="U42" s="56">
        <v>2</v>
      </c>
      <c r="V42" s="56">
        <v>7.6</v>
      </c>
      <c r="W42" s="56">
        <v>28.3</v>
      </c>
      <c r="X42" s="56">
        <v>10.8</v>
      </c>
      <c r="Y42" s="56">
        <v>27.9</v>
      </c>
      <c r="Z42" s="56">
        <v>13.1</v>
      </c>
      <c r="AA42" s="56">
        <v>3.3</v>
      </c>
      <c r="AB42" s="56">
        <v>9.7</v>
      </c>
      <c r="AC42" s="56">
        <v>2.8</v>
      </c>
      <c r="AD42" s="56">
        <v>11.6</v>
      </c>
      <c r="AE42" s="56">
        <v>6.7</v>
      </c>
      <c r="AF42" s="56">
        <v>4.4</v>
      </c>
      <c r="AG42" s="56">
        <v>7.9</v>
      </c>
      <c r="AH42" s="56">
        <v>5</v>
      </c>
      <c r="AI42" s="56">
        <v>0.7</v>
      </c>
      <c r="AJ42" s="56">
        <v>41.2</v>
      </c>
      <c r="AK42" s="56">
        <v>21.1</v>
      </c>
      <c r="AL42" s="56">
        <v>2.8</v>
      </c>
      <c r="AM42" s="56">
        <v>50.6</v>
      </c>
      <c r="AN42" s="56">
        <v>517.553</v>
      </c>
      <c r="AO42" s="56">
        <v>1386.553</v>
      </c>
      <c r="AP42" s="56">
        <v>1904.106</v>
      </c>
      <c r="AQ42" s="56">
        <v>380.968</v>
      </c>
      <c r="AR42" s="56">
        <v>2174.15</v>
      </c>
      <c r="AS42" s="56">
        <v>2555.119</v>
      </c>
    </row>
    <row r="43" spans="1:45">
      <c r="A43" s="54">
        <v>2013</v>
      </c>
      <c r="B43" s="54">
        <v>440000</v>
      </c>
      <c r="C43" s="55" t="s">
        <v>55</v>
      </c>
      <c r="D43" s="49">
        <v>0</v>
      </c>
      <c r="E43" s="56">
        <v>1</v>
      </c>
      <c r="F43" s="49">
        <v>0</v>
      </c>
      <c r="G43" s="49">
        <v>0</v>
      </c>
      <c r="J43" s="56">
        <v>0.622</v>
      </c>
      <c r="K43" s="56">
        <v>14.019</v>
      </c>
      <c r="L43" s="56">
        <v>49.337</v>
      </c>
      <c r="M43" s="56">
        <v>21.803</v>
      </c>
      <c r="N43" s="56">
        <v>8.582</v>
      </c>
      <c r="O43" s="56">
        <v>5.226</v>
      </c>
      <c r="P43" s="56">
        <v>0.412</v>
      </c>
      <c r="Q43" s="50">
        <v>1172</v>
      </c>
      <c r="R43" s="50">
        <v>2620</v>
      </c>
      <c r="S43" s="50">
        <v>2481</v>
      </c>
      <c r="T43" s="51">
        <v>6273</v>
      </c>
      <c r="U43" s="56">
        <v>6.2</v>
      </c>
      <c r="V43" s="56">
        <v>2.9</v>
      </c>
      <c r="W43" s="56">
        <v>1020.2</v>
      </c>
      <c r="X43" s="56">
        <v>32.2</v>
      </c>
      <c r="Y43" s="56">
        <v>162.3</v>
      </c>
      <c r="Z43" s="56">
        <v>83.3</v>
      </c>
      <c r="AA43" s="56">
        <v>33.3</v>
      </c>
      <c r="AB43" s="56">
        <v>95.5</v>
      </c>
      <c r="AC43" s="56">
        <v>39.3</v>
      </c>
      <c r="AD43" s="56">
        <v>43.3</v>
      </c>
      <c r="AE43" s="56">
        <v>52.5</v>
      </c>
      <c r="AF43" s="56">
        <v>55.8</v>
      </c>
      <c r="AG43" s="56">
        <v>29.5</v>
      </c>
      <c r="AH43" s="56">
        <v>16.3</v>
      </c>
      <c r="AI43" s="56">
        <v>7.3</v>
      </c>
      <c r="AJ43" s="56">
        <v>118.6</v>
      </c>
      <c r="AK43" s="56">
        <v>55.9</v>
      </c>
      <c r="AL43" s="56">
        <v>10.9</v>
      </c>
      <c r="AM43" s="56">
        <v>101.7</v>
      </c>
      <c r="AN43" s="56">
        <v>4183.037</v>
      </c>
      <c r="AO43" s="56">
        <v>2346.845</v>
      </c>
      <c r="AP43" s="56">
        <v>6529.883</v>
      </c>
      <c r="AQ43" s="56">
        <v>3472.962</v>
      </c>
      <c r="AR43" s="56">
        <v>5706.791</v>
      </c>
      <c r="AS43" s="56">
        <v>9179.753</v>
      </c>
    </row>
    <row r="44" spans="1:45">
      <c r="A44" s="54">
        <v>2014</v>
      </c>
      <c r="B44" s="54">
        <v>440000</v>
      </c>
      <c r="C44" s="55" t="s">
        <v>55</v>
      </c>
      <c r="D44" s="56">
        <v>0</v>
      </c>
      <c r="E44" s="56">
        <v>1</v>
      </c>
      <c r="F44" s="56">
        <v>0</v>
      </c>
      <c r="G44" s="56">
        <v>0</v>
      </c>
      <c r="H44" s="56">
        <v>56.5</v>
      </c>
      <c r="I44" s="56">
        <v>43.5</v>
      </c>
      <c r="J44" s="56">
        <v>0.5</v>
      </c>
      <c r="K44" s="56">
        <v>12.2</v>
      </c>
      <c r="L44" s="56">
        <v>47.8</v>
      </c>
      <c r="M44" s="56">
        <v>24</v>
      </c>
      <c r="N44" s="56">
        <v>9.6</v>
      </c>
      <c r="O44" s="56">
        <v>5.4</v>
      </c>
      <c r="P44" s="56">
        <v>0.4</v>
      </c>
      <c r="Q44" s="50">
        <v>1112</v>
      </c>
      <c r="R44" s="50">
        <v>2606</v>
      </c>
      <c r="S44" s="50">
        <v>2710</v>
      </c>
      <c r="T44" s="51">
        <v>6428</v>
      </c>
      <c r="U44" s="56">
        <v>5.7</v>
      </c>
      <c r="V44" s="56">
        <v>3</v>
      </c>
      <c r="W44" s="56">
        <v>1015.2</v>
      </c>
      <c r="X44" s="56">
        <v>30.8</v>
      </c>
      <c r="Y44" s="56">
        <v>149.4</v>
      </c>
      <c r="Z44" s="56">
        <v>85.4</v>
      </c>
      <c r="AA44" s="56">
        <v>34.6</v>
      </c>
      <c r="AB44" s="56">
        <v>95.8</v>
      </c>
      <c r="AC44" s="56">
        <v>37.1</v>
      </c>
      <c r="AD44" s="56">
        <v>43.2</v>
      </c>
      <c r="AE44" s="56">
        <v>55.8</v>
      </c>
      <c r="AF44" s="56">
        <v>60.6</v>
      </c>
      <c r="AG44" s="56">
        <v>31.9</v>
      </c>
      <c r="AH44" s="56">
        <v>17.3</v>
      </c>
      <c r="AI44" s="56">
        <v>7.5</v>
      </c>
      <c r="AJ44" s="56">
        <v>124.5</v>
      </c>
      <c r="AK44" s="56">
        <v>59.7</v>
      </c>
      <c r="AL44" s="56">
        <v>11.5</v>
      </c>
      <c r="AM44" s="56">
        <v>104.3</v>
      </c>
      <c r="AN44" s="56">
        <v>4809.5</v>
      </c>
      <c r="AO44" s="56">
        <v>2407.7</v>
      </c>
      <c r="AP44" s="56">
        <v>7217.1</v>
      </c>
      <c r="AQ44" s="56">
        <v>3647.1</v>
      </c>
      <c r="AR44" s="56">
        <v>6157.1</v>
      </c>
      <c r="AS44" s="56">
        <v>9804.2</v>
      </c>
    </row>
    <row r="45" spans="1:45">
      <c r="A45" s="54">
        <v>2015</v>
      </c>
      <c r="B45" s="54">
        <v>440000</v>
      </c>
      <c r="C45" s="55" t="s">
        <v>55</v>
      </c>
      <c r="D45" s="49">
        <v>0</v>
      </c>
      <c r="E45" s="49">
        <v>1</v>
      </c>
      <c r="F45" s="49">
        <v>0</v>
      </c>
      <c r="G45" s="49">
        <v>0</v>
      </c>
      <c r="H45" s="56">
        <v>59.385</v>
      </c>
      <c r="I45" s="56">
        <v>40.615</v>
      </c>
      <c r="J45" s="56">
        <v>0.864</v>
      </c>
      <c r="K45" s="56">
        <v>12.771</v>
      </c>
      <c r="L45" s="56">
        <v>42.666</v>
      </c>
      <c r="M45" s="56">
        <v>17.438</v>
      </c>
      <c r="N45" s="56">
        <v>9.804</v>
      </c>
      <c r="O45" s="56">
        <v>6.947</v>
      </c>
      <c r="P45" s="56">
        <v>0.647</v>
      </c>
      <c r="Q45" s="50">
        <v>1046</v>
      </c>
      <c r="R45" s="50">
        <v>2627</v>
      </c>
      <c r="S45" s="50">
        <v>2893</v>
      </c>
      <c r="T45" s="51">
        <v>6566</v>
      </c>
      <c r="U45" s="56">
        <v>5.3</v>
      </c>
      <c r="V45" s="56">
        <v>3</v>
      </c>
      <c r="W45" s="56">
        <v>981</v>
      </c>
      <c r="X45" s="56">
        <v>30.7</v>
      </c>
      <c r="Y45" s="56">
        <v>141.6</v>
      </c>
      <c r="Z45" s="56">
        <v>82.8</v>
      </c>
      <c r="AA45" s="56">
        <v>35.3</v>
      </c>
      <c r="AB45" s="56">
        <v>96.8</v>
      </c>
      <c r="AC45" s="56">
        <v>37.1</v>
      </c>
      <c r="AD45" s="56">
        <v>46.1</v>
      </c>
      <c r="AE45" s="56">
        <v>59.1</v>
      </c>
      <c r="AF45" s="56">
        <v>64.7</v>
      </c>
      <c r="AG45" s="56">
        <v>34.7</v>
      </c>
      <c r="AH45" s="56">
        <v>17.4</v>
      </c>
      <c r="AI45" s="56">
        <v>7.4</v>
      </c>
      <c r="AJ45" s="56">
        <v>125.5</v>
      </c>
      <c r="AK45" s="56">
        <v>61.3</v>
      </c>
      <c r="AL45" s="56">
        <v>11.6</v>
      </c>
      <c r="AM45" s="56">
        <v>106.5</v>
      </c>
      <c r="AN45" s="56">
        <v>5086.527</v>
      </c>
      <c r="AO45" s="56">
        <v>2499.715</v>
      </c>
      <c r="AP45" s="56">
        <v>7586.242</v>
      </c>
      <c r="AQ45" s="56">
        <v>3711.848</v>
      </c>
      <c r="AR45" s="56">
        <v>6424.173</v>
      </c>
      <c r="AS45" s="56">
        <v>10136.021</v>
      </c>
    </row>
    <row r="46" spans="1:45">
      <c r="A46" s="54">
        <v>2016</v>
      </c>
      <c r="B46" s="54">
        <v>440000</v>
      </c>
      <c r="C46" s="55" t="s">
        <v>55</v>
      </c>
      <c r="D46" s="56">
        <v>0</v>
      </c>
      <c r="E46" s="56">
        <v>1</v>
      </c>
      <c r="F46" s="56">
        <v>0</v>
      </c>
      <c r="G46" s="56">
        <v>0</v>
      </c>
      <c r="H46" s="56">
        <v>57.714</v>
      </c>
      <c r="I46" s="56">
        <v>42.286</v>
      </c>
      <c r="J46" s="56">
        <v>0.735</v>
      </c>
      <c r="K46" s="56">
        <v>11.105</v>
      </c>
      <c r="L46" s="56">
        <v>42.863</v>
      </c>
      <c r="M46" s="56">
        <v>17.738</v>
      </c>
      <c r="N46" s="56">
        <v>10.96</v>
      </c>
      <c r="O46" s="56">
        <v>7.08</v>
      </c>
      <c r="P46" s="56">
        <v>0.531</v>
      </c>
      <c r="Q46" s="50">
        <v>987</v>
      </c>
      <c r="R46" s="50">
        <v>2611</v>
      </c>
      <c r="S46" s="50">
        <v>3105</v>
      </c>
      <c r="T46" s="51">
        <v>6703</v>
      </c>
      <c r="U46" s="56">
        <v>4.8</v>
      </c>
      <c r="V46" s="56">
        <v>2.8</v>
      </c>
      <c r="W46" s="56">
        <v>959.7</v>
      </c>
      <c r="X46" s="56">
        <v>31.3</v>
      </c>
      <c r="Y46" s="56">
        <v>143.3</v>
      </c>
      <c r="Z46" s="56">
        <v>81.1</v>
      </c>
      <c r="AA46" s="56">
        <v>43.5</v>
      </c>
      <c r="AB46" s="56">
        <v>102.8</v>
      </c>
      <c r="AC46" s="56">
        <v>37</v>
      </c>
      <c r="AD46" s="56">
        <v>51.8</v>
      </c>
      <c r="AE46" s="56">
        <v>61.8</v>
      </c>
      <c r="AF46" s="56">
        <v>71.2</v>
      </c>
      <c r="AG46" s="56">
        <v>32.3</v>
      </c>
      <c r="AH46" s="56">
        <v>16.9</v>
      </c>
      <c r="AI46" s="56">
        <v>7.7</v>
      </c>
      <c r="AJ46" s="56">
        <v>125.6</v>
      </c>
      <c r="AK46" s="56">
        <v>63.5</v>
      </c>
      <c r="AL46" s="56">
        <v>11.8</v>
      </c>
      <c r="AM46" s="56">
        <v>108.7</v>
      </c>
      <c r="AN46" s="56">
        <v>5392.432</v>
      </c>
      <c r="AO46" s="56">
        <v>2543.222</v>
      </c>
      <c r="AP46" s="56">
        <v>7935.654</v>
      </c>
      <c r="AQ46" s="56">
        <v>3814.1</v>
      </c>
      <c r="AR46" s="56">
        <v>6336.062</v>
      </c>
      <c r="AS46" s="56">
        <v>10150.163</v>
      </c>
    </row>
    <row r="47" spans="1:45">
      <c r="A47" s="54">
        <v>2017</v>
      </c>
      <c r="B47" s="54">
        <v>440000</v>
      </c>
      <c r="C47" s="55" t="s">
        <v>55</v>
      </c>
      <c r="D47" s="49">
        <v>0</v>
      </c>
      <c r="E47" s="56">
        <v>1</v>
      </c>
      <c r="F47" s="49">
        <v>0</v>
      </c>
      <c r="G47" s="49">
        <v>0</v>
      </c>
      <c r="H47" s="56">
        <v>56.948</v>
      </c>
      <c r="I47" s="56">
        <v>43.052</v>
      </c>
      <c r="J47" s="56">
        <v>0.502</v>
      </c>
      <c r="K47" s="56">
        <v>10.679</v>
      </c>
      <c r="L47" s="56">
        <v>41.905</v>
      </c>
      <c r="M47" s="56">
        <v>18.902</v>
      </c>
      <c r="N47" s="56">
        <v>10.808</v>
      </c>
      <c r="O47" s="56">
        <v>7.32</v>
      </c>
      <c r="P47" s="56">
        <v>0.539</v>
      </c>
      <c r="Q47" s="50">
        <v>933</v>
      </c>
      <c r="R47" s="50">
        <v>2592</v>
      </c>
      <c r="S47" s="50">
        <v>3333</v>
      </c>
      <c r="T47" s="51">
        <v>6858</v>
      </c>
      <c r="U47" s="56">
        <v>4.6</v>
      </c>
      <c r="V47" s="56">
        <v>2.5</v>
      </c>
      <c r="W47" s="56">
        <v>929.4</v>
      </c>
      <c r="X47" s="56">
        <v>29.9</v>
      </c>
      <c r="Y47" s="56">
        <v>154.2</v>
      </c>
      <c r="Z47" s="56">
        <v>83.3</v>
      </c>
      <c r="AA47" s="56">
        <v>49.9</v>
      </c>
      <c r="AB47" s="56">
        <v>102.7</v>
      </c>
      <c r="AC47" s="56">
        <v>36.5</v>
      </c>
      <c r="AD47" s="56">
        <v>48.9</v>
      </c>
      <c r="AE47" s="56">
        <v>66.3</v>
      </c>
      <c r="AF47" s="56">
        <v>76.1</v>
      </c>
      <c r="AG47" s="56">
        <v>33.9</v>
      </c>
      <c r="AH47" s="56">
        <v>17.2</v>
      </c>
      <c r="AI47" s="56">
        <v>9</v>
      </c>
      <c r="AJ47" s="56">
        <v>127.5</v>
      </c>
      <c r="AK47" s="56">
        <v>65.8</v>
      </c>
      <c r="AL47" s="56">
        <v>11.5</v>
      </c>
      <c r="AM47" s="56">
        <v>114.1</v>
      </c>
      <c r="AN47" s="56">
        <v>5287.077</v>
      </c>
      <c r="AO47" s="56">
        <v>2586.755</v>
      </c>
      <c r="AP47" s="56">
        <v>7873.832</v>
      </c>
      <c r="AQ47" s="56">
        <v>3962.637</v>
      </c>
      <c r="AR47" s="56">
        <v>6402.431</v>
      </c>
      <c r="AS47" s="56">
        <v>10365.068</v>
      </c>
    </row>
    <row r="48" spans="1:45">
      <c r="A48" s="54">
        <v>2018</v>
      </c>
      <c r="B48" s="54">
        <v>440000</v>
      </c>
      <c r="C48" s="55" t="s">
        <v>55</v>
      </c>
      <c r="D48" s="56">
        <v>0</v>
      </c>
      <c r="E48" s="56">
        <v>1</v>
      </c>
      <c r="F48" s="56">
        <v>0</v>
      </c>
      <c r="G48" s="56">
        <v>0</v>
      </c>
      <c r="H48" s="56">
        <v>56.96</v>
      </c>
      <c r="I48" s="56">
        <v>43.04</v>
      </c>
      <c r="J48" s="56">
        <v>0.557</v>
      </c>
      <c r="K48" s="56">
        <v>10.406</v>
      </c>
      <c r="L48" s="56">
        <v>41.957</v>
      </c>
      <c r="M48" s="56">
        <v>18.685</v>
      </c>
      <c r="N48" s="56">
        <v>11.281</v>
      </c>
      <c r="O48" s="56">
        <v>7.908</v>
      </c>
      <c r="P48" s="56">
        <v>0.53</v>
      </c>
      <c r="Q48" s="50">
        <v>864</v>
      </c>
      <c r="R48" s="50">
        <v>2506</v>
      </c>
      <c r="S48" s="50">
        <v>3590</v>
      </c>
      <c r="T48" s="51">
        <v>6960</v>
      </c>
      <c r="U48" s="56">
        <v>4.1</v>
      </c>
      <c r="V48" s="56">
        <v>2.2</v>
      </c>
      <c r="W48" s="56">
        <v>882.5</v>
      </c>
      <c r="X48" s="56">
        <v>28</v>
      </c>
      <c r="Y48" s="56">
        <v>169</v>
      </c>
      <c r="Z48" s="56">
        <v>86.4</v>
      </c>
      <c r="AA48" s="56">
        <v>60.8</v>
      </c>
      <c r="AB48" s="56">
        <v>107.8</v>
      </c>
      <c r="AC48" s="56">
        <v>40.7</v>
      </c>
      <c r="AD48" s="56">
        <v>61.3</v>
      </c>
      <c r="AE48" s="56">
        <v>77.1</v>
      </c>
      <c r="AF48" s="56">
        <v>78.8</v>
      </c>
      <c r="AG48" s="56">
        <v>37.8</v>
      </c>
      <c r="AH48" s="56">
        <v>18.6</v>
      </c>
      <c r="AI48" s="56">
        <v>10.7</v>
      </c>
      <c r="AJ48" s="56">
        <v>130.1</v>
      </c>
      <c r="AK48" s="56">
        <v>67.9</v>
      </c>
      <c r="AL48" s="56">
        <v>10.5</v>
      </c>
      <c r="AM48" s="56">
        <v>119.9</v>
      </c>
      <c r="AN48" s="56">
        <v>4919.656</v>
      </c>
      <c r="AO48" s="56">
        <v>2661.071</v>
      </c>
      <c r="AP48" s="56">
        <v>7580.727</v>
      </c>
      <c r="AQ48" s="56">
        <v>4170.692</v>
      </c>
      <c r="AR48" s="56">
        <v>6445.078</v>
      </c>
      <c r="AS48" s="56">
        <v>10615.771</v>
      </c>
    </row>
    <row r="49" spans="1:45">
      <c r="A49" s="54">
        <v>2019</v>
      </c>
      <c r="B49" s="54">
        <v>440000</v>
      </c>
      <c r="C49" s="55" t="s">
        <v>55</v>
      </c>
      <c r="D49" s="49">
        <v>0</v>
      </c>
      <c r="E49" s="49">
        <v>1</v>
      </c>
      <c r="F49" s="49">
        <v>0</v>
      </c>
      <c r="G49" s="49">
        <v>0</v>
      </c>
      <c r="H49" s="56">
        <v>60.5</v>
      </c>
      <c r="I49" s="56">
        <v>39.5</v>
      </c>
      <c r="J49" s="56">
        <v>0.5</v>
      </c>
      <c r="K49" s="56">
        <v>10.7</v>
      </c>
      <c r="L49" s="56">
        <v>39.1</v>
      </c>
      <c r="M49" s="56">
        <v>25.7</v>
      </c>
      <c r="N49" s="56">
        <v>13.2</v>
      </c>
      <c r="O49" s="56">
        <v>9.8</v>
      </c>
      <c r="P49" s="56">
        <v>1</v>
      </c>
      <c r="Q49" s="50">
        <v>823</v>
      </c>
      <c r="R49" s="50">
        <v>2522</v>
      </c>
      <c r="S49" s="50">
        <v>3650</v>
      </c>
      <c r="T49" s="51">
        <v>6995</v>
      </c>
      <c r="U49" s="56">
        <v>2.4</v>
      </c>
      <c r="V49" s="56">
        <v>1.7</v>
      </c>
      <c r="W49" s="56">
        <v>835.8</v>
      </c>
      <c r="X49" s="56">
        <v>25.7</v>
      </c>
      <c r="Y49" s="56">
        <v>132.8</v>
      </c>
      <c r="Z49" s="56">
        <v>82.6</v>
      </c>
      <c r="AA49" s="56">
        <v>66.2</v>
      </c>
      <c r="AB49" s="56">
        <v>114.7</v>
      </c>
      <c r="AC49" s="56">
        <v>40.6</v>
      </c>
      <c r="AD49" s="56">
        <v>84.4</v>
      </c>
      <c r="AE49" s="56">
        <v>86</v>
      </c>
      <c r="AF49" s="56">
        <v>112.6</v>
      </c>
      <c r="AG49" s="56">
        <v>47.3</v>
      </c>
      <c r="AH49" s="56">
        <v>18</v>
      </c>
      <c r="AI49" s="56">
        <v>12.9</v>
      </c>
      <c r="AJ49" s="56">
        <v>162.4</v>
      </c>
      <c r="AK49" s="56">
        <v>82.9</v>
      </c>
      <c r="AL49" s="56">
        <v>13.4</v>
      </c>
      <c r="AM49" s="56">
        <v>142.1</v>
      </c>
      <c r="AN49" s="56">
        <v>4633.4</v>
      </c>
      <c r="AO49" s="56">
        <v>2646.2</v>
      </c>
      <c r="AP49" s="56">
        <v>7279.6</v>
      </c>
      <c r="AQ49" s="56">
        <v>4375.7</v>
      </c>
      <c r="AR49" s="56">
        <v>6407.7</v>
      </c>
      <c r="AS49" s="56">
        <v>10783.5</v>
      </c>
    </row>
    <row r="50" spans="1:45">
      <c r="A50" s="54">
        <v>2020</v>
      </c>
      <c r="B50" s="54">
        <v>440000</v>
      </c>
      <c r="C50" s="55" t="s">
        <v>55</v>
      </c>
      <c r="D50" s="56">
        <v>0</v>
      </c>
      <c r="E50" s="56">
        <v>1</v>
      </c>
      <c r="F50" s="56">
        <v>0</v>
      </c>
      <c r="G50" s="56">
        <v>0</v>
      </c>
      <c r="H50" s="56">
        <v>59.9</v>
      </c>
      <c r="I50" s="56">
        <v>40.1</v>
      </c>
      <c r="J50" s="56">
        <v>0.7</v>
      </c>
      <c r="K50" s="56">
        <v>10.5</v>
      </c>
      <c r="L50" s="56">
        <v>40.7</v>
      </c>
      <c r="M50" s="56">
        <v>23.4</v>
      </c>
      <c r="N50" s="56">
        <v>13.8</v>
      </c>
      <c r="O50" s="56">
        <v>9.9</v>
      </c>
      <c r="P50" s="56">
        <v>0.9</v>
      </c>
      <c r="Q50" s="50">
        <v>767</v>
      </c>
      <c r="R50" s="50">
        <v>2526</v>
      </c>
      <c r="S50" s="50">
        <v>3746</v>
      </c>
      <c r="T50" s="51">
        <v>7039</v>
      </c>
      <c r="U50" s="56">
        <v>2.2</v>
      </c>
      <c r="V50" s="56">
        <v>1.4</v>
      </c>
      <c r="W50" s="56">
        <v>819.1</v>
      </c>
      <c r="X50" s="56">
        <v>26.9</v>
      </c>
      <c r="Y50" s="56">
        <v>127.8</v>
      </c>
      <c r="Z50" s="56">
        <v>83.1</v>
      </c>
      <c r="AA50" s="56">
        <v>74</v>
      </c>
      <c r="AB50" s="56">
        <v>105.4</v>
      </c>
      <c r="AC50" s="56">
        <v>39.3</v>
      </c>
      <c r="AD50" s="56">
        <v>95.3</v>
      </c>
      <c r="AE50" s="56">
        <v>90.1</v>
      </c>
      <c r="AF50" s="56">
        <v>118.6</v>
      </c>
      <c r="AG50" s="56">
        <v>47.8</v>
      </c>
      <c r="AH50" s="56">
        <v>20.4</v>
      </c>
      <c r="AI50" s="56">
        <v>11.6</v>
      </c>
      <c r="AJ50" s="56">
        <v>169.8</v>
      </c>
      <c r="AK50" s="56">
        <v>90.6</v>
      </c>
      <c r="AL50" s="56">
        <v>12.5</v>
      </c>
      <c r="AM50" s="56">
        <v>149.4</v>
      </c>
      <c r="AN50" s="56">
        <v>4873.1</v>
      </c>
      <c r="AO50" s="56">
        <v>2655.3</v>
      </c>
      <c r="AP50" s="56">
        <v>7528.3</v>
      </c>
      <c r="AQ50" s="56">
        <v>4578.1</v>
      </c>
      <c r="AR50" s="56">
        <v>6413.3</v>
      </c>
      <c r="AS50" s="56">
        <v>10991.4</v>
      </c>
    </row>
    <row r="51" spans="1:45">
      <c r="A51" s="54">
        <v>2021</v>
      </c>
      <c r="B51" s="54">
        <v>440000</v>
      </c>
      <c r="C51" s="55" t="s">
        <v>55</v>
      </c>
      <c r="D51" s="49">
        <v>0</v>
      </c>
      <c r="E51" s="56">
        <v>1</v>
      </c>
      <c r="F51" s="49">
        <v>0</v>
      </c>
      <c r="G51" s="49">
        <v>0</v>
      </c>
      <c r="H51" s="56">
        <v>58.701</v>
      </c>
      <c r="I51" s="56">
        <v>41.299</v>
      </c>
      <c r="J51" s="56">
        <v>0.635</v>
      </c>
      <c r="K51" s="56">
        <v>9.869</v>
      </c>
      <c r="L51" s="56">
        <v>40.24</v>
      </c>
      <c r="M51" s="56">
        <v>23.558</v>
      </c>
      <c r="N51" s="56">
        <v>13.735</v>
      </c>
      <c r="O51" s="56">
        <v>10.833</v>
      </c>
      <c r="P51" s="56">
        <v>1.129</v>
      </c>
      <c r="Q51" s="50">
        <v>753</v>
      </c>
      <c r="R51" s="50">
        <v>2565</v>
      </c>
      <c r="S51" s="50">
        <v>3754</v>
      </c>
      <c r="T51" s="51">
        <v>7072</v>
      </c>
      <c r="U51" s="56">
        <v>2.1</v>
      </c>
      <c r="V51" s="56">
        <v>1.4</v>
      </c>
      <c r="W51" s="56">
        <v>830</v>
      </c>
      <c r="X51" s="56">
        <v>27.5</v>
      </c>
      <c r="Y51" s="56">
        <v>124.5</v>
      </c>
      <c r="Z51" s="56">
        <v>81.1</v>
      </c>
      <c r="AA51" s="56">
        <v>80.6</v>
      </c>
      <c r="AB51" s="56">
        <v>109.6</v>
      </c>
      <c r="AC51" s="56">
        <v>41.7</v>
      </c>
      <c r="AD51" s="56">
        <v>83.7</v>
      </c>
      <c r="AE51" s="56">
        <v>90.8</v>
      </c>
      <c r="AF51" s="56">
        <v>119.2</v>
      </c>
      <c r="AG51" s="56">
        <v>51.5</v>
      </c>
      <c r="AH51" s="56">
        <v>21.7</v>
      </c>
      <c r="AI51" s="56">
        <v>12.4</v>
      </c>
      <c r="AJ51" s="56">
        <v>170.2</v>
      </c>
      <c r="AK51" s="56">
        <v>95.7</v>
      </c>
      <c r="AL51" s="56">
        <v>13.1</v>
      </c>
      <c r="AM51" s="56">
        <v>154.2</v>
      </c>
      <c r="AN51" s="56">
        <v>5079.485</v>
      </c>
      <c r="AO51" s="56">
        <v>2681.397</v>
      </c>
      <c r="AP51" s="56">
        <v>7760.882</v>
      </c>
      <c r="AQ51" s="56">
        <v>4757.138</v>
      </c>
      <c r="AR51" s="56">
        <v>6514.781</v>
      </c>
      <c r="AS51" s="56">
        <v>11271.919</v>
      </c>
    </row>
    <row r="52" spans="1:45">
      <c r="A52" s="54">
        <v>2022</v>
      </c>
      <c r="B52" s="54">
        <v>440000</v>
      </c>
      <c r="C52" s="55" t="s">
        <v>55</v>
      </c>
      <c r="D52" s="56">
        <v>0</v>
      </c>
      <c r="E52" s="56">
        <v>1</v>
      </c>
      <c r="F52" s="56">
        <v>0</v>
      </c>
      <c r="G52" s="56">
        <v>0</v>
      </c>
      <c r="H52" s="56">
        <v>58.236</v>
      </c>
      <c r="I52" s="56">
        <v>41.764</v>
      </c>
      <c r="J52" s="56">
        <v>0.686</v>
      </c>
      <c r="K52" s="56">
        <v>12.152</v>
      </c>
      <c r="L52" s="56">
        <v>39.003</v>
      </c>
      <c r="M52" s="56">
        <v>20.672</v>
      </c>
      <c r="N52" s="56">
        <v>14.18</v>
      </c>
      <c r="O52" s="56">
        <v>12.061</v>
      </c>
      <c r="P52" s="56">
        <v>1.246</v>
      </c>
      <c r="Q52" s="50">
        <v>722</v>
      </c>
      <c r="R52" s="50">
        <v>2524</v>
      </c>
      <c r="S52" s="50">
        <v>3658</v>
      </c>
      <c r="T52" s="51">
        <v>6904</v>
      </c>
      <c r="U52" s="56">
        <v>1.9</v>
      </c>
      <c r="V52" s="56">
        <v>1.5</v>
      </c>
      <c r="W52" s="56">
        <v>782.2</v>
      </c>
      <c r="X52" s="56">
        <v>26.8</v>
      </c>
      <c r="Y52" s="56">
        <v>119.6</v>
      </c>
      <c r="Z52" s="56">
        <v>80</v>
      </c>
      <c r="AA52" s="56">
        <v>83.9</v>
      </c>
      <c r="AB52" s="56">
        <v>109.1</v>
      </c>
      <c r="AC52" s="56">
        <v>40.5</v>
      </c>
      <c r="AD52" s="56">
        <v>79</v>
      </c>
      <c r="AE52" s="56">
        <v>90.8</v>
      </c>
      <c r="AF52" s="56">
        <v>130.6</v>
      </c>
      <c r="AG52" s="56">
        <v>52.4</v>
      </c>
      <c r="AH52" s="56">
        <v>22.4</v>
      </c>
      <c r="AI52" s="56">
        <v>13</v>
      </c>
      <c r="AJ52" s="56">
        <v>169.7</v>
      </c>
      <c r="AK52" s="56">
        <v>96.9</v>
      </c>
      <c r="AL52" s="56">
        <v>12.5</v>
      </c>
      <c r="AM52" s="56">
        <v>154</v>
      </c>
      <c r="AN52" s="56">
        <v>5229.207</v>
      </c>
      <c r="AO52" s="56">
        <v>2764.324</v>
      </c>
      <c r="AP52" s="56">
        <v>7993.531</v>
      </c>
      <c r="AQ52" s="56">
        <v>4856.021</v>
      </c>
      <c r="AR52" s="56">
        <v>6297.178</v>
      </c>
      <c r="AS52" s="56">
        <v>11153.198</v>
      </c>
    </row>
    <row r="53" spans="1:45">
      <c r="A53" s="54">
        <v>2013</v>
      </c>
      <c r="B53" s="54">
        <v>450000</v>
      </c>
      <c r="C53" s="55" t="s">
        <v>56</v>
      </c>
      <c r="D53" s="56">
        <v>1</v>
      </c>
      <c r="E53" s="49">
        <v>0</v>
      </c>
      <c r="F53" s="49">
        <v>0</v>
      </c>
      <c r="G53" s="49">
        <v>0</v>
      </c>
      <c r="J53" s="56">
        <v>1.214</v>
      </c>
      <c r="K53" s="56">
        <v>18.992</v>
      </c>
      <c r="L53" s="56">
        <v>57.736</v>
      </c>
      <c r="M53" s="56">
        <v>13.723</v>
      </c>
      <c r="N53" s="56">
        <v>5.344</v>
      </c>
      <c r="O53" s="56">
        <v>2.761</v>
      </c>
      <c r="P53" s="56">
        <v>0.23</v>
      </c>
      <c r="Q53" s="50">
        <v>1478.43</v>
      </c>
      <c r="R53" s="50">
        <v>528.98</v>
      </c>
      <c r="S53" s="50">
        <v>774.85</v>
      </c>
      <c r="T53" s="51">
        <v>2782.26</v>
      </c>
      <c r="U53" s="56">
        <v>9.1</v>
      </c>
      <c r="V53" s="56">
        <v>4.4</v>
      </c>
      <c r="W53" s="56">
        <v>80.8</v>
      </c>
      <c r="X53" s="56">
        <v>14.7</v>
      </c>
      <c r="Y53" s="56">
        <v>60.9</v>
      </c>
      <c r="Z53" s="56">
        <v>21.2</v>
      </c>
      <c r="AA53" s="56">
        <v>5.2</v>
      </c>
      <c r="AB53" s="56">
        <v>14.1</v>
      </c>
      <c r="AC53" s="56">
        <v>5.4</v>
      </c>
      <c r="AD53" s="56">
        <v>11.6</v>
      </c>
      <c r="AE53" s="56">
        <v>7.8</v>
      </c>
      <c r="AF53" s="56">
        <v>9.8</v>
      </c>
      <c r="AG53" s="56">
        <v>9.4</v>
      </c>
      <c r="AH53" s="56">
        <v>9.6</v>
      </c>
      <c r="AI53" s="56">
        <v>0.6</v>
      </c>
      <c r="AJ53" s="56">
        <v>61.8</v>
      </c>
      <c r="AK53" s="56">
        <v>28</v>
      </c>
      <c r="AL53" s="56">
        <v>3.3</v>
      </c>
      <c r="AM53" s="56">
        <v>45.2</v>
      </c>
      <c r="AN53" s="56">
        <v>538.369</v>
      </c>
      <c r="AO53" s="56">
        <v>1663.986</v>
      </c>
      <c r="AP53" s="56">
        <v>2202.355</v>
      </c>
      <c r="AQ53" s="56">
        <v>466.615</v>
      </c>
      <c r="AR53" s="56">
        <v>564.36</v>
      </c>
      <c r="AS53" s="56">
        <v>1030.975</v>
      </c>
    </row>
    <row r="54" spans="1:45">
      <c r="A54" s="54">
        <v>2014</v>
      </c>
      <c r="B54" s="54">
        <v>450000</v>
      </c>
      <c r="C54" s="55" t="s">
        <v>56</v>
      </c>
      <c r="D54" s="56">
        <v>1</v>
      </c>
      <c r="E54" s="56">
        <v>0</v>
      </c>
      <c r="F54" s="56">
        <v>0</v>
      </c>
      <c r="G54" s="56">
        <v>0</v>
      </c>
      <c r="H54" s="56">
        <v>54.7</v>
      </c>
      <c r="I54" s="56">
        <v>45.3</v>
      </c>
      <c r="J54" s="56">
        <v>0.9</v>
      </c>
      <c r="K54" s="56">
        <v>18.3</v>
      </c>
      <c r="L54" s="56">
        <v>58.2</v>
      </c>
      <c r="M54" s="56">
        <v>12.2</v>
      </c>
      <c r="N54" s="56">
        <v>7.2</v>
      </c>
      <c r="O54" s="56">
        <v>3</v>
      </c>
      <c r="P54" s="56">
        <v>0.3</v>
      </c>
      <c r="Q54" s="50">
        <v>1450</v>
      </c>
      <c r="R54" s="50">
        <v>540</v>
      </c>
      <c r="S54" s="50">
        <v>805</v>
      </c>
      <c r="T54" s="51">
        <v>2795</v>
      </c>
      <c r="U54" s="56">
        <v>8.3</v>
      </c>
      <c r="V54" s="56">
        <v>3.8</v>
      </c>
      <c r="W54" s="56">
        <v>78.2</v>
      </c>
      <c r="X54" s="56">
        <v>14.1</v>
      </c>
      <c r="Y54" s="56">
        <v>61</v>
      </c>
      <c r="Z54" s="56">
        <v>20.9</v>
      </c>
      <c r="AA54" s="56">
        <v>4.5</v>
      </c>
      <c r="AB54" s="56">
        <v>13.3</v>
      </c>
      <c r="AC54" s="56">
        <v>5</v>
      </c>
      <c r="AD54" s="56">
        <v>11.8</v>
      </c>
      <c r="AE54" s="56">
        <v>8</v>
      </c>
      <c r="AF54" s="56">
        <v>11.1</v>
      </c>
      <c r="AG54" s="56">
        <v>9.8</v>
      </c>
      <c r="AH54" s="56">
        <v>9.6</v>
      </c>
      <c r="AI54" s="56">
        <v>0.8</v>
      </c>
      <c r="AJ54" s="56">
        <v>61.9</v>
      </c>
      <c r="AK54" s="56">
        <v>29.9</v>
      </c>
      <c r="AL54" s="56">
        <v>3.4</v>
      </c>
      <c r="AM54" s="56">
        <v>46.4</v>
      </c>
      <c r="AN54" s="56">
        <v>557.6</v>
      </c>
      <c r="AO54" s="56">
        <v>1713.9</v>
      </c>
      <c r="AP54" s="56">
        <v>2271.5</v>
      </c>
      <c r="AQ54" s="56">
        <v>482.6</v>
      </c>
      <c r="AR54" s="56">
        <v>584.7</v>
      </c>
      <c r="AS54" s="56">
        <v>1067.3</v>
      </c>
    </row>
    <row r="55" spans="1:45">
      <c r="A55" s="54">
        <v>2015</v>
      </c>
      <c r="B55" s="54">
        <v>450000</v>
      </c>
      <c r="C55" s="55" t="s">
        <v>56</v>
      </c>
      <c r="D55" s="49">
        <v>1</v>
      </c>
      <c r="E55" s="49">
        <v>0</v>
      </c>
      <c r="F55" s="49">
        <v>0</v>
      </c>
      <c r="G55" s="49">
        <v>0</v>
      </c>
      <c r="H55" s="56">
        <v>56.374</v>
      </c>
      <c r="I55" s="56">
        <v>43.626</v>
      </c>
      <c r="J55" s="56">
        <v>1.729</v>
      </c>
      <c r="K55" s="56">
        <v>19.194</v>
      </c>
      <c r="L55" s="56">
        <v>49.981</v>
      </c>
      <c r="M55" s="56">
        <v>9.325</v>
      </c>
      <c r="N55" s="56">
        <v>8.061</v>
      </c>
      <c r="O55" s="56">
        <v>4.975</v>
      </c>
      <c r="P55" s="56">
        <v>0.411</v>
      </c>
      <c r="Q55" s="50">
        <v>1297</v>
      </c>
      <c r="R55" s="50">
        <v>497</v>
      </c>
      <c r="S55" s="50">
        <v>801</v>
      </c>
      <c r="T55" s="51">
        <v>2595</v>
      </c>
      <c r="U55" s="56">
        <v>8.2</v>
      </c>
      <c r="V55" s="56">
        <v>3</v>
      </c>
      <c r="W55" s="56">
        <v>76.2</v>
      </c>
      <c r="X55" s="56">
        <v>13.9</v>
      </c>
      <c r="Y55" s="56">
        <v>65.2</v>
      </c>
      <c r="Z55" s="56">
        <v>20</v>
      </c>
      <c r="AA55" s="56">
        <v>4.4</v>
      </c>
      <c r="AB55" s="56">
        <v>13.4</v>
      </c>
      <c r="AC55" s="56">
        <v>4.8</v>
      </c>
      <c r="AD55" s="56">
        <v>13.3</v>
      </c>
      <c r="AE55" s="56">
        <v>7.9</v>
      </c>
      <c r="AF55" s="56">
        <v>11.2</v>
      </c>
      <c r="AG55" s="56">
        <v>9.5</v>
      </c>
      <c r="AH55" s="56">
        <v>9.3</v>
      </c>
      <c r="AI55" s="56">
        <v>0.8</v>
      </c>
      <c r="AJ55" s="56">
        <v>62</v>
      </c>
      <c r="AK55" s="56">
        <v>30.7</v>
      </c>
      <c r="AL55" s="56">
        <v>3.4</v>
      </c>
      <c r="AM55" s="56">
        <v>48.2</v>
      </c>
      <c r="AN55" s="56">
        <v>576.629</v>
      </c>
      <c r="AO55" s="56">
        <v>1741.513</v>
      </c>
      <c r="AP55" s="56">
        <v>2318.142</v>
      </c>
      <c r="AQ55" s="56">
        <v>505.485</v>
      </c>
      <c r="AR55" s="56">
        <v>572.1</v>
      </c>
      <c r="AS55" s="56">
        <v>1077.585</v>
      </c>
    </row>
    <row r="56" spans="1:45">
      <c r="A56" s="54">
        <v>2016</v>
      </c>
      <c r="B56" s="54">
        <v>450000</v>
      </c>
      <c r="C56" s="55" t="s">
        <v>56</v>
      </c>
      <c r="D56" s="56">
        <v>1</v>
      </c>
      <c r="E56" s="56">
        <v>0</v>
      </c>
      <c r="F56" s="56">
        <v>0</v>
      </c>
      <c r="G56" s="56">
        <v>0</v>
      </c>
      <c r="H56" s="56">
        <v>55.471</v>
      </c>
      <c r="I56" s="56">
        <v>44.529</v>
      </c>
      <c r="J56" s="56">
        <v>1.472</v>
      </c>
      <c r="K56" s="56">
        <v>19.768</v>
      </c>
      <c r="L56" s="56">
        <v>49.933</v>
      </c>
      <c r="M56" s="56">
        <v>9.539</v>
      </c>
      <c r="N56" s="56">
        <v>7.799</v>
      </c>
      <c r="O56" s="56">
        <v>4.852</v>
      </c>
      <c r="P56" s="56">
        <v>0.456</v>
      </c>
      <c r="Q56" s="50">
        <v>1207</v>
      </c>
      <c r="R56" s="50">
        <v>528</v>
      </c>
      <c r="S56" s="50">
        <v>848</v>
      </c>
      <c r="T56" s="51">
        <v>2583</v>
      </c>
      <c r="U56" s="56">
        <v>7.8</v>
      </c>
      <c r="V56" s="56">
        <v>3.1</v>
      </c>
      <c r="W56" s="56">
        <v>72.4</v>
      </c>
      <c r="X56" s="56">
        <v>13.7</v>
      </c>
      <c r="Y56" s="56">
        <v>64.9</v>
      </c>
      <c r="Z56" s="56">
        <v>19.4</v>
      </c>
      <c r="AA56" s="56">
        <v>4.2</v>
      </c>
      <c r="AB56" s="56">
        <v>13.5</v>
      </c>
      <c r="AC56" s="56">
        <v>4.6</v>
      </c>
      <c r="AD56" s="56">
        <v>14.3</v>
      </c>
      <c r="AE56" s="56">
        <v>8</v>
      </c>
      <c r="AF56" s="56">
        <v>10</v>
      </c>
      <c r="AG56" s="56">
        <v>8.9</v>
      </c>
      <c r="AH56" s="56">
        <v>8.5</v>
      </c>
      <c r="AI56" s="56">
        <v>0.7</v>
      </c>
      <c r="AJ56" s="56">
        <v>61.8</v>
      </c>
      <c r="AK56" s="56">
        <v>31.7</v>
      </c>
      <c r="AL56" s="56">
        <v>3.2</v>
      </c>
      <c r="AM56" s="56">
        <v>50.5</v>
      </c>
      <c r="AN56" s="56">
        <v>751.912</v>
      </c>
      <c r="AO56" s="56">
        <v>1770.91</v>
      </c>
      <c r="AP56" s="56">
        <v>2522.822</v>
      </c>
      <c r="AQ56" s="56">
        <v>530.712</v>
      </c>
      <c r="AR56" s="56">
        <v>565.71</v>
      </c>
      <c r="AS56" s="56">
        <v>1096.422</v>
      </c>
    </row>
    <row r="57" spans="1:45">
      <c r="A57" s="54">
        <v>2017</v>
      </c>
      <c r="B57" s="54">
        <v>450000</v>
      </c>
      <c r="C57" s="55" t="s">
        <v>56</v>
      </c>
      <c r="D57" s="56">
        <v>1</v>
      </c>
      <c r="E57" s="49">
        <v>0</v>
      </c>
      <c r="F57" s="49">
        <v>0</v>
      </c>
      <c r="G57" s="49">
        <v>0</v>
      </c>
      <c r="H57" s="56">
        <v>55.836</v>
      </c>
      <c r="I57" s="56">
        <v>44.164</v>
      </c>
      <c r="J57" s="56">
        <v>1.025</v>
      </c>
      <c r="K57" s="56">
        <v>18.023</v>
      </c>
      <c r="L57" s="56">
        <v>51.615</v>
      </c>
      <c r="M57" s="56">
        <v>9.602</v>
      </c>
      <c r="N57" s="56">
        <v>7.327</v>
      </c>
      <c r="O57" s="56">
        <v>5.168</v>
      </c>
      <c r="P57" s="56">
        <v>0.428</v>
      </c>
      <c r="Q57" s="50">
        <v>1110</v>
      </c>
      <c r="R57" s="50">
        <v>556</v>
      </c>
      <c r="S57" s="50">
        <v>900</v>
      </c>
      <c r="T57" s="51">
        <v>2566</v>
      </c>
      <c r="U57" s="56">
        <v>7.3</v>
      </c>
      <c r="V57" s="56">
        <v>3.4</v>
      </c>
      <c r="W57" s="56">
        <v>66.9</v>
      </c>
      <c r="X57" s="56">
        <v>11.8</v>
      </c>
      <c r="Y57" s="56">
        <v>65.1</v>
      </c>
      <c r="Z57" s="56">
        <v>19</v>
      </c>
      <c r="AA57" s="56">
        <v>4</v>
      </c>
      <c r="AB57" s="56">
        <v>12.7</v>
      </c>
      <c r="AC57" s="56">
        <v>4.4</v>
      </c>
      <c r="AD57" s="56">
        <v>14.7</v>
      </c>
      <c r="AE57" s="56">
        <v>7.9</v>
      </c>
      <c r="AF57" s="56">
        <v>10.8</v>
      </c>
      <c r="AG57" s="56">
        <v>8.3</v>
      </c>
      <c r="AH57" s="56">
        <v>7.9</v>
      </c>
      <c r="AI57" s="56">
        <v>0.7</v>
      </c>
      <c r="AJ57" s="56">
        <v>62.4</v>
      </c>
      <c r="AK57" s="56">
        <v>33.3</v>
      </c>
      <c r="AL57" s="56">
        <v>3.3</v>
      </c>
      <c r="AM57" s="56">
        <v>54</v>
      </c>
      <c r="AN57" s="56">
        <v>777.791</v>
      </c>
      <c r="AO57" s="56">
        <v>1805.94</v>
      </c>
      <c r="AP57" s="56">
        <v>2583.731</v>
      </c>
      <c r="AQ57" s="56">
        <v>556.746</v>
      </c>
      <c r="AR57" s="56">
        <v>4616.54</v>
      </c>
      <c r="AS57" s="56">
        <v>5173.286</v>
      </c>
    </row>
    <row r="58" spans="1:45">
      <c r="A58" s="54">
        <v>2018</v>
      </c>
      <c r="B58" s="54">
        <v>450000</v>
      </c>
      <c r="C58" s="55" t="s">
        <v>56</v>
      </c>
      <c r="D58" s="49">
        <v>1</v>
      </c>
      <c r="E58" s="56">
        <v>0</v>
      </c>
      <c r="F58" s="56">
        <v>0</v>
      </c>
      <c r="G58" s="56">
        <v>0</v>
      </c>
      <c r="H58" s="56">
        <v>54.992</v>
      </c>
      <c r="I58" s="56">
        <v>45.008</v>
      </c>
      <c r="J58" s="56">
        <v>1.284</v>
      </c>
      <c r="K58" s="56">
        <v>18.818</v>
      </c>
      <c r="L58" s="56">
        <v>51.34</v>
      </c>
      <c r="M58" s="56">
        <v>9.764</v>
      </c>
      <c r="N58" s="56">
        <v>6.89</v>
      </c>
      <c r="O58" s="56">
        <v>4.99</v>
      </c>
      <c r="P58" s="56">
        <v>0.421</v>
      </c>
      <c r="Q58" s="50">
        <v>1024</v>
      </c>
      <c r="R58" s="50">
        <v>597</v>
      </c>
      <c r="S58" s="50">
        <v>941</v>
      </c>
      <c r="T58" s="51">
        <v>2562</v>
      </c>
      <c r="U58" s="56">
        <v>5.9</v>
      </c>
      <c r="V58" s="56">
        <v>3</v>
      </c>
      <c r="W58" s="56">
        <v>53</v>
      </c>
      <c r="X58" s="56">
        <v>10.2</v>
      </c>
      <c r="Y58" s="56">
        <v>66.8</v>
      </c>
      <c r="Z58" s="56">
        <v>18.8</v>
      </c>
      <c r="AA58" s="56">
        <v>4.9</v>
      </c>
      <c r="AB58" s="56">
        <v>12.5</v>
      </c>
      <c r="AC58" s="56">
        <v>4.4</v>
      </c>
      <c r="AD58" s="56">
        <v>15.6</v>
      </c>
      <c r="AE58" s="56">
        <v>7.8</v>
      </c>
      <c r="AF58" s="56">
        <v>11.8</v>
      </c>
      <c r="AG58" s="56">
        <v>7.1</v>
      </c>
      <c r="AH58" s="56">
        <v>7.1</v>
      </c>
      <c r="AI58" s="56">
        <v>0.7</v>
      </c>
      <c r="AJ58" s="56">
        <v>63.1</v>
      </c>
      <c r="AK58" s="56">
        <v>33.5</v>
      </c>
      <c r="AL58" s="56">
        <v>3.2</v>
      </c>
      <c r="AM58" s="56">
        <v>57.5</v>
      </c>
      <c r="AN58" s="56">
        <v>825.876</v>
      </c>
      <c r="AO58" s="56">
        <v>1889.617</v>
      </c>
      <c r="AP58" s="56">
        <v>2715.493</v>
      </c>
      <c r="AQ58" s="56">
        <v>588.47</v>
      </c>
      <c r="AR58" s="56">
        <v>4548.218</v>
      </c>
      <c r="AS58" s="56">
        <v>5136.688</v>
      </c>
    </row>
    <row r="59" spans="1:45">
      <c r="A59" s="54">
        <v>2019</v>
      </c>
      <c r="B59" s="54">
        <v>450000</v>
      </c>
      <c r="C59" s="55" t="s">
        <v>56</v>
      </c>
      <c r="D59" s="56">
        <v>1</v>
      </c>
      <c r="E59" s="49">
        <v>0</v>
      </c>
      <c r="F59" s="49">
        <v>0</v>
      </c>
      <c r="G59" s="49">
        <v>0</v>
      </c>
      <c r="H59" s="56">
        <v>55.7</v>
      </c>
      <c r="I59" s="56">
        <v>44.3</v>
      </c>
      <c r="J59" s="56">
        <v>1.2</v>
      </c>
      <c r="K59" s="56">
        <v>17.2</v>
      </c>
      <c r="L59" s="56">
        <v>50.7</v>
      </c>
      <c r="M59" s="56">
        <v>15.5</v>
      </c>
      <c r="N59" s="56">
        <v>8.8</v>
      </c>
      <c r="O59" s="56">
        <v>6</v>
      </c>
      <c r="P59" s="56">
        <v>0.5</v>
      </c>
      <c r="Q59" s="50">
        <v>951</v>
      </c>
      <c r="R59" s="50">
        <v>625</v>
      </c>
      <c r="S59" s="50">
        <v>982</v>
      </c>
      <c r="T59" s="51">
        <v>2558</v>
      </c>
      <c r="U59" s="56">
        <v>5.4</v>
      </c>
      <c r="V59" s="56">
        <v>1.4</v>
      </c>
      <c r="W59" s="56">
        <v>50</v>
      </c>
      <c r="X59" s="56">
        <v>10</v>
      </c>
      <c r="Y59" s="56">
        <v>71.9</v>
      </c>
      <c r="Z59" s="56">
        <v>19.1</v>
      </c>
      <c r="AA59" s="56">
        <v>4.5</v>
      </c>
      <c r="AB59" s="56">
        <v>13</v>
      </c>
      <c r="AC59" s="56">
        <v>4.4</v>
      </c>
      <c r="AD59" s="56">
        <v>19.6</v>
      </c>
      <c r="AE59" s="56">
        <v>9.1</v>
      </c>
      <c r="AF59" s="56">
        <v>11.3</v>
      </c>
      <c r="AG59" s="56">
        <v>7.4</v>
      </c>
      <c r="AH59" s="56">
        <v>7.4</v>
      </c>
      <c r="AI59" s="56">
        <v>1</v>
      </c>
      <c r="AJ59" s="56">
        <v>68.7</v>
      </c>
      <c r="AK59" s="56">
        <v>35.3</v>
      </c>
      <c r="AL59" s="56">
        <v>3.2</v>
      </c>
      <c r="AM59" s="56">
        <v>61.6</v>
      </c>
      <c r="AN59" s="56">
        <v>869.5</v>
      </c>
      <c r="AO59" s="56">
        <v>1983.7</v>
      </c>
      <c r="AP59" s="56">
        <v>2853.2</v>
      </c>
      <c r="AQ59" s="56">
        <v>620.5</v>
      </c>
      <c r="AR59" s="56">
        <v>4586.6</v>
      </c>
      <c r="AS59" s="56">
        <v>5207.2</v>
      </c>
    </row>
    <row r="60" spans="1:45">
      <c r="A60" s="54">
        <v>2020</v>
      </c>
      <c r="B60" s="54">
        <v>450000</v>
      </c>
      <c r="C60" s="55" t="s">
        <v>56</v>
      </c>
      <c r="D60" s="56">
        <v>1</v>
      </c>
      <c r="E60" s="56">
        <v>0</v>
      </c>
      <c r="F60" s="56">
        <v>0</v>
      </c>
      <c r="G60" s="56">
        <v>0</v>
      </c>
      <c r="H60" s="56">
        <v>55.6</v>
      </c>
      <c r="I60" s="56">
        <v>44.4</v>
      </c>
      <c r="J60" s="56">
        <v>0.8</v>
      </c>
      <c r="K60" s="56">
        <v>16.8</v>
      </c>
      <c r="L60" s="56">
        <v>52.1</v>
      </c>
      <c r="M60" s="56">
        <v>15.2</v>
      </c>
      <c r="N60" s="56">
        <v>8.5</v>
      </c>
      <c r="O60" s="56">
        <v>6.3</v>
      </c>
      <c r="P60" s="56">
        <v>0.4</v>
      </c>
      <c r="Q60" s="50">
        <v>866</v>
      </c>
      <c r="R60" s="50">
        <v>655</v>
      </c>
      <c r="S60" s="50">
        <v>1037</v>
      </c>
      <c r="T60" s="51">
        <v>2558</v>
      </c>
      <c r="U60" s="56">
        <v>2.6</v>
      </c>
      <c r="V60" s="56">
        <v>0.8</v>
      </c>
      <c r="W60" s="56">
        <v>51.2</v>
      </c>
      <c r="X60" s="56">
        <v>11.6</v>
      </c>
      <c r="Y60" s="56">
        <v>67</v>
      </c>
      <c r="Z60" s="56">
        <v>18.6</v>
      </c>
      <c r="AA60" s="56">
        <v>5.9</v>
      </c>
      <c r="AB60" s="56">
        <v>12.8</v>
      </c>
      <c r="AC60" s="56">
        <v>4.1</v>
      </c>
      <c r="AD60" s="56">
        <v>19.5</v>
      </c>
      <c r="AE60" s="56">
        <v>9.4</v>
      </c>
      <c r="AF60" s="56">
        <v>13.4</v>
      </c>
      <c r="AG60" s="56">
        <v>8.6</v>
      </c>
      <c r="AH60" s="56">
        <v>7.1</v>
      </c>
      <c r="AI60" s="56">
        <v>0.9</v>
      </c>
      <c r="AJ60" s="56">
        <v>76.7</v>
      </c>
      <c r="AK60" s="56">
        <v>38.1</v>
      </c>
      <c r="AL60" s="56">
        <v>2.9</v>
      </c>
      <c r="AM60" s="56">
        <v>59.2</v>
      </c>
      <c r="AN60" s="56">
        <v>919.5</v>
      </c>
      <c r="AO60" s="56">
        <v>2437.7</v>
      </c>
      <c r="AP60" s="56">
        <v>3357.3</v>
      </c>
      <c r="AQ60" s="56">
        <v>656.2</v>
      </c>
      <c r="AR60" s="56">
        <v>4561</v>
      </c>
      <c r="AS60" s="56">
        <v>5217.2</v>
      </c>
    </row>
    <row r="61" spans="1:45">
      <c r="A61" s="54">
        <v>2021</v>
      </c>
      <c r="B61" s="54">
        <v>450000</v>
      </c>
      <c r="C61" s="55" t="s">
        <v>56</v>
      </c>
      <c r="D61" s="49">
        <v>1</v>
      </c>
      <c r="E61" s="49">
        <v>0</v>
      </c>
      <c r="F61" s="49">
        <v>0</v>
      </c>
      <c r="G61" s="49">
        <v>0</v>
      </c>
      <c r="H61" s="56">
        <v>55.888</v>
      </c>
      <c r="I61" s="56">
        <v>44.112</v>
      </c>
      <c r="J61" s="56">
        <v>1.123</v>
      </c>
      <c r="K61" s="56">
        <v>17.2</v>
      </c>
      <c r="L61" s="56">
        <v>49.246</v>
      </c>
      <c r="M61" s="56">
        <v>15.513</v>
      </c>
      <c r="N61" s="56">
        <v>9.034</v>
      </c>
      <c r="O61" s="56">
        <v>7.368</v>
      </c>
      <c r="P61" s="56">
        <v>0.515</v>
      </c>
      <c r="Q61" s="50">
        <v>842</v>
      </c>
      <c r="R61" s="50">
        <v>659</v>
      </c>
      <c r="S61" s="50">
        <v>1043</v>
      </c>
      <c r="T61" s="51">
        <v>2544</v>
      </c>
      <c r="U61" s="56">
        <v>3.3</v>
      </c>
      <c r="V61" s="56">
        <v>0.9</v>
      </c>
      <c r="W61" s="56">
        <v>54.2</v>
      </c>
      <c r="X61" s="56">
        <v>11.3</v>
      </c>
      <c r="Y61" s="56">
        <v>56.4</v>
      </c>
      <c r="Z61" s="56">
        <v>18.9</v>
      </c>
      <c r="AA61" s="56">
        <v>5.9</v>
      </c>
      <c r="AB61" s="56">
        <v>13.6</v>
      </c>
      <c r="AC61" s="56">
        <v>4.5</v>
      </c>
      <c r="AD61" s="56">
        <v>19</v>
      </c>
      <c r="AE61" s="56">
        <v>9.4</v>
      </c>
      <c r="AF61" s="56">
        <v>17.9</v>
      </c>
      <c r="AG61" s="56">
        <v>8.8</v>
      </c>
      <c r="AH61" s="56">
        <v>7.1</v>
      </c>
      <c r="AI61" s="56">
        <v>1.2</v>
      </c>
      <c r="AJ61" s="56">
        <v>77</v>
      </c>
      <c r="AK61" s="56">
        <v>38.5</v>
      </c>
      <c r="AL61" s="56">
        <v>3.3</v>
      </c>
      <c r="AM61" s="56">
        <v>59.3</v>
      </c>
      <c r="AN61" s="56">
        <v>985.253</v>
      </c>
      <c r="AO61" s="56">
        <v>2671.828</v>
      </c>
      <c r="AP61" s="56">
        <v>3657.081</v>
      </c>
      <c r="AQ61" s="56">
        <v>714.771</v>
      </c>
      <c r="AR61" s="56">
        <v>4534.499</v>
      </c>
      <c r="AS61" s="56">
        <v>5249.27</v>
      </c>
    </row>
    <row r="62" spans="1:45">
      <c r="A62" s="54">
        <v>2022</v>
      </c>
      <c r="B62" s="54">
        <v>450000</v>
      </c>
      <c r="C62" s="55" t="s">
        <v>56</v>
      </c>
      <c r="D62" s="56">
        <v>1</v>
      </c>
      <c r="E62" s="56">
        <v>0</v>
      </c>
      <c r="F62" s="56">
        <v>0</v>
      </c>
      <c r="G62" s="56">
        <v>0</v>
      </c>
      <c r="H62" s="56">
        <v>55.98</v>
      </c>
      <c r="I62" s="56">
        <v>44.02</v>
      </c>
      <c r="J62" s="56">
        <v>1.251</v>
      </c>
      <c r="K62" s="56">
        <v>19.072</v>
      </c>
      <c r="L62" s="56">
        <v>47.869</v>
      </c>
      <c r="M62" s="56">
        <v>13.629</v>
      </c>
      <c r="N62" s="56">
        <v>9.362</v>
      </c>
      <c r="O62" s="56">
        <v>8.408</v>
      </c>
      <c r="P62" s="56">
        <v>0.41</v>
      </c>
      <c r="Q62" s="50">
        <v>857</v>
      </c>
      <c r="R62" s="50">
        <v>635</v>
      </c>
      <c r="S62" s="50">
        <v>1016</v>
      </c>
      <c r="T62" s="51">
        <v>2508</v>
      </c>
      <c r="U62" s="56">
        <v>3.1</v>
      </c>
      <c r="V62" s="56">
        <v>0.8</v>
      </c>
      <c r="W62" s="56">
        <v>55.7</v>
      </c>
      <c r="X62" s="56">
        <v>10.8</v>
      </c>
      <c r="Y62" s="56">
        <v>44.2</v>
      </c>
      <c r="Z62" s="56">
        <v>17.3</v>
      </c>
      <c r="AA62" s="56">
        <v>5.7</v>
      </c>
      <c r="AB62" s="56">
        <v>14.2</v>
      </c>
      <c r="AC62" s="56">
        <v>4.6</v>
      </c>
      <c r="AD62" s="56">
        <v>16</v>
      </c>
      <c r="AE62" s="56">
        <v>8.5</v>
      </c>
      <c r="AF62" s="56">
        <v>17.2</v>
      </c>
      <c r="AG62" s="56">
        <v>9.1</v>
      </c>
      <c r="AH62" s="56">
        <v>7.1</v>
      </c>
      <c r="AI62" s="56">
        <v>1.4</v>
      </c>
      <c r="AJ62" s="56">
        <v>78.9</v>
      </c>
      <c r="AK62" s="56">
        <v>39.2</v>
      </c>
      <c r="AL62" s="56">
        <v>3.3</v>
      </c>
      <c r="AM62" s="56">
        <v>58.8</v>
      </c>
      <c r="AN62" s="56">
        <v>1032.601</v>
      </c>
      <c r="AO62" s="56">
        <v>2671.828</v>
      </c>
      <c r="AP62" s="56">
        <v>3704.429</v>
      </c>
      <c r="AQ62" s="56">
        <v>730.386</v>
      </c>
      <c r="AR62" s="56">
        <v>4471.467</v>
      </c>
      <c r="AS62" s="56">
        <v>5201.853</v>
      </c>
    </row>
    <row r="63" spans="1:45">
      <c r="A63" s="54">
        <v>2013</v>
      </c>
      <c r="B63" s="54">
        <v>520000</v>
      </c>
      <c r="C63" s="55" t="s">
        <v>57</v>
      </c>
      <c r="D63" s="56">
        <v>1</v>
      </c>
      <c r="E63" s="49">
        <v>0</v>
      </c>
      <c r="F63" s="49">
        <v>0</v>
      </c>
      <c r="G63" s="49">
        <v>0</v>
      </c>
      <c r="J63" s="56">
        <v>3.597</v>
      </c>
      <c r="K63" s="56">
        <v>31.591</v>
      </c>
      <c r="L63" s="56">
        <v>47.715</v>
      </c>
      <c r="M63" s="56">
        <v>7.758</v>
      </c>
      <c r="N63" s="56">
        <v>5.688</v>
      </c>
      <c r="O63" s="56">
        <v>3.596</v>
      </c>
      <c r="P63" s="56">
        <v>0.056</v>
      </c>
      <c r="Q63" s="50">
        <v>1039.884</v>
      </c>
      <c r="R63" s="50">
        <v>278.2004</v>
      </c>
      <c r="S63" s="50">
        <v>477.9156</v>
      </c>
      <c r="T63" s="51">
        <v>1796</v>
      </c>
      <c r="U63" s="56">
        <v>1.6</v>
      </c>
      <c r="V63" s="56">
        <v>18.4</v>
      </c>
      <c r="W63" s="56">
        <v>46.4</v>
      </c>
      <c r="X63" s="56">
        <v>13.5</v>
      </c>
      <c r="Y63" s="56">
        <v>39.5</v>
      </c>
      <c r="Z63" s="56">
        <v>11.3</v>
      </c>
      <c r="AA63" s="56">
        <v>3.4</v>
      </c>
      <c r="AB63" s="56">
        <v>14</v>
      </c>
      <c r="AC63" s="56">
        <v>4.1</v>
      </c>
      <c r="AD63" s="56">
        <v>8</v>
      </c>
      <c r="AE63" s="56">
        <v>6.9</v>
      </c>
      <c r="AF63" s="56">
        <v>4.6</v>
      </c>
      <c r="AG63" s="56">
        <v>6.5</v>
      </c>
      <c r="AH63" s="56">
        <v>4.6</v>
      </c>
      <c r="AI63" s="56">
        <v>1.3</v>
      </c>
      <c r="AJ63" s="56">
        <v>47.6</v>
      </c>
      <c r="AK63" s="56">
        <v>16.7</v>
      </c>
      <c r="AL63" s="56">
        <v>1.9</v>
      </c>
      <c r="AM63" s="56">
        <v>46.4</v>
      </c>
      <c r="AN63" s="56">
        <v>337.295</v>
      </c>
      <c r="AO63" s="56">
        <v>1487.215</v>
      </c>
      <c r="AP63" s="56">
        <v>1824.51</v>
      </c>
      <c r="AQ63" s="56">
        <v>344.716</v>
      </c>
      <c r="AR63" s="56">
        <v>327.374</v>
      </c>
      <c r="AS63" s="56">
        <v>672.09</v>
      </c>
    </row>
    <row r="64" spans="1:45">
      <c r="A64" s="54">
        <v>2014</v>
      </c>
      <c r="B64" s="54">
        <v>520000</v>
      </c>
      <c r="C64" s="55" t="s">
        <v>57</v>
      </c>
      <c r="D64" s="49">
        <v>1</v>
      </c>
      <c r="E64" s="56">
        <v>0</v>
      </c>
      <c r="F64" s="56">
        <v>0</v>
      </c>
      <c r="G64" s="56">
        <v>0</v>
      </c>
      <c r="H64" s="56">
        <v>52.7</v>
      </c>
      <c r="I64" s="56">
        <v>47.3</v>
      </c>
      <c r="J64" s="56">
        <v>5.4</v>
      </c>
      <c r="K64" s="56">
        <v>31.1</v>
      </c>
      <c r="L64" s="56">
        <v>45</v>
      </c>
      <c r="M64" s="56">
        <v>8.3</v>
      </c>
      <c r="N64" s="56">
        <v>6.4</v>
      </c>
      <c r="O64" s="56">
        <v>3.7</v>
      </c>
      <c r="P64" s="56">
        <v>0.1</v>
      </c>
      <c r="Q64" s="50">
        <v>990.808</v>
      </c>
      <c r="R64" s="50">
        <v>306.124</v>
      </c>
      <c r="S64" s="50">
        <v>523.068</v>
      </c>
      <c r="T64" s="51">
        <v>1820</v>
      </c>
      <c r="U64" s="56">
        <v>1.5</v>
      </c>
      <c r="V64" s="56">
        <v>17.6</v>
      </c>
      <c r="W64" s="56">
        <v>44.1</v>
      </c>
      <c r="X64" s="56">
        <v>13</v>
      </c>
      <c r="Y64" s="56">
        <v>42.8</v>
      </c>
      <c r="Z64" s="56">
        <v>11.1</v>
      </c>
      <c r="AA64" s="56">
        <v>3.3</v>
      </c>
      <c r="AB64" s="56">
        <v>13.9</v>
      </c>
      <c r="AC64" s="56">
        <v>3.9</v>
      </c>
      <c r="AD64" s="56">
        <v>8.4</v>
      </c>
      <c r="AE64" s="56">
        <v>7.9</v>
      </c>
      <c r="AF64" s="56">
        <v>4.5</v>
      </c>
      <c r="AG64" s="56">
        <v>7.7</v>
      </c>
      <c r="AH64" s="56">
        <v>5</v>
      </c>
      <c r="AI64" s="56">
        <v>1.3</v>
      </c>
      <c r="AJ64" s="56">
        <v>51.1</v>
      </c>
      <c r="AK64" s="56">
        <v>18.1</v>
      </c>
      <c r="AL64" s="56">
        <v>2</v>
      </c>
      <c r="AM64" s="56">
        <v>47.7</v>
      </c>
      <c r="AN64" s="56">
        <v>361.5</v>
      </c>
      <c r="AO64" s="56">
        <v>1586.6</v>
      </c>
      <c r="AP64" s="56">
        <v>1948.1</v>
      </c>
      <c r="AQ64" s="56">
        <v>354.8</v>
      </c>
      <c r="AR64" s="56">
        <v>332.4</v>
      </c>
      <c r="AS64" s="56">
        <v>687.1</v>
      </c>
    </row>
    <row r="65" spans="1:45">
      <c r="A65" s="54">
        <v>2015</v>
      </c>
      <c r="B65" s="54">
        <v>520000</v>
      </c>
      <c r="C65" s="55" t="s">
        <v>57</v>
      </c>
      <c r="D65" s="56">
        <v>1</v>
      </c>
      <c r="E65" s="49">
        <v>0</v>
      </c>
      <c r="F65" s="49">
        <v>0</v>
      </c>
      <c r="G65" s="49">
        <v>0</v>
      </c>
      <c r="H65" s="56">
        <v>55.449</v>
      </c>
      <c r="I65" s="56">
        <v>44.551</v>
      </c>
      <c r="J65" s="56">
        <v>8.715</v>
      </c>
      <c r="K65" s="56">
        <v>32.222</v>
      </c>
      <c r="L65" s="56">
        <v>40.26</v>
      </c>
      <c r="M65" s="56">
        <v>5.633</v>
      </c>
      <c r="N65" s="56">
        <v>5.322</v>
      </c>
      <c r="O65" s="56">
        <v>4.005</v>
      </c>
      <c r="P65" s="56">
        <v>0.154</v>
      </c>
      <c r="Q65" s="50">
        <v>937.578</v>
      </c>
      <c r="R65" s="50">
        <v>335.0598</v>
      </c>
      <c r="S65" s="50">
        <v>569.3622</v>
      </c>
      <c r="T65" s="51">
        <v>1842</v>
      </c>
      <c r="U65" s="56">
        <v>1.1</v>
      </c>
      <c r="V65" s="56">
        <v>15.5</v>
      </c>
      <c r="W65" s="56">
        <v>42.5</v>
      </c>
      <c r="X65" s="56">
        <v>12.8</v>
      </c>
      <c r="Y65" s="56">
        <v>42.8</v>
      </c>
      <c r="Z65" s="56">
        <v>11.6</v>
      </c>
      <c r="AA65" s="56">
        <v>3.3</v>
      </c>
      <c r="AB65" s="56">
        <v>12.4</v>
      </c>
      <c r="AC65" s="56">
        <v>2.9</v>
      </c>
      <c r="AD65" s="56">
        <v>8.6</v>
      </c>
      <c r="AE65" s="56">
        <v>8.7</v>
      </c>
      <c r="AF65" s="56">
        <v>4.6</v>
      </c>
      <c r="AG65" s="56">
        <v>7.7</v>
      </c>
      <c r="AH65" s="56">
        <v>5</v>
      </c>
      <c r="AI65" s="56">
        <v>1.2</v>
      </c>
      <c r="AJ65" s="56">
        <v>53.7</v>
      </c>
      <c r="AK65" s="56">
        <v>19.9</v>
      </c>
      <c r="AL65" s="56">
        <v>2.1</v>
      </c>
      <c r="AM65" s="56">
        <v>51.1</v>
      </c>
      <c r="AN65" s="56">
        <v>392.095</v>
      </c>
      <c r="AO65" s="56">
        <v>1649.033</v>
      </c>
      <c r="AP65" s="56">
        <v>2041.128</v>
      </c>
      <c r="AQ65" s="56">
        <v>372.739</v>
      </c>
      <c r="AR65" s="56">
        <v>582.711</v>
      </c>
      <c r="AS65" s="56">
        <v>955.45</v>
      </c>
    </row>
    <row r="66" spans="1:45">
      <c r="A66" s="54">
        <v>2016</v>
      </c>
      <c r="B66" s="54">
        <v>520000</v>
      </c>
      <c r="C66" s="55" t="s">
        <v>57</v>
      </c>
      <c r="D66" s="56">
        <v>1</v>
      </c>
      <c r="E66" s="56">
        <v>0</v>
      </c>
      <c r="F66" s="56">
        <v>0</v>
      </c>
      <c r="G66" s="56">
        <v>0</v>
      </c>
      <c r="H66" s="56">
        <v>53.863</v>
      </c>
      <c r="I66" s="56">
        <v>46.137</v>
      </c>
      <c r="J66" s="56">
        <v>9.698</v>
      </c>
      <c r="K66" s="56">
        <v>32.506</v>
      </c>
      <c r="L66" s="56">
        <v>37.844</v>
      </c>
      <c r="M66" s="56">
        <v>6.206</v>
      </c>
      <c r="N66" s="56">
        <v>5.209</v>
      </c>
      <c r="O66" s="56">
        <v>4.835</v>
      </c>
      <c r="P66" s="56">
        <v>0.197</v>
      </c>
      <c r="Q66" s="50">
        <v>883.025</v>
      </c>
      <c r="R66" s="50">
        <v>362.3191</v>
      </c>
      <c r="S66" s="50">
        <v>613.6559</v>
      </c>
      <c r="T66" s="51">
        <v>1859</v>
      </c>
      <c r="U66" s="56">
        <v>1.1</v>
      </c>
      <c r="V66" s="56">
        <v>13.4</v>
      </c>
      <c r="W66" s="56">
        <v>40.2</v>
      </c>
      <c r="X66" s="56">
        <v>12.2</v>
      </c>
      <c r="Y66" s="56">
        <v>45.7</v>
      </c>
      <c r="Z66" s="56">
        <v>12</v>
      </c>
      <c r="AA66" s="56">
        <v>3.6</v>
      </c>
      <c r="AB66" s="56">
        <v>12.4</v>
      </c>
      <c r="AC66" s="56">
        <v>2.8</v>
      </c>
      <c r="AD66" s="56">
        <v>9</v>
      </c>
      <c r="AE66" s="56">
        <v>8.8</v>
      </c>
      <c r="AF66" s="56">
        <v>5</v>
      </c>
      <c r="AG66" s="56">
        <v>7.3</v>
      </c>
      <c r="AH66" s="56">
        <v>5.2</v>
      </c>
      <c r="AI66" s="56">
        <v>1.4</v>
      </c>
      <c r="AJ66" s="56">
        <v>54.3</v>
      </c>
      <c r="AK66" s="56">
        <v>20.5</v>
      </c>
      <c r="AL66" s="56">
        <v>2.3</v>
      </c>
      <c r="AM66" s="56">
        <v>53.3</v>
      </c>
      <c r="AN66" s="56">
        <v>423.577</v>
      </c>
      <c r="AO66" s="56">
        <v>1702.249</v>
      </c>
      <c r="AP66" s="56">
        <v>2125.826</v>
      </c>
      <c r="AQ66" s="56">
        <v>389.808</v>
      </c>
      <c r="AR66" s="56">
        <v>583.778</v>
      </c>
      <c r="AS66" s="56">
        <v>973.586</v>
      </c>
    </row>
    <row r="67" spans="1:45">
      <c r="A67" s="54">
        <v>2017</v>
      </c>
      <c r="B67" s="54">
        <v>520000</v>
      </c>
      <c r="C67" s="55" t="s">
        <v>57</v>
      </c>
      <c r="D67" s="49">
        <v>1</v>
      </c>
      <c r="E67" s="49">
        <v>0</v>
      </c>
      <c r="F67" s="49">
        <v>0</v>
      </c>
      <c r="G67" s="49">
        <v>0</v>
      </c>
      <c r="H67" s="56">
        <v>53.941</v>
      </c>
      <c r="I67" s="56">
        <v>46.059</v>
      </c>
      <c r="J67" s="56">
        <v>8.404</v>
      </c>
      <c r="K67" s="56">
        <v>32.235</v>
      </c>
      <c r="L67" s="56">
        <v>39.139</v>
      </c>
      <c r="M67" s="56">
        <v>6.666</v>
      </c>
      <c r="N67" s="56">
        <v>4.848</v>
      </c>
      <c r="O67" s="56">
        <v>5.174</v>
      </c>
      <c r="P67" s="56">
        <v>0.158</v>
      </c>
      <c r="Q67" s="50">
        <v>828.0162</v>
      </c>
      <c r="R67" s="50">
        <v>391.8123</v>
      </c>
      <c r="S67" s="50">
        <v>661.1715</v>
      </c>
      <c r="T67" s="51">
        <v>1881</v>
      </c>
      <c r="U67" s="56">
        <v>1</v>
      </c>
      <c r="V67" s="56">
        <v>13</v>
      </c>
      <c r="W67" s="56">
        <v>39.1</v>
      </c>
      <c r="X67" s="56">
        <v>9.1</v>
      </c>
      <c r="Y67" s="56">
        <v>45.2</v>
      </c>
      <c r="Z67" s="56">
        <v>12.2</v>
      </c>
      <c r="AA67" s="56">
        <v>3.8</v>
      </c>
      <c r="AB67" s="56">
        <v>12.7</v>
      </c>
      <c r="AC67" s="56">
        <v>2.9</v>
      </c>
      <c r="AD67" s="56">
        <v>9.2</v>
      </c>
      <c r="AE67" s="56">
        <v>9.6</v>
      </c>
      <c r="AF67" s="56">
        <v>7.2</v>
      </c>
      <c r="AG67" s="56">
        <v>7.2</v>
      </c>
      <c r="AH67" s="56">
        <v>5.3</v>
      </c>
      <c r="AI67" s="56">
        <v>1.7</v>
      </c>
      <c r="AJ67" s="56">
        <v>54.4</v>
      </c>
      <c r="AK67" s="56">
        <v>22.7</v>
      </c>
      <c r="AL67" s="56">
        <v>2.4</v>
      </c>
      <c r="AM67" s="56">
        <v>56.5</v>
      </c>
      <c r="AN67" s="56">
        <v>588.173</v>
      </c>
      <c r="AO67" s="56">
        <v>1748.546</v>
      </c>
      <c r="AP67" s="56">
        <v>2336.719</v>
      </c>
      <c r="AQ67" s="56">
        <v>410.417</v>
      </c>
      <c r="AR67" s="56">
        <v>590.924</v>
      </c>
      <c r="AS67" s="56">
        <v>1001.341</v>
      </c>
    </row>
    <row r="68" spans="1:45">
      <c r="A68" s="54">
        <v>2018</v>
      </c>
      <c r="B68" s="54">
        <v>520000</v>
      </c>
      <c r="C68" s="55" t="s">
        <v>57</v>
      </c>
      <c r="D68" s="56">
        <v>1</v>
      </c>
      <c r="E68" s="56">
        <v>0</v>
      </c>
      <c r="F68" s="56">
        <v>0</v>
      </c>
      <c r="G68" s="56">
        <v>0</v>
      </c>
      <c r="H68" s="56">
        <v>54.017</v>
      </c>
      <c r="I68" s="56">
        <v>45.983</v>
      </c>
      <c r="J68" s="56">
        <v>8.911</v>
      </c>
      <c r="K68" s="56">
        <v>30.941</v>
      </c>
      <c r="L68" s="56">
        <v>39.82</v>
      </c>
      <c r="M68" s="56">
        <v>6.145</v>
      </c>
      <c r="N68" s="56">
        <v>4.941</v>
      </c>
      <c r="O68" s="56">
        <v>5.382</v>
      </c>
      <c r="P68" s="56">
        <v>0.197</v>
      </c>
      <c r="Q68" s="50">
        <v>764.9616</v>
      </c>
      <c r="R68" s="50">
        <v>417.9376</v>
      </c>
      <c r="S68" s="50">
        <v>703.1008</v>
      </c>
      <c r="T68" s="51">
        <v>1886</v>
      </c>
      <c r="U68" s="56">
        <v>0.8</v>
      </c>
      <c r="V68" s="56">
        <v>11.4</v>
      </c>
      <c r="W68" s="56">
        <v>31.5</v>
      </c>
      <c r="X68" s="56">
        <v>9.1</v>
      </c>
      <c r="Y68" s="56">
        <v>45.1</v>
      </c>
      <c r="Z68" s="56">
        <v>11.9</v>
      </c>
      <c r="AA68" s="56">
        <v>3.5</v>
      </c>
      <c r="AB68" s="56">
        <v>12</v>
      </c>
      <c r="AC68" s="56">
        <v>2.6</v>
      </c>
      <c r="AD68" s="56">
        <v>8.8</v>
      </c>
      <c r="AE68" s="56">
        <v>8.6</v>
      </c>
      <c r="AF68" s="56">
        <v>7.4</v>
      </c>
      <c r="AG68" s="56">
        <v>6.7</v>
      </c>
      <c r="AH68" s="56">
        <v>5.1</v>
      </c>
      <c r="AI68" s="56">
        <v>1.4</v>
      </c>
      <c r="AJ68" s="56">
        <v>55.3</v>
      </c>
      <c r="AK68" s="56">
        <v>22</v>
      </c>
      <c r="AL68" s="56">
        <v>2.4</v>
      </c>
      <c r="AM68" s="56">
        <v>62.9</v>
      </c>
      <c r="AN68" s="56">
        <v>639.815</v>
      </c>
      <c r="AO68" s="56">
        <v>1802.656</v>
      </c>
      <c r="AP68" s="56">
        <v>2442.471</v>
      </c>
      <c r="AQ68" s="56">
        <v>431.971</v>
      </c>
      <c r="AR68" s="56">
        <v>3801.631</v>
      </c>
      <c r="AS68" s="56">
        <v>4233.602</v>
      </c>
    </row>
    <row r="69" spans="1:45">
      <c r="A69" s="54">
        <v>2019</v>
      </c>
      <c r="B69" s="54">
        <v>520000</v>
      </c>
      <c r="C69" s="55" t="s">
        <v>57</v>
      </c>
      <c r="D69" s="56">
        <v>1</v>
      </c>
      <c r="E69" s="49">
        <v>0</v>
      </c>
      <c r="F69" s="49">
        <v>0</v>
      </c>
      <c r="G69" s="49">
        <v>0</v>
      </c>
      <c r="H69" s="56">
        <v>57.9</v>
      </c>
      <c r="I69" s="56">
        <v>42.1</v>
      </c>
      <c r="J69" s="56">
        <v>7.4</v>
      </c>
      <c r="K69" s="56">
        <v>29.5</v>
      </c>
      <c r="L69" s="56">
        <v>37.4</v>
      </c>
      <c r="M69" s="56">
        <v>10.9</v>
      </c>
      <c r="N69" s="56">
        <v>7.3</v>
      </c>
      <c r="O69" s="56">
        <v>7</v>
      </c>
      <c r="P69" s="56">
        <v>0.3</v>
      </c>
      <c r="Q69" s="50">
        <v>700.448</v>
      </c>
      <c r="R69" s="50">
        <v>443.4912</v>
      </c>
      <c r="S69" s="50">
        <v>744.0608</v>
      </c>
      <c r="T69" s="51">
        <v>1888</v>
      </c>
      <c r="U69" s="56">
        <v>0.7</v>
      </c>
      <c r="V69" s="56">
        <v>11.8</v>
      </c>
      <c r="W69" s="56">
        <v>29.6</v>
      </c>
      <c r="X69" s="56">
        <v>9.5</v>
      </c>
      <c r="Y69" s="56">
        <v>43.4</v>
      </c>
      <c r="Z69" s="56">
        <v>13.2</v>
      </c>
      <c r="AA69" s="56">
        <v>4</v>
      </c>
      <c r="AB69" s="56">
        <v>11.1</v>
      </c>
      <c r="AC69" s="56">
        <v>2.8</v>
      </c>
      <c r="AD69" s="56">
        <v>14.5</v>
      </c>
      <c r="AE69" s="56">
        <v>10.7</v>
      </c>
      <c r="AF69" s="56">
        <v>8.2</v>
      </c>
      <c r="AG69" s="56">
        <v>4.8</v>
      </c>
      <c r="AH69" s="56">
        <v>4.3</v>
      </c>
      <c r="AI69" s="56">
        <v>1.6</v>
      </c>
      <c r="AJ69" s="56">
        <v>53.9</v>
      </c>
      <c r="AK69" s="56">
        <v>25</v>
      </c>
      <c r="AL69" s="56">
        <v>2.3</v>
      </c>
      <c r="AM69" s="56">
        <v>70</v>
      </c>
      <c r="AN69" s="56">
        <v>677.5</v>
      </c>
      <c r="AO69" s="56">
        <v>1855.8</v>
      </c>
      <c r="AP69" s="56">
        <v>2533.3</v>
      </c>
      <c r="AQ69" s="56">
        <v>462</v>
      </c>
      <c r="AR69" s="56">
        <v>3724.7</v>
      </c>
      <c r="AS69" s="56">
        <v>4186.8</v>
      </c>
    </row>
    <row r="70" spans="1:45">
      <c r="A70" s="54">
        <v>2020</v>
      </c>
      <c r="B70" s="54">
        <v>520000</v>
      </c>
      <c r="C70" s="55" t="s">
        <v>57</v>
      </c>
      <c r="D70" s="49">
        <v>1</v>
      </c>
      <c r="E70" s="56">
        <v>0</v>
      </c>
      <c r="F70" s="56">
        <v>0</v>
      </c>
      <c r="G70" s="56">
        <v>0</v>
      </c>
      <c r="H70" s="56">
        <v>56.9</v>
      </c>
      <c r="I70" s="56">
        <v>43.1</v>
      </c>
      <c r="J70" s="56">
        <v>6.7</v>
      </c>
      <c r="K70" s="56">
        <v>31.2</v>
      </c>
      <c r="L70" s="56">
        <v>38.4</v>
      </c>
      <c r="M70" s="56">
        <v>9.7</v>
      </c>
      <c r="N70" s="56">
        <v>6.8</v>
      </c>
      <c r="O70" s="56">
        <v>7</v>
      </c>
      <c r="P70" s="56">
        <v>0.3</v>
      </c>
      <c r="Q70" s="50">
        <v>634</v>
      </c>
      <c r="R70" s="50">
        <v>472</v>
      </c>
      <c r="S70" s="50">
        <v>786</v>
      </c>
      <c r="T70" s="51">
        <v>1892</v>
      </c>
      <c r="U70" s="56">
        <v>1</v>
      </c>
      <c r="V70" s="56">
        <v>12.2</v>
      </c>
      <c r="W70" s="56">
        <v>28.8</v>
      </c>
      <c r="X70" s="56">
        <v>9.5</v>
      </c>
      <c r="Y70" s="56">
        <v>43.9</v>
      </c>
      <c r="Z70" s="56">
        <v>13.2</v>
      </c>
      <c r="AA70" s="56">
        <v>4.6</v>
      </c>
      <c r="AB70" s="56">
        <v>12.4</v>
      </c>
      <c r="AC70" s="56">
        <v>2.7</v>
      </c>
      <c r="AD70" s="56">
        <v>14.8</v>
      </c>
      <c r="AE70" s="56">
        <v>10.6</v>
      </c>
      <c r="AF70" s="56">
        <v>7.2</v>
      </c>
      <c r="AG70" s="56">
        <v>5.5</v>
      </c>
      <c r="AH70" s="56">
        <v>5</v>
      </c>
      <c r="AI70" s="56">
        <v>1.8</v>
      </c>
      <c r="AJ70" s="56">
        <v>57.9</v>
      </c>
      <c r="AK70" s="56">
        <v>27.8</v>
      </c>
      <c r="AL70" s="56">
        <v>2.4</v>
      </c>
      <c r="AM70" s="56">
        <v>74</v>
      </c>
      <c r="AN70" s="56">
        <v>714</v>
      </c>
      <c r="AO70" s="56">
        <v>1904.5</v>
      </c>
      <c r="AP70" s="56">
        <v>2618.5</v>
      </c>
      <c r="AQ70" s="56">
        <v>475.5</v>
      </c>
      <c r="AR70" s="56">
        <v>3718.9</v>
      </c>
      <c r="AS70" s="56">
        <v>4194.4</v>
      </c>
    </row>
    <row r="71" spans="1:45">
      <c r="A71" s="54">
        <v>2021</v>
      </c>
      <c r="B71" s="54">
        <v>520000</v>
      </c>
      <c r="C71" s="55" t="s">
        <v>57</v>
      </c>
      <c r="D71" s="56">
        <v>1</v>
      </c>
      <c r="E71" s="49">
        <v>0</v>
      </c>
      <c r="F71" s="49">
        <v>0</v>
      </c>
      <c r="G71" s="49">
        <v>0</v>
      </c>
      <c r="H71" s="56">
        <v>55.549</v>
      </c>
      <c r="I71" s="56">
        <v>44.451</v>
      </c>
      <c r="J71" s="56">
        <v>7.262</v>
      </c>
      <c r="K71" s="56">
        <v>27.788</v>
      </c>
      <c r="L71" s="56">
        <v>39.692</v>
      </c>
      <c r="M71" s="56">
        <v>10.499</v>
      </c>
      <c r="N71" s="56">
        <v>7.182</v>
      </c>
      <c r="O71" s="56">
        <v>7.222</v>
      </c>
      <c r="P71" s="56">
        <v>0.357</v>
      </c>
      <c r="Q71" s="50">
        <v>618</v>
      </c>
      <c r="R71" s="50">
        <v>475</v>
      </c>
      <c r="S71" s="50">
        <v>793</v>
      </c>
      <c r="T71" s="51">
        <v>1886</v>
      </c>
      <c r="U71" s="56">
        <v>1.2</v>
      </c>
      <c r="V71" s="56">
        <v>14.3</v>
      </c>
      <c r="W71" s="56">
        <v>31.1</v>
      </c>
      <c r="X71" s="56">
        <v>9.6</v>
      </c>
      <c r="Y71" s="56">
        <v>41.2</v>
      </c>
      <c r="Z71" s="56">
        <v>13</v>
      </c>
      <c r="AA71" s="56">
        <v>4.6</v>
      </c>
      <c r="AB71" s="56">
        <v>12</v>
      </c>
      <c r="AC71" s="56">
        <v>2.9</v>
      </c>
      <c r="AD71" s="56">
        <v>14.2</v>
      </c>
      <c r="AE71" s="56">
        <v>10.4</v>
      </c>
      <c r="AF71" s="56">
        <v>7.9</v>
      </c>
      <c r="AG71" s="56">
        <v>5.5</v>
      </c>
      <c r="AH71" s="56">
        <v>5.1</v>
      </c>
      <c r="AI71" s="56">
        <v>1.7</v>
      </c>
      <c r="AJ71" s="56">
        <v>57.9</v>
      </c>
      <c r="AK71" s="56">
        <v>29.4</v>
      </c>
      <c r="AL71" s="56">
        <v>2.5</v>
      </c>
      <c r="AM71" s="56">
        <v>72.4</v>
      </c>
      <c r="AN71" s="56">
        <v>755.836</v>
      </c>
      <c r="AO71" s="56">
        <v>1928.599</v>
      </c>
      <c r="AP71" s="56">
        <v>2684.434</v>
      </c>
      <c r="AQ71" s="56">
        <v>479.44</v>
      </c>
      <c r="AR71" s="56">
        <v>3735.03</v>
      </c>
      <c r="AS71" s="56">
        <v>4214.47</v>
      </c>
    </row>
    <row r="72" spans="1:45">
      <c r="A72" s="54">
        <v>2022</v>
      </c>
      <c r="B72" s="54">
        <v>520000</v>
      </c>
      <c r="C72" s="55" t="s">
        <v>57</v>
      </c>
      <c r="D72" s="56">
        <v>1</v>
      </c>
      <c r="E72" s="56">
        <v>0</v>
      </c>
      <c r="F72" s="56">
        <v>0</v>
      </c>
      <c r="G72" s="56">
        <v>0</v>
      </c>
      <c r="H72" s="56">
        <v>55.155</v>
      </c>
      <c r="I72" s="56">
        <v>44.845</v>
      </c>
      <c r="J72" s="56">
        <v>7.014</v>
      </c>
      <c r="K72" s="56">
        <v>30.698</v>
      </c>
      <c r="L72" s="56">
        <v>36.872</v>
      </c>
      <c r="M72" s="56">
        <v>9.367</v>
      </c>
      <c r="N72" s="56">
        <v>7.443</v>
      </c>
      <c r="O72" s="56">
        <v>8.216</v>
      </c>
      <c r="P72" s="56">
        <v>0.39</v>
      </c>
      <c r="Q72" s="50">
        <v>693</v>
      </c>
      <c r="R72" s="50">
        <v>444</v>
      </c>
      <c r="S72" s="50">
        <v>741</v>
      </c>
      <c r="T72" s="51">
        <v>1878</v>
      </c>
      <c r="U72" s="56">
        <v>1.3</v>
      </c>
      <c r="V72" s="56">
        <v>16.7</v>
      </c>
      <c r="W72" s="56">
        <v>32.6</v>
      </c>
      <c r="X72" s="56">
        <v>8.9</v>
      </c>
      <c r="Y72" s="56">
        <v>34</v>
      </c>
      <c r="Z72" s="56">
        <v>12.1</v>
      </c>
      <c r="AA72" s="56">
        <v>4.5</v>
      </c>
      <c r="AB72" s="56">
        <v>11.7</v>
      </c>
      <c r="AC72" s="56">
        <v>3.1</v>
      </c>
      <c r="AD72" s="56">
        <v>13</v>
      </c>
      <c r="AE72" s="56">
        <v>8.7</v>
      </c>
      <c r="AF72" s="56">
        <v>7.8</v>
      </c>
      <c r="AG72" s="56">
        <v>5.3</v>
      </c>
      <c r="AH72" s="56">
        <v>5.3</v>
      </c>
      <c r="AI72" s="56">
        <v>2</v>
      </c>
      <c r="AJ72" s="56">
        <v>58</v>
      </c>
      <c r="AK72" s="56">
        <v>29.6</v>
      </c>
      <c r="AL72" s="56">
        <v>2.4</v>
      </c>
      <c r="AM72" s="56">
        <v>70.1</v>
      </c>
      <c r="AN72" s="56">
        <v>770.071</v>
      </c>
      <c r="AO72" s="56">
        <v>1935.535</v>
      </c>
      <c r="AP72" s="56">
        <v>2705.606</v>
      </c>
      <c r="AQ72" s="56">
        <v>494.068</v>
      </c>
      <c r="AR72" s="56">
        <v>3727.164</v>
      </c>
      <c r="AS72" s="56">
        <v>4221.232</v>
      </c>
    </row>
    <row r="73" spans="1:45">
      <c r="A73" s="54">
        <v>2013</v>
      </c>
      <c r="B73" s="54">
        <v>460000</v>
      </c>
      <c r="C73" s="55" t="s">
        <v>58</v>
      </c>
      <c r="D73" s="49">
        <v>0</v>
      </c>
      <c r="E73" s="49">
        <v>1</v>
      </c>
      <c r="F73" s="49">
        <v>0</v>
      </c>
      <c r="G73" s="49">
        <v>0</v>
      </c>
      <c r="J73" s="56">
        <v>0.846</v>
      </c>
      <c r="K73" s="56">
        <v>12.306</v>
      </c>
      <c r="L73" s="56">
        <v>52.807</v>
      </c>
      <c r="M73" s="56">
        <v>19.764</v>
      </c>
      <c r="N73" s="56">
        <v>9.248</v>
      </c>
      <c r="O73" s="56">
        <v>4.839</v>
      </c>
      <c r="P73" s="56">
        <v>0.19</v>
      </c>
      <c r="Q73" s="50">
        <v>199.41</v>
      </c>
      <c r="R73" s="50">
        <v>62.2</v>
      </c>
      <c r="S73" s="50">
        <v>228.94</v>
      </c>
      <c r="T73" s="51">
        <v>490.56</v>
      </c>
      <c r="U73" s="56">
        <v>4.8</v>
      </c>
      <c r="V73" s="56">
        <v>0.8</v>
      </c>
      <c r="W73" s="56">
        <v>10.6</v>
      </c>
      <c r="X73" s="56">
        <v>2.2</v>
      </c>
      <c r="Y73" s="56">
        <v>7.7</v>
      </c>
      <c r="Z73" s="56">
        <v>5.4</v>
      </c>
      <c r="AA73" s="56">
        <v>1.3</v>
      </c>
      <c r="AB73" s="56">
        <v>12.8</v>
      </c>
      <c r="AC73" s="56">
        <v>6.8</v>
      </c>
      <c r="AD73" s="56">
        <v>2.8</v>
      </c>
      <c r="AE73" s="56">
        <v>5.8</v>
      </c>
      <c r="AF73" s="56">
        <v>2</v>
      </c>
      <c r="AG73" s="56">
        <v>2</v>
      </c>
      <c r="AH73" s="56">
        <v>3.1</v>
      </c>
      <c r="AI73" s="56">
        <v>0.4</v>
      </c>
      <c r="AJ73" s="56">
        <v>12.5</v>
      </c>
      <c r="AK73" s="56">
        <v>5.3</v>
      </c>
      <c r="AL73" s="56">
        <v>1.3</v>
      </c>
      <c r="AM73" s="56">
        <v>11.3</v>
      </c>
      <c r="AN73" s="56">
        <v>231.498</v>
      </c>
      <c r="AO73" s="56">
        <v>272.103</v>
      </c>
      <c r="AP73" s="56">
        <v>503.602</v>
      </c>
      <c r="AQ73" s="56">
        <v>219.978</v>
      </c>
      <c r="AR73" s="56">
        <v>186.572</v>
      </c>
      <c r="AS73" s="56">
        <v>406.55</v>
      </c>
    </row>
    <row r="74" spans="1:45">
      <c r="A74" s="54">
        <v>2014</v>
      </c>
      <c r="B74" s="54">
        <v>460000</v>
      </c>
      <c r="C74" s="55" t="s">
        <v>58</v>
      </c>
      <c r="D74" s="56">
        <v>0</v>
      </c>
      <c r="E74" s="56">
        <v>1</v>
      </c>
      <c r="F74" s="56">
        <v>0</v>
      </c>
      <c r="G74" s="56">
        <v>0</v>
      </c>
      <c r="H74" s="56">
        <v>55.6</v>
      </c>
      <c r="I74" s="56">
        <v>44.4</v>
      </c>
      <c r="J74" s="56">
        <v>1.7</v>
      </c>
      <c r="K74" s="56">
        <v>11.5</v>
      </c>
      <c r="L74" s="56">
        <v>50.2</v>
      </c>
      <c r="M74" s="56">
        <v>21.4</v>
      </c>
      <c r="N74" s="56">
        <v>8.3</v>
      </c>
      <c r="O74" s="56">
        <v>6.7</v>
      </c>
      <c r="P74" s="56">
        <v>0.2</v>
      </c>
      <c r="Q74" s="50">
        <v>195.59</v>
      </c>
      <c r="R74" s="50">
        <v>63.77</v>
      </c>
      <c r="S74" s="50">
        <v>244.74</v>
      </c>
      <c r="T74" s="51">
        <v>504.1</v>
      </c>
      <c r="U74" s="56">
        <v>10.4</v>
      </c>
      <c r="V74" s="56">
        <v>0.7</v>
      </c>
      <c r="W74" s="56">
        <v>9.7</v>
      </c>
      <c r="X74" s="56">
        <v>2.3</v>
      </c>
      <c r="Y74" s="56">
        <v>7.3</v>
      </c>
      <c r="Z74" s="56">
        <v>5.4</v>
      </c>
      <c r="AA74" s="56">
        <v>1.6</v>
      </c>
      <c r="AB74" s="56">
        <v>5.9</v>
      </c>
      <c r="AC74" s="56">
        <v>6.5</v>
      </c>
      <c r="AD74" s="56">
        <v>3.4</v>
      </c>
      <c r="AE74" s="56">
        <v>7.4</v>
      </c>
      <c r="AF74" s="56">
        <v>2.5</v>
      </c>
      <c r="AG74" s="56">
        <v>2.2</v>
      </c>
      <c r="AH74" s="56">
        <v>2.8</v>
      </c>
      <c r="AI74" s="56">
        <v>0.4</v>
      </c>
      <c r="AJ74" s="56">
        <v>12.9</v>
      </c>
      <c r="AK74" s="56">
        <v>5.7</v>
      </c>
      <c r="AL74" s="56">
        <v>1.2</v>
      </c>
      <c r="AM74" s="56">
        <v>13.2</v>
      </c>
      <c r="AN74" s="56">
        <v>242.3</v>
      </c>
      <c r="AO74" s="56">
        <v>274.8</v>
      </c>
      <c r="AP74" s="56">
        <v>517.1</v>
      </c>
      <c r="AQ74" s="56">
        <v>191.7</v>
      </c>
      <c r="AR74" s="56">
        <v>195.2</v>
      </c>
      <c r="AS74" s="56">
        <v>386.8</v>
      </c>
    </row>
    <row r="75" spans="1:45">
      <c r="A75" s="54">
        <v>2015</v>
      </c>
      <c r="B75" s="54">
        <v>460000</v>
      </c>
      <c r="C75" s="55" t="s">
        <v>58</v>
      </c>
      <c r="D75" s="49">
        <v>0</v>
      </c>
      <c r="E75" s="56">
        <v>1</v>
      </c>
      <c r="F75" s="49">
        <v>0</v>
      </c>
      <c r="G75" s="49">
        <v>0</v>
      </c>
      <c r="H75" s="56">
        <v>56.534</v>
      </c>
      <c r="I75" s="56">
        <v>43.466</v>
      </c>
      <c r="J75" s="56">
        <v>2.496</v>
      </c>
      <c r="K75" s="56">
        <v>14.109</v>
      </c>
      <c r="L75" s="56">
        <v>50.756</v>
      </c>
      <c r="M75" s="56">
        <v>12.118</v>
      </c>
      <c r="N75" s="56">
        <v>7.656</v>
      </c>
      <c r="O75" s="56">
        <v>5.948</v>
      </c>
      <c r="P75" s="56">
        <v>0.327</v>
      </c>
      <c r="Q75" s="50">
        <v>189.95</v>
      </c>
      <c r="R75" s="50">
        <v>64.1</v>
      </c>
      <c r="S75" s="50">
        <v>256.71</v>
      </c>
      <c r="T75" s="51">
        <v>510.76</v>
      </c>
      <c r="U75" s="56">
        <v>8.8</v>
      </c>
      <c r="V75" s="56">
        <v>0.6</v>
      </c>
      <c r="W75" s="56">
        <v>8.8</v>
      </c>
      <c r="X75" s="56">
        <v>2.4</v>
      </c>
      <c r="Y75" s="56">
        <v>6.9</v>
      </c>
      <c r="Z75" s="56">
        <v>6.5</v>
      </c>
      <c r="AA75" s="56">
        <v>1.5</v>
      </c>
      <c r="AB75" s="56">
        <v>5.6</v>
      </c>
      <c r="AC75" s="56">
        <v>6</v>
      </c>
      <c r="AD75" s="56">
        <v>4.1</v>
      </c>
      <c r="AE75" s="56">
        <v>7.7</v>
      </c>
      <c r="AF75" s="56">
        <v>2.1</v>
      </c>
      <c r="AG75" s="56">
        <v>2.2</v>
      </c>
      <c r="AH75" s="56">
        <v>2.9</v>
      </c>
      <c r="AI75" s="56">
        <v>0.5</v>
      </c>
      <c r="AJ75" s="56">
        <v>13</v>
      </c>
      <c r="AK75" s="56">
        <v>5.9</v>
      </c>
      <c r="AL75" s="56">
        <v>1.2</v>
      </c>
      <c r="AM75" s="56">
        <v>13.6</v>
      </c>
      <c r="AN75" s="56">
        <v>249.848</v>
      </c>
      <c r="AO75" s="56">
        <v>281.068</v>
      </c>
      <c r="AP75" s="56">
        <v>530.916</v>
      </c>
      <c r="AQ75" s="56">
        <v>196.333</v>
      </c>
      <c r="AR75" s="56">
        <v>193.437</v>
      </c>
      <c r="AS75" s="56">
        <v>389.769</v>
      </c>
    </row>
    <row r="76" spans="1:45">
      <c r="A76" s="54">
        <v>2016</v>
      </c>
      <c r="B76" s="54">
        <v>460000</v>
      </c>
      <c r="C76" s="55" t="s">
        <v>58</v>
      </c>
      <c r="D76" s="56">
        <v>0</v>
      </c>
      <c r="E76" s="56">
        <v>1</v>
      </c>
      <c r="F76" s="56">
        <v>0</v>
      </c>
      <c r="G76" s="56">
        <v>0</v>
      </c>
      <c r="H76" s="56">
        <v>55.98</v>
      </c>
      <c r="I76" s="56">
        <v>44.02</v>
      </c>
      <c r="J76" s="56">
        <v>2.191</v>
      </c>
      <c r="K76" s="56">
        <v>12.966</v>
      </c>
      <c r="L76" s="56">
        <v>51.383</v>
      </c>
      <c r="M76" s="56">
        <v>12.393</v>
      </c>
      <c r="N76" s="56">
        <v>8</v>
      </c>
      <c r="O76" s="56">
        <v>6.229</v>
      </c>
      <c r="P76" s="56">
        <v>0.227</v>
      </c>
      <c r="Q76" s="50">
        <v>187.45</v>
      </c>
      <c r="R76" s="50">
        <v>62.96</v>
      </c>
      <c r="S76" s="50">
        <v>262.73</v>
      </c>
      <c r="T76" s="51">
        <v>513.14</v>
      </c>
      <c r="U76" s="56">
        <v>7.6</v>
      </c>
      <c r="V76" s="56">
        <v>0.5</v>
      </c>
      <c r="W76" s="56">
        <v>8.1</v>
      </c>
      <c r="X76" s="56">
        <v>2.3</v>
      </c>
      <c r="Y76" s="56">
        <v>7.1</v>
      </c>
      <c r="Z76" s="56">
        <v>7</v>
      </c>
      <c r="AA76" s="56">
        <v>1.6</v>
      </c>
      <c r="AB76" s="56">
        <v>5.8</v>
      </c>
      <c r="AC76" s="56">
        <v>6</v>
      </c>
      <c r="AD76" s="56">
        <v>4.3</v>
      </c>
      <c r="AE76" s="56">
        <v>8.4</v>
      </c>
      <c r="AF76" s="56">
        <v>1.9</v>
      </c>
      <c r="AG76" s="56">
        <v>2.1</v>
      </c>
      <c r="AH76" s="56">
        <v>3.1</v>
      </c>
      <c r="AI76" s="56">
        <v>0.4</v>
      </c>
      <c r="AJ76" s="56">
        <v>13.1</v>
      </c>
      <c r="AK76" s="56">
        <v>6.3</v>
      </c>
      <c r="AL76" s="56">
        <v>1.3</v>
      </c>
      <c r="AM76" s="56">
        <v>14.3</v>
      </c>
      <c r="AN76" s="56">
        <v>224.93</v>
      </c>
      <c r="AO76" s="56">
        <v>283.986</v>
      </c>
      <c r="AP76" s="56">
        <v>508.916</v>
      </c>
      <c r="AQ76" s="56">
        <v>201.037</v>
      </c>
      <c r="AR76" s="56">
        <v>186.212</v>
      </c>
      <c r="AS76" s="56">
        <v>387.249</v>
      </c>
    </row>
    <row r="77" spans="1:45">
      <c r="A77" s="54">
        <v>2017</v>
      </c>
      <c r="B77" s="54">
        <v>460000</v>
      </c>
      <c r="C77" s="55" t="s">
        <v>58</v>
      </c>
      <c r="D77" s="49">
        <v>0</v>
      </c>
      <c r="E77" s="49">
        <v>1</v>
      </c>
      <c r="F77" s="49">
        <v>0</v>
      </c>
      <c r="G77" s="49">
        <v>0</v>
      </c>
      <c r="H77" s="56">
        <v>56.512</v>
      </c>
      <c r="I77" s="56">
        <v>43.488</v>
      </c>
      <c r="J77" s="56">
        <v>1.759</v>
      </c>
      <c r="K77" s="56">
        <v>12.856</v>
      </c>
      <c r="L77" s="56">
        <v>51.448</v>
      </c>
      <c r="M77" s="56">
        <v>12.719</v>
      </c>
      <c r="N77" s="56">
        <v>7.921</v>
      </c>
      <c r="O77" s="56">
        <v>6.451</v>
      </c>
      <c r="P77" s="56">
        <v>0.27</v>
      </c>
      <c r="Q77" s="50">
        <v>183.53</v>
      </c>
      <c r="R77" s="50">
        <v>61.84</v>
      </c>
      <c r="S77" s="50">
        <v>280.5</v>
      </c>
      <c r="T77" s="51">
        <v>525.87</v>
      </c>
      <c r="U77" s="56">
        <v>5.6</v>
      </c>
      <c r="V77" s="56">
        <v>0.5</v>
      </c>
      <c r="W77" s="56">
        <v>7.8</v>
      </c>
      <c r="X77" s="56">
        <v>2.1</v>
      </c>
      <c r="Y77" s="56">
        <v>6.3</v>
      </c>
      <c r="Z77" s="56">
        <v>7.1</v>
      </c>
      <c r="AA77" s="56">
        <v>1.9</v>
      </c>
      <c r="AB77" s="56">
        <v>5.7</v>
      </c>
      <c r="AC77" s="56">
        <v>5.9</v>
      </c>
      <c r="AD77" s="56">
        <v>4.8</v>
      </c>
      <c r="AE77" s="56">
        <v>9.2</v>
      </c>
      <c r="AF77" s="56">
        <v>2</v>
      </c>
      <c r="AG77" s="56">
        <v>2</v>
      </c>
      <c r="AH77" s="56">
        <v>3.4</v>
      </c>
      <c r="AI77" s="56">
        <v>0.5</v>
      </c>
      <c r="AJ77" s="56">
        <v>13.2</v>
      </c>
      <c r="AK77" s="56">
        <v>6.7</v>
      </c>
      <c r="AL77" s="56">
        <v>1.3</v>
      </c>
      <c r="AM77" s="56">
        <v>15</v>
      </c>
      <c r="AN77" s="56">
        <v>240.888</v>
      </c>
      <c r="AO77" s="56">
        <v>285.892</v>
      </c>
      <c r="AP77" s="56">
        <v>526.88</v>
      </c>
      <c r="AQ77" s="56">
        <v>209.557</v>
      </c>
      <c r="AR77" s="56">
        <v>209.899</v>
      </c>
      <c r="AS77" s="56">
        <v>419.456</v>
      </c>
    </row>
    <row r="78" spans="1:45">
      <c r="A78" s="54">
        <v>2018</v>
      </c>
      <c r="B78" s="54">
        <v>460000</v>
      </c>
      <c r="C78" s="55" t="s">
        <v>58</v>
      </c>
      <c r="D78" s="56">
        <v>0</v>
      </c>
      <c r="E78" s="56">
        <v>1</v>
      </c>
      <c r="F78" s="56">
        <v>0</v>
      </c>
      <c r="G78" s="56">
        <v>0</v>
      </c>
      <c r="H78" s="56">
        <v>56.613</v>
      </c>
      <c r="I78" s="56">
        <v>43.387</v>
      </c>
      <c r="J78" s="56">
        <v>1.583</v>
      </c>
      <c r="K78" s="56">
        <v>12.219</v>
      </c>
      <c r="L78" s="56">
        <v>50.964</v>
      </c>
      <c r="M78" s="56">
        <v>11.853</v>
      </c>
      <c r="N78" s="56">
        <v>8.177</v>
      </c>
      <c r="O78" s="56">
        <v>7.502</v>
      </c>
      <c r="P78" s="56">
        <v>0.282</v>
      </c>
      <c r="Q78" s="50">
        <v>177.09</v>
      </c>
      <c r="R78" s="50">
        <v>62.6</v>
      </c>
      <c r="S78" s="50">
        <v>295.81</v>
      </c>
      <c r="T78" s="51">
        <v>535.5</v>
      </c>
      <c r="U78" s="56">
        <v>3.9</v>
      </c>
      <c r="V78" s="56">
        <v>0.5</v>
      </c>
      <c r="W78" s="56">
        <v>7.2</v>
      </c>
      <c r="X78" s="56">
        <v>2.2</v>
      </c>
      <c r="Y78" s="56">
        <v>5.7</v>
      </c>
      <c r="Z78" s="56">
        <v>7.6</v>
      </c>
      <c r="AA78" s="56">
        <v>2.2</v>
      </c>
      <c r="AB78" s="56">
        <v>5.5</v>
      </c>
      <c r="AC78" s="56">
        <v>6.1</v>
      </c>
      <c r="AD78" s="56">
        <v>5</v>
      </c>
      <c r="AE78" s="56">
        <v>8.6</v>
      </c>
      <c r="AF78" s="56">
        <v>2</v>
      </c>
      <c r="AG78" s="56">
        <v>2</v>
      </c>
      <c r="AH78" s="56">
        <v>3.6</v>
      </c>
      <c r="AI78" s="56">
        <v>0.4</v>
      </c>
      <c r="AJ78" s="56">
        <v>13.1</v>
      </c>
      <c r="AK78" s="56">
        <v>6.9</v>
      </c>
      <c r="AL78" s="56">
        <v>1.4</v>
      </c>
      <c r="AM78" s="56">
        <v>15.7</v>
      </c>
      <c r="AN78" s="56">
        <v>257.953</v>
      </c>
      <c r="AO78" s="56">
        <v>298.216</v>
      </c>
      <c r="AP78" s="56">
        <v>556.169</v>
      </c>
      <c r="AQ78" s="56">
        <v>225.716</v>
      </c>
      <c r="AR78" s="56">
        <v>689.7</v>
      </c>
      <c r="AS78" s="56">
        <v>915.416</v>
      </c>
    </row>
    <row r="79" spans="1:45">
      <c r="A79" s="54">
        <v>2019</v>
      </c>
      <c r="B79" s="54">
        <v>460000</v>
      </c>
      <c r="C79" s="55" t="s">
        <v>58</v>
      </c>
      <c r="D79" s="49">
        <v>0</v>
      </c>
      <c r="E79" s="56">
        <v>1</v>
      </c>
      <c r="F79" s="49">
        <v>0</v>
      </c>
      <c r="G79" s="49">
        <v>0</v>
      </c>
      <c r="H79" s="56">
        <v>53.4</v>
      </c>
      <c r="I79" s="56">
        <v>46.6</v>
      </c>
      <c r="J79" s="56">
        <v>1.5</v>
      </c>
      <c r="K79" s="56">
        <v>9.8</v>
      </c>
      <c r="L79" s="56">
        <v>46.4</v>
      </c>
      <c r="M79" s="56">
        <v>21.2</v>
      </c>
      <c r="N79" s="56">
        <v>12</v>
      </c>
      <c r="O79" s="56">
        <v>8.5</v>
      </c>
      <c r="P79" s="56">
        <v>0.6</v>
      </c>
      <c r="Q79" s="50">
        <v>175.15</v>
      </c>
      <c r="R79" s="50">
        <v>62.08</v>
      </c>
      <c r="S79" s="50">
        <v>298.88</v>
      </c>
      <c r="T79" s="51">
        <v>536.11</v>
      </c>
      <c r="U79" s="56">
        <v>2.9</v>
      </c>
      <c r="V79" s="56">
        <v>0.5</v>
      </c>
      <c r="W79" s="56">
        <v>7.3</v>
      </c>
      <c r="X79" s="56">
        <v>2.2</v>
      </c>
      <c r="Y79" s="56">
        <v>6.2</v>
      </c>
      <c r="Z79" s="56">
        <v>7.3</v>
      </c>
      <c r="AA79" s="56">
        <v>2.2</v>
      </c>
      <c r="AB79" s="56">
        <v>5.6</v>
      </c>
      <c r="AC79" s="56">
        <v>5.5</v>
      </c>
      <c r="AD79" s="56">
        <v>5.1</v>
      </c>
      <c r="AE79" s="56">
        <v>8.2</v>
      </c>
      <c r="AF79" s="56">
        <v>3.1</v>
      </c>
      <c r="AG79" s="56">
        <v>2.1</v>
      </c>
      <c r="AH79" s="56">
        <v>3.6</v>
      </c>
      <c r="AI79" s="56">
        <v>0.7</v>
      </c>
      <c r="AJ79" s="56">
        <v>14.4</v>
      </c>
      <c r="AK79" s="56">
        <v>7.3</v>
      </c>
      <c r="AL79" s="56">
        <v>1.3</v>
      </c>
      <c r="AM79" s="56">
        <v>16.7</v>
      </c>
      <c r="AN79" s="56">
        <v>281</v>
      </c>
      <c r="AO79" s="56">
        <v>305</v>
      </c>
      <c r="AP79" s="56">
        <v>585.6</v>
      </c>
      <c r="AQ79" s="56">
        <v>236.1</v>
      </c>
      <c r="AR79" s="56">
        <v>684.5</v>
      </c>
      <c r="AS79" s="56">
        <v>920.7</v>
      </c>
    </row>
    <row r="80" spans="1:45">
      <c r="A80" s="54">
        <v>2020</v>
      </c>
      <c r="B80" s="54">
        <v>460000</v>
      </c>
      <c r="C80" s="55" t="s">
        <v>58</v>
      </c>
      <c r="D80" s="56">
        <v>0</v>
      </c>
      <c r="E80" s="56">
        <v>1</v>
      </c>
      <c r="F80" s="56">
        <v>0</v>
      </c>
      <c r="G80" s="56">
        <v>0</v>
      </c>
      <c r="H80" s="56">
        <v>55.2</v>
      </c>
      <c r="I80" s="56">
        <v>44.8</v>
      </c>
      <c r="J80" s="56">
        <v>1</v>
      </c>
      <c r="K80" s="56">
        <v>10.8</v>
      </c>
      <c r="L80" s="56">
        <v>48.1</v>
      </c>
      <c r="M80" s="56">
        <v>19.8</v>
      </c>
      <c r="N80" s="56">
        <v>10.7</v>
      </c>
      <c r="O80" s="56">
        <v>9.1</v>
      </c>
      <c r="P80" s="56">
        <v>0.5</v>
      </c>
      <c r="Q80" s="50">
        <v>171</v>
      </c>
      <c r="R80" s="50">
        <v>62</v>
      </c>
      <c r="S80" s="50">
        <v>308</v>
      </c>
      <c r="T80" s="51">
        <v>541</v>
      </c>
      <c r="U80" s="56">
        <v>4.4</v>
      </c>
      <c r="V80" s="56">
        <v>0.5</v>
      </c>
      <c r="W80" s="56">
        <v>7.2</v>
      </c>
      <c r="X80" s="56">
        <v>2.2</v>
      </c>
      <c r="Y80" s="56">
        <v>5.7</v>
      </c>
      <c r="Z80" s="56">
        <v>7.8</v>
      </c>
      <c r="AA80" s="56">
        <v>2.4</v>
      </c>
      <c r="AB80" s="56">
        <v>6.5</v>
      </c>
      <c r="AC80" s="56">
        <v>5.2</v>
      </c>
      <c r="AD80" s="56">
        <v>8.1</v>
      </c>
      <c r="AE80" s="56">
        <v>8.4</v>
      </c>
      <c r="AF80" s="56">
        <v>3.1</v>
      </c>
      <c r="AG80" s="56">
        <v>2.5</v>
      </c>
      <c r="AH80" s="56">
        <v>4.4</v>
      </c>
      <c r="AI80" s="56">
        <v>0.9</v>
      </c>
      <c r="AJ80" s="56">
        <v>15.2</v>
      </c>
      <c r="AK80" s="56">
        <v>7.6</v>
      </c>
      <c r="AL80" s="56">
        <v>1.6</v>
      </c>
      <c r="AM80" s="56">
        <v>14.9</v>
      </c>
      <c r="AN80" s="56">
        <v>305.3</v>
      </c>
      <c r="AO80" s="56">
        <v>324.8</v>
      </c>
      <c r="AP80" s="56">
        <v>630.2</v>
      </c>
      <c r="AQ80" s="56">
        <v>250.1</v>
      </c>
      <c r="AR80" s="56">
        <v>683.9</v>
      </c>
      <c r="AS80" s="56">
        <v>934</v>
      </c>
    </row>
    <row r="81" spans="1:45">
      <c r="A81" s="54">
        <v>2021</v>
      </c>
      <c r="B81" s="54">
        <v>460000</v>
      </c>
      <c r="C81" s="55" t="s">
        <v>58</v>
      </c>
      <c r="D81" s="49">
        <v>0</v>
      </c>
      <c r="E81" s="49">
        <v>1</v>
      </c>
      <c r="F81" s="49">
        <v>0</v>
      </c>
      <c r="G81" s="49">
        <v>0</v>
      </c>
      <c r="H81" s="56">
        <v>57.335</v>
      </c>
      <c r="I81" s="56">
        <v>42.665</v>
      </c>
      <c r="J81" s="56">
        <v>1.002</v>
      </c>
      <c r="K81" s="56">
        <v>10.156</v>
      </c>
      <c r="L81" s="56">
        <v>46.932</v>
      </c>
      <c r="M81" s="56">
        <v>19.449</v>
      </c>
      <c r="N81" s="56">
        <v>11.359</v>
      </c>
      <c r="O81" s="56">
        <v>10.446</v>
      </c>
      <c r="P81" s="56">
        <v>0.657</v>
      </c>
      <c r="Q81" s="50">
        <v>169</v>
      </c>
      <c r="R81" s="50">
        <v>62</v>
      </c>
      <c r="S81" s="50">
        <v>313</v>
      </c>
      <c r="T81" s="51">
        <v>544</v>
      </c>
      <c r="U81" s="56">
        <v>3.6</v>
      </c>
      <c r="V81" s="56">
        <v>0.6</v>
      </c>
      <c r="W81" s="56">
        <v>8.2</v>
      </c>
      <c r="X81" s="56">
        <v>2.4</v>
      </c>
      <c r="Y81" s="56">
        <v>5.3</v>
      </c>
      <c r="Z81" s="56">
        <v>7.3</v>
      </c>
      <c r="AA81" s="56">
        <v>2.8</v>
      </c>
      <c r="AB81" s="56">
        <v>7.3</v>
      </c>
      <c r="AC81" s="56">
        <v>4.9</v>
      </c>
      <c r="AD81" s="56">
        <v>7.7</v>
      </c>
      <c r="AE81" s="56">
        <v>9.4</v>
      </c>
      <c r="AF81" s="56">
        <v>3.6</v>
      </c>
      <c r="AG81" s="56">
        <v>3.1</v>
      </c>
      <c r="AH81" s="56">
        <v>5.1</v>
      </c>
      <c r="AI81" s="56">
        <v>0.6</v>
      </c>
      <c r="AJ81" s="56">
        <v>16.9</v>
      </c>
      <c r="AK81" s="56">
        <v>8.3</v>
      </c>
      <c r="AL81" s="56">
        <v>1.6</v>
      </c>
      <c r="AM81" s="56">
        <v>15</v>
      </c>
      <c r="AN81" s="56">
        <v>329.033</v>
      </c>
      <c r="AO81" s="56">
        <v>329.206</v>
      </c>
      <c r="AP81" s="56">
        <v>658.238</v>
      </c>
      <c r="AQ81" s="56">
        <v>245.838</v>
      </c>
      <c r="AR81" s="56">
        <v>692.985</v>
      </c>
      <c r="AS81" s="56">
        <v>938.823</v>
      </c>
    </row>
    <row r="82" spans="1:45">
      <c r="A82" s="54">
        <v>2022</v>
      </c>
      <c r="B82" s="54">
        <v>460000</v>
      </c>
      <c r="C82" s="55" t="s">
        <v>58</v>
      </c>
      <c r="D82" s="56">
        <v>0</v>
      </c>
      <c r="E82" s="56">
        <v>1</v>
      </c>
      <c r="F82" s="56">
        <v>0</v>
      </c>
      <c r="G82" s="56">
        <v>0</v>
      </c>
      <c r="H82" s="56">
        <v>57.616</v>
      </c>
      <c r="I82" s="56">
        <v>42.384</v>
      </c>
      <c r="J82" s="56">
        <v>1.066</v>
      </c>
      <c r="K82" s="56">
        <v>11.712</v>
      </c>
      <c r="L82" s="56">
        <v>46.396</v>
      </c>
      <c r="M82" s="56">
        <v>17.755</v>
      </c>
      <c r="N82" s="56">
        <v>11.235</v>
      </c>
      <c r="O82" s="56">
        <v>11.078</v>
      </c>
      <c r="P82" s="56">
        <v>0.757</v>
      </c>
      <c r="Q82" s="50">
        <v>173</v>
      </c>
      <c r="R82" s="50">
        <v>58</v>
      </c>
      <c r="S82" s="50">
        <v>300</v>
      </c>
      <c r="T82" s="51">
        <v>531</v>
      </c>
      <c r="U82" s="56">
        <v>3.6</v>
      </c>
      <c r="V82" s="56">
        <v>0.5</v>
      </c>
      <c r="W82" s="56">
        <v>8.5</v>
      </c>
      <c r="X82" s="56">
        <v>2.3</v>
      </c>
      <c r="Y82" s="56">
        <v>4</v>
      </c>
      <c r="Z82" s="56">
        <v>7.1</v>
      </c>
      <c r="AA82" s="56">
        <v>2.5</v>
      </c>
      <c r="AB82" s="56">
        <v>7.8</v>
      </c>
      <c r="AC82" s="56">
        <v>4.7</v>
      </c>
      <c r="AD82" s="56">
        <v>5.5</v>
      </c>
      <c r="AE82" s="56">
        <v>8.7</v>
      </c>
      <c r="AF82" s="56">
        <v>3.8</v>
      </c>
      <c r="AG82" s="56">
        <v>3.2</v>
      </c>
      <c r="AH82" s="56">
        <v>5.4</v>
      </c>
      <c r="AI82" s="56">
        <v>0.6</v>
      </c>
      <c r="AJ82" s="56">
        <v>16.9</v>
      </c>
      <c r="AK82" s="56">
        <v>8.1</v>
      </c>
      <c r="AL82" s="56">
        <v>1.6</v>
      </c>
      <c r="AM82" s="56">
        <v>14.3</v>
      </c>
      <c r="AN82" s="56"/>
      <c r="AO82" s="56">
        <v>336.438</v>
      </c>
      <c r="AP82" s="56"/>
      <c r="AQ82" s="56">
        <v>250.548</v>
      </c>
      <c r="AR82" s="56">
        <v>670.336</v>
      </c>
      <c r="AS82" s="56">
        <v>920.884</v>
      </c>
    </row>
    <row r="83" spans="1:45">
      <c r="A83" s="54">
        <v>2013</v>
      </c>
      <c r="B83" s="54">
        <v>130000</v>
      </c>
      <c r="C83" s="55" t="s">
        <v>59</v>
      </c>
      <c r="D83" s="49">
        <v>0</v>
      </c>
      <c r="E83" s="56">
        <v>1</v>
      </c>
      <c r="F83" s="49">
        <v>0</v>
      </c>
      <c r="G83" s="49">
        <v>0</v>
      </c>
      <c r="J83" s="56">
        <v>2.218</v>
      </c>
      <c r="K83" s="56">
        <v>16.082</v>
      </c>
      <c r="L83" s="56">
        <v>55.539</v>
      </c>
      <c r="M83" s="56">
        <v>15.085</v>
      </c>
      <c r="N83" s="56">
        <v>6.873</v>
      </c>
      <c r="O83" s="56">
        <v>3.947</v>
      </c>
      <c r="P83" s="56">
        <v>0.256</v>
      </c>
      <c r="Q83" s="50">
        <v>1375</v>
      </c>
      <c r="R83" s="50">
        <v>1386</v>
      </c>
      <c r="S83" s="50">
        <v>1271</v>
      </c>
      <c r="T83" s="51">
        <v>4032</v>
      </c>
      <c r="U83" s="56">
        <v>5.2</v>
      </c>
      <c r="V83" s="56">
        <v>28.3</v>
      </c>
      <c r="W83" s="56">
        <v>150.3</v>
      </c>
      <c r="X83" s="56">
        <v>19.6</v>
      </c>
      <c r="Y83" s="56">
        <v>90.6</v>
      </c>
      <c r="Z83" s="56">
        <v>27.6</v>
      </c>
      <c r="AA83" s="56">
        <v>8.6</v>
      </c>
      <c r="AB83" s="56">
        <v>28.9</v>
      </c>
      <c r="AC83" s="56">
        <v>6.9</v>
      </c>
      <c r="AD83" s="56">
        <v>25.6</v>
      </c>
      <c r="AE83" s="56">
        <v>9.1</v>
      </c>
      <c r="AF83" s="56">
        <v>11.5</v>
      </c>
      <c r="AG83" s="56">
        <v>14</v>
      </c>
      <c r="AH83" s="56">
        <v>11.5</v>
      </c>
      <c r="AI83" s="56">
        <v>1.4</v>
      </c>
      <c r="AJ83" s="56">
        <v>89.7</v>
      </c>
      <c r="AK83" s="56">
        <v>33.7</v>
      </c>
      <c r="AL83" s="56">
        <v>5.3</v>
      </c>
      <c r="AM83" s="56">
        <v>85.4</v>
      </c>
      <c r="AN83" s="56">
        <v>1194.668</v>
      </c>
      <c r="AO83" s="56">
        <v>3354.15</v>
      </c>
      <c r="AP83" s="56">
        <v>4548.818</v>
      </c>
      <c r="AQ83" s="56">
        <v>926.286</v>
      </c>
      <c r="AR83" s="56">
        <v>748.224</v>
      </c>
      <c r="AS83" s="56">
        <v>1674.511</v>
      </c>
    </row>
    <row r="84" spans="1:45">
      <c r="A84" s="54">
        <v>2014</v>
      </c>
      <c r="B84" s="54">
        <v>130000</v>
      </c>
      <c r="C84" s="55" t="s">
        <v>59</v>
      </c>
      <c r="D84" s="56">
        <v>0</v>
      </c>
      <c r="E84" s="56">
        <v>1</v>
      </c>
      <c r="F84" s="56">
        <v>0</v>
      </c>
      <c r="G84" s="56">
        <v>0</v>
      </c>
      <c r="H84" s="56">
        <v>57.1</v>
      </c>
      <c r="I84" s="56">
        <v>42.9</v>
      </c>
      <c r="J84" s="56">
        <v>1.3</v>
      </c>
      <c r="K84" s="56">
        <v>15.3</v>
      </c>
      <c r="L84" s="56">
        <v>55.3</v>
      </c>
      <c r="M84" s="56">
        <v>14.8</v>
      </c>
      <c r="N84" s="56">
        <v>7.9</v>
      </c>
      <c r="O84" s="56">
        <v>5.3</v>
      </c>
      <c r="P84" s="56">
        <v>0.2</v>
      </c>
      <c r="Q84" s="50">
        <v>1338</v>
      </c>
      <c r="R84" s="50">
        <v>1361</v>
      </c>
      <c r="S84" s="50">
        <v>1279</v>
      </c>
      <c r="T84" s="51">
        <v>3978</v>
      </c>
      <c r="U84" s="56">
        <v>4.6</v>
      </c>
      <c r="V84" s="56">
        <v>27.3</v>
      </c>
      <c r="W84" s="56">
        <v>147.7</v>
      </c>
      <c r="X84" s="56">
        <v>19.2</v>
      </c>
      <c r="Y84" s="56">
        <v>89</v>
      </c>
      <c r="Z84" s="56">
        <v>29</v>
      </c>
      <c r="AA84" s="56">
        <v>8.6</v>
      </c>
      <c r="AB84" s="56">
        <v>28.2</v>
      </c>
      <c r="AC84" s="56">
        <v>6.3</v>
      </c>
      <c r="AD84" s="56">
        <v>27.7</v>
      </c>
      <c r="AE84" s="56">
        <v>10.5</v>
      </c>
      <c r="AF84" s="56">
        <v>13.8</v>
      </c>
      <c r="AG84" s="56">
        <v>14.5</v>
      </c>
      <c r="AH84" s="56">
        <v>11.4</v>
      </c>
      <c r="AI84" s="56">
        <v>1.5</v>
      </c>
      <c r="AJ84" s="56">
        <v>89.9</v>
      </c>
      <c r="AK84" s="56">
        <v>35.4</v>
      </c>
      <c r="AL84" s="56">
        <v>5.3</v>
      </c>
      <c r="AM84" s="56">
        <v>86.4</v>
      </c>
      <c r="AN84" s="56">
        <v>1262</v>
      </c>
      <c r="AO84" s="56">
        <v>3404.4</v>
      </c>
      <c r="AP84" s="56">
        <v>4666.3</v>
      </c>
      <c r="AQ84" s="56">
        <v>944.5</v>
      </c>
      <c r="AR84" s="56">
        <v>753.1</v>
      </c>
      <c r="AS84" s="56">
        <v>1697.5</v>
      </c>
    </row>
    <row r="85" spans="1:45">
      <c r="A85" s="54">
        <v>2015</v>
      </c>
      <c r="B85" s="54">
        <v>130000</v>
      </c>
      <c r="C85" s="55" t="s">
        <v>59</v>
      </c>
      <c r="D85" s="49">
        <v>0</v>
      </c>
      <c r="E85" s="49">
        <v>1</v>
      </c>
      <c r="F85" s="49">
        <v>0</v>
      </c>
      <c r="G85" s="49">
        <v>0</v>
      </c>
      <c r="H85" s="56">
        <v>57.615</v>
      </c>
      <c r="I85" s="56">
        <v>42.385</v>
      </c>
      <c r="J85" s="56">
        <v>1.298</v>
      </c>
      <c r="K85" s="56">
        <v>13.645</v>
      </c>
      <c r="L85" s="56">
        <v>49.4</v>
      </c>
      <c r="M85" s="56">
        <v>13.624</v>
      </c>
      <c r="N85" s="56">
        <v>9.192</v>
      </c>
      <c r="O85" s="56">
        <v>6.039</v>
      </c>
      <c r="P85" s="56">
        <v>0.5</v>
      </c>
      <c r="Q85" s="50">
        <v>1292</v>
      </c>
      <c r="R85" s="50">
        <v>1330</v>
      </c>
      <c r="S85" s="50">
        <v>1305</v>
      </c>
      <c r="T85" s="51">
        <v>3927</v>
      </c>
      <c r="U85" s="56">
        <v>4.2</v>
      </c>
      <c r="V85" s="56">
        <v>24.6</v>
      </c>
      <c r="W85" s="56">
        <v>140.9</v>
      </c>
      <c r="X85" s="56">
        <v>18.7</v>
      </c>
      <c r="Y85" s="56">
        <v>84.4</v>
      </c>
      <c r="Z85" s="56">
        <v>29.2</v>
      </c>
      <c r="AA85" s="56">
        <v>8.8</v>
      </c>
      <c r="AB85" s="56">
        <v>27.1</v>
      </c>
      <c r="AC85" s="56">
        <v>5.8</v>
      </c>
      <c r="AD85" s="56">
        <v>29.9</v>
      </c>
      <c r="AE85" s="56">
        <v>11</v>
      </c>
      <c r="AF85" s="56">
        <v>13.4</v>
      </c>
      <c r="AG85" s="56">
        <v>14.8</v>
      </c>
      <c r="AH85" s="56">
        <v>11.8</v>
      </c>
      <c r="AI85" s="56">
        <v>1.7</v>
      </c>
      <c r="AJ85" s="56">
        <v>89.1</v>
      </c>
      <c r="AK85" s="56">
        <v>36.5</v>
      </c>
      <c r="AL85" s="56">
        <v>5.5</v>
      </c>
      <c r="AM85" s="56">
        <v>86.3</v>
      </c>
      <c r="AN85" s="56">
        <v>1320.477</v>
      </c>
      <c r="AO85" s="56">
        <v>3440.324</v>
      </c>
      <c r="AP85" s="56">
        <v>4760.801</v>
      </c>
      <c r="AQ85" s="56">
        <v>957.04</v>
      </c>
      <c r="AR85" s="56">
        <v>706.695</v>
      </c>
      <c r="AS85" s="56">
        <v>1663.736</v>
      </c>
    </row>
    <row r="86" spans="1:45">
      <c r="A86" s="54">
        <v>2016</v>
      </c>
      <c r="B86" s="54">
        <v>130000</v>
      </c>
      <c r="C86" s="55" t="s">
        <v>59</v>
      </c>
      <c r="D86" s="56">
        <v>0</v>
      </c>
      <c r="E86" s="56">
        <v>1</v>
      </c>
      <c r="F86" s="56">
        <v>0</v>
      </c>
      <c r="G86" s="56">
        <v>0</v>
      </c>
      <c r="H86" s="56">
        <v>58.282</v>
      </c>
      <c r="I86" s="56">
        <v>41.718</v>
      </c>
      <c r="J86" s="56">
        <v>1.063</v>
      </c>
      <c r="K86" s="56">
        <v>12.9</v>
      </c>
      <c r="L86" s="56">
        <v>50.433</v>
      </c>
      <c r="M86" s="56">
        <v>12.84</v>
      </c>
      <c r="N86" s="56">
        <v>9.547</v>
      </c>
      <c r="O86" s="56">
        <v>6.235</v>
      </c>
      <c r="P86" s="56">
        <v>0.513</v>
      </c>
      <c r="Q86" s="50">
        <v>1186</v>
      </c>
      <c r="R86" s="50">
        <v>1237</v>
      </c>
      <c r="S86" s="50">
        <v>1448</v>
      </c>
      <c r="T86" s="51">
        <v>3871</v>
      </c>
      <c r="U86" s="56">
        <v>3.9</v>
      </c>
      <c r="V86" s="56">
        <v>22.8</v>
      </c>
      <c r="W86" s="56">
        <v>136.3</v>
      </c>
      <c r="X86" s="56">
        <v>18.8</v>
      </c>
      <c r="Y86" s="56">
        <v>81.8</v>
      </c>
      <c r="Z86" s="56">
        <v>28.7</v>
      </c>
      <c r="AA86" s="56">
        <v>8.4</v>
      </c>
      <c r="AB86" s="56">
        <v>26.9</v>
      </c>
      <c r="AC86" s="56">
        <v>5.4</v>
      </c>
      <c r="AD86" s="56">
        <v>32.2</v>
      </c>
      <c r="AE86" s="56">
        <v>12.1</v>
      </c>
      <c r="AF86" s="56">
        <v>12.6</v>
      </c>
      <c r="AG86" s="56">
        <v>16.4</v>
      </c>
      <c r="AH86" s="56">
        <v>11.9</v>
      </c>
      <c r="AI86" s="56">
        <v>2.5</v>
      </c>
      <c r="AJ86" s="56">
        <v>88.1</v>
      </c>
      <c r="AK86" s="56">
        <v>37.7</v>
      </c>
      <c r="AL86" s="56">
        <v>5.5</v>
      </c>
      <c r="AM86" s="56">
        <v>87.6</v>
      </c>
      <c r="AN86" s="56">
        <v>1403.137</v>
      </c>
      <c r="AO86" s="56">
        <v>3445.953</v>
      </c>
      <c r="AP86" s="56">
        <v>4849.09</v>
      </c>
      <c r="AQ86" s="56">
        <v>973.704</v>
      </c>
      <c r="AR86" s="56">
        <v>5698.425</v>
      </c>
      <c r="AS86" s="56">
        <v>6672.129</v>
      </c>
    </row>
    <row r="87" spans="1:45">
      <c r="A87" s="54">
        <v>2017</v>
      </c>
      <c r="B87" s="54">
        <v>130000</v>
      </c>
      <c r="C87" s="55" t="s">
        <v>59</v>
      </c>
      <c r="D87" s="49">
        <v>0</v>
      </c>
      <c r="E87" s="56">
        <v>1</v>
      </c>
      <c r="F87" s="49">
        <v>0</v>
      </c>
      <c r="G87" s="49">
        <v>0</v>
      </c>
      <c r="H87" s="56">
        <v>59.279</v>
      </c>
      <c r="I87" s="56">
        <v>40.721</v>
      </c>
      <c r="J87" s="56">
        <v>0.875</v>
      </c>
      <c r="K87" s="56">
        <v>12.28</v>
      </c>
      <c r="L87" s="56">
        <v>49.78</v>
      </c>
      <c r="M87" s="56">
        <v>13.512</v>
      </c>
      <c r="N87" s="56">
        <v>9.841</v>
      </c>
      <c r="O87" s="56">
        <v>6.243</v>
      </c>
      <c r="P87" s="56">
        <v>0.462</v>
      </c>
      <c r="Q87" s="50">
        <v>1086</v>
      </c>
      <c r="R87" s="50">
        <v>1113</v>
      </c>
      <c r="S87" s="50">
        <v>1596</v>
      </c>
      <c r="T87" s="51">
        <v>3795</v>
      </c>
      <c r="U87" s="56">
        <v>3.5</v>
      </c>
      <c r="V87" s="56">
        <v>19.8</v>
      </c>
      <c r="W87" s="56">
        <v>102.6</v>
      </c>
      <c r="X87" s="56">
        <v>17.9</v>
      </c>
      <c r="Y87" s="56">
        <v>38.3</v>
      </c>
      <c r="Z87" s="56">
        <v>24.3</v>
      </c>
      <c r="AA87" s="56">
        <v>7.5</v>
      </c>
      <c r="AB87" s="56">
        <v>17.8</v>
      </c>
      <c r="AC87" s="56">
        <v>3.4</v>
      </c>
      <c r="AD87" s="56">
        <v>34.6</v>
      </c>
      <c r="AE87" s="56">
        <v>6.3</v>
      </c>
      <c r="AF87" s="56">
        <v>9.8</v>
      </c>
      <c r="AG87" s="56">
        <v>14.1</v>
      </c>
      <c r="AH87" s="56">
        <v>12.2</v>
      </c>
      <c r="AI87" s="56">
        <v>2.2</v>
      </c>
      <c r="AJ87" s="56">
        <v>88.2</v>
      </c>
      <c r="AK87" s="56">
        <v>39.2</v>
      </c>
      <c r="AL87" s="56">
        <v>5</v>
      </c>
      <c r="AM87" s="56">
        <v>88.7</v>
      </c>
      <c r="AN87" s="56">
        <v>1535.808</v>
      </c>
      <c r="AO87" s="56">
        <v>3474.135</v>
      </c>
      <c r="AP87" s="56">
        <v>5009.943</v>
      </c>
      <c r="AQ87" s="56">
        <v>986.929</v>
      </c>
      <c r="AR87" s="56">
        <v>5896.216</v>
      </c>
      <c r="AS87" s="56">
        <v>6883.145</v>
      </c>
    </row>
    <row r="88" spans="1:45">
      <c r="A88" s="54">
        <v>2018</v>
      </c>
      <c r="B88" s="54">
        <v>130000</v>
      </c>
      <c r="C88" s="55" t="s">
        <v>59</v>
      </c>
      <c r="D88" s="56">
        <v>0</v>
      </c>
      <c r="E88" s="56">
        <v>1</v>
      </c>
      <c r="F88" s="56">
        <v>0</v>
      </c>
      <c r="G88" s="56">
        <v>0</v>
      </c>
      <c r="H88" s="56">
        <v>59.17</v>
      </c>
      <c r="I88" s="56">
        <v>40.83</v>
      </c>
      <c r="J88" s="56">
        <v>0.976</v>
      </c>
      <c r="K88" s="56">
        <v>11.707</v>
      </c>
      <c r="L88" s="56">
        <v>50.518</v>
      </c>
      <c r="M88" s="56">
        <v>12.987</v>
      </c>
      <c r="N88" s="56">
        <v>10.081</v>
      </c>
      <c r="O88" s="56">
        <v>6.752</v>
      </c>
      <c r="P88" s="56">
        <v>0.586</v>
      </c>
      <c r="Q88" s="50">
        <v>982</v>
      </c>
      <c r="R88" s="50">
        <v>1010</v>
      </c>
      <c r="S88" s="50">
        <v>1747</v>
      </c>
      <c r="T88" s="51">
        <v>3739</v>
      </c>
      <c r="U88" s="56">
        <v>2.5</v>
      </c>
      <c r="V88" s="56">
        <v>18.1</v>
      </c>
      <c r="W88" s="56">
        <v>98.4</v>
      </c>
      <c r="X88" s="56">
        <v>17.8</v>
      </c>
      <c r="Y88" s="56">
        <v>48.1</v>
      </c>
      <c r="Z88" s="56">
        <v>24.6</v>
      </c>
      <c r="AA88" s="56">
        <v>8.4</v>
      </c>
      <c r="AB88" s="56">
        <v>19</v>
      </c>
      <c r="AC88" s="56">
        <v>4.1</v>
      </c>
      <c r="AD88" s="56">
        <v>36.1</v>
      </c>
      <c r="AE88" s="56">
        <v>8.3</v>
      </c>
      <c r="AF88" s="56">
        <v>10.7</v>
      </c>
      <c r="AG88" s="56">
        <v>15.9</v>
      </c>
      <c r="AH88" s="56">
        <v>12.2</v>
      </c>
      <c r="AI88" s="56">
        <v>2</v>
      </c>
      <c r="AJ88" s="56">
        <v>87.9</v>
      </c>
      <c r="AK88" s="56">
        <v>39.6</v>
      </c>
      <c r="AL88" s="56">
        <v>5.1</v>
      </c>
      <c r="AM88" s="56">
        <v>91.4</v>
      </c>
      <c r="AN88" s="56">
        <v>1586.055</v>
      </c>
      <c r="AO88" s="56">
        <v>3511.618</v>
      </c>
      <c r="AP88" s="56">
        <v>5097.673</v>
      </c>
      <c r="AQ88" s="56">
        <v>1030.248</v>
      </c>
      <c r="AR88" s="56">
        <v>5884.05</v>
      </c>
      <c r="AS88" s="56">
        <v>6914.298</v>
      </c>
    </row>
    <row r="89" spans="1:45">
      <c r="A89" s="54">
        <v>2019</v>
      </c>
      <c r="B89" s="54">
        <v>130000</v>
      </c>
      <c r="C89" s="55" t="s">
        <v>59</v>
      </c>
      <c r="D89" s="49">
        <v>0</v>
      </c>
      <c r="E89" s="49">
        <v>1</v>
      </c>
      <c r="F89" s="49">
        <v>0</v>
      </c>
      <c r="G89" s="49">
        <v>0</v>
      </c>
      <c r="H89" s="56">
        <v>57.7</v>
      </c>
      <c r="I89" s="56">
        <v>42.3</v>
      </c>
      <c r="J89" s="56">
        <v>1</v>
      </c>
      <c r="K89" s="56">
        <v>12.4</v>
      </c>
      <c r="L89" s="56">
        <v>49</v>
      </c>
      <c r="M89" s="56">
        <v>18.9</v>
      </c>
      <c r="N89" s="56">
        <v>10.8</v>
      </c>
      <c r="O89" s="56">
        <v>7.1</v>
      </c>
      <c r="P89" s="56">
        <v>0.8</v>
      </c>
      <c r="Q89" s="50">
        <v>938</v>
      </c>
      <c r="R89" s="50">
        <v>973</v>
      </c>
      <c r="S89" s="50">
        <v>1791</v>
      </c>
      <c r="T89" s="51">
        <v>3702</v>
      </c>
      <c r="U89" s="56">
        <v>2.7</v>
      </c>
      <c r="V89" s="56">
        <v>16.5</v>
      </c>
      <c r="W89" s="56">
        <v>95.1</v>
      </c>
      <c r="X89" s="56">
        <v>18.7</v>
      </c>
      <c r="Y89" s="56">
        <v>43.2</v>
      </c>
      <c r="Z89" s="56">
        <v>27.5</v>
      </c>
      <c r="AA89" s="56">
        <v>10.1</v>
      </c>
      <c r="AB89" s="56">
        <v>20.6</v>
      </c>
      <c r="AC89" s="56">
        <v>4.5</v>
      </c>
      <c r="AD89" s="56">
        <v>37</v>
      </c>
      <c r="AE89" s="56">
        <v>10.4</v>
      </c>
      <c r="AF89" s="56">
        <v>16.1</v>
      </c>
      <c r="AG89" s="56">
        <v>16.4</v>
      </c>
      <c r="AH89" s="56">
        <v>9.1</v>
      </c>
      <c r="AI89" s="56">
        <v>2.5</v>
      </c>
      <c r="AJ89" s="56">
        <v>96</v>
      </c>
      <c r="AK89" s="56">
        <v>45.3</v>
      </c>
      <c r="AL89" s="56">
        <v>5.2</v>
      </c>
      <c r="AM89" s="56">
        <v>99.2</v>
      </c>
      <c r="AN89" s="56">
        <v>1654.5</v>
      </c>
      <c r="AO89" s="56">
        <v>3524.1</v>
      </c>
      <c r="AP89" s="56">
        <v>5178.6</v>
      </c>
      <c r="AQ89" s="56">
        <v>1079.2</v>
      </c>
      <c r="AR89" s="56">
        <v>5858.5</v>
      </c>
      <c r="AS89" s="56">
        <v>6937.7</v>
      </c>
    </row>
    <row r="90" spans="1:45">
      <c r="A90" s="54">
        <v>2020</v>
      </c>
      <c r="B90" s="54">
        <v>130000</v>
      </c>
      <c r="C90" s="55" t="s">
        <v>59</v>
      </c>
      <c r="D90" s="56">
        <v>0</v>
      </c>
      <c r="E90" s="56">
        <v>1</v>
      </c>
      <c r="F90" s="56">
        <v>0</v>
      </c>
      <c r="G90" s="56">
        <v>0</v>
      </c>
      <c r="H90" s="56">
        <v>57.5</v>
      </c>
      <c r="I90" s="56">
        <v>42.5</v>
      </c>
      <c r="J90" s="56">
        <v>1.3</v>
      </c>
      <c r="K90" s="56">
        <v>11.9</v>
      </c>
      <c r="L90" s="56">
        <v>50.4</v>
      </c>
      <c r="M90" s="56">
        <v>16.9</v>
      </c>
      <c r="N90" s="56">
        <v>10.5</v>
      </c>
      <c r="O90" s="56">
        <v>8.2</v>
      </c>
      <c r="P90" s="56">
        <v>0.7</v>
      </c>
      <c r="Q90" s="50">
        <v>815</v>
      </c>
      <c r="R90" s="50">
        <v>1171</v>
      </c>
      <c r="S90" s="50">
        <v>1685</v>
      </c>
      <c r="T90" s="51">
        <v>3671</v>
      </c>
      <c r="U90" s="56">
        <v>2.5</v>
      </c>
      <c r="V90" s="56">
        <v>16</v>
      </c>
      <c r="W90" s="56">
        <v>98.5</v>
      </c>
      <c r="X90" s="56">
        <v>18.7</v>
      </c>
      <c r="Y90" s="56">
        <v>41.2</v>
      </c>
      <c r="Z90" s="56">
        <v>27.3</v>
      </c>
      <c r="AA90" s="56">
        <v>10.4</v>
      </c>
      <c r="AB90" s="56">
        <v>20.4</v>
      </c>
      <c r="AC90" s="56">
        <v>4.3</v>
      </c>
      <c r="AD90" s="56">
        <v>36.4</v>
      </c>
      <c r="AE90" s="56">
        <v>11.8</v>
      </c>
      <c r="AF90" s="56">
        <v>15</v>
      </c>
      <c r="AG90" s="56">
        <v>15.7</v>
      </c>
      <c r="AH90" s="56">
        <v>9.7</v>
      </c>
      <c r="AI90" s="56">
        <v>2.3</v>
      </c>
      <c r="AJ90" s="56">
        <v>83</v>
      </c>
      <c r="AK90" s="56">
        <v>45.3</v>
      </c>
      <c r="AL90" s="56">
        <v>5.2</v>
      </c>
      <c r="AM90" s="56">
        <v>97.5</v>
      </c>
      <c r="AN90" s="56">
        <v>1737.9</v>
      </c>
      <c r="AO90" s="56">
        <v>3546.1</v>
      </c>
      <c r="AP90" s="56">
        <v>5284</v>
      </c>
      <c r="AQ90" s="56">
        <v>1135.5</v>
      </c>
      <c r="AR90" s="56">
        <v>5803.3</v>
      </c>
      <c r="AS90" s="56">
        <v>6938.8</v>
      </c>
    </row>
    <row r="91" spans="1:45">
      <c r="A91" s="54">
        <v>2021</v>
      </c>
      <c r="B91" s="54">
        <v>130000</v>
      </c>
      <c r="C91" s="55" t="s">
        <v>59</v>
      </c>
      <c r="D91" s="49">
        <v>0</v>
      </c>
      <c r="E91" s="56">
        <v>1</v>
      </c>
      <c r="F91" s="49">
        <v>0</v>
      </c>
      <c r="G91" s="49">
        <v>0</v>
      </c>
      <c r="H91" s="56">
        <v>56.738</v>
      </c>
      <c r="I91" s="56">
        <v>43.262</v>
      </c>
      <c r="J91" s="56">
        <v>1.385</v>
      </c>
      <c r="K91" s="56">
        <v>12.425</v>
      </c>
      <c r="L91" s="56">
        <v>48.55</v>
      </c>
      <c r="M91" s="56">
        <v>18.077</v>
      </c>
      <c r="N91" s="56">
        <v>10.948</v>
      </c>
      <c r="O91" s="56">
        <v>7.982</v>
      </c>
      <c r="P91" s="56">
        <v>0.633</v>
      </c>
      <c r="Q91" s="50">
        <v>777</v>
      </c>
      <c r="R91" s="50">
        <v>1169</v>
      </c>
      <c r="S91" s="50">
        <v>1697</v>
      </c>
      <c r="T91" s="51">
        <v>3643</v>
      </c>
      <c r="U91" s="56">
        <v>1.8</v>
      </c>
      <c r="V91" s="56">
        <v>15.3</v>
      </c>
      <c r="W91" s="56">
        <v>101.1</v>
      </c>
      <c r="X91" s="56">
        <v>18.6</v>
      </c>
      <c r="Y91" s="56">
        <v>38.7</v>
      </c>
      <c r="Z91" s="56">
        <v>29</v>
      </c>
      <c r="AA91" s="56">
        <v>12.2</v>
      </c>
      <c r="AB91" s="56">
        <v>20.7</v>
      </c>
      <c r="AC91" s="56">
        <v>4.3</v>
      </c>
      <c r="AD91" s="56">
        <v>36.7</v>
      </c>
      <c r="AE91" s="56">
        <v>12</v>
      </c>
      <c r="AF91" s="56">
        <v>14.2</v>
      </c>
      <c r="AG91" s="56">
        <v>15.6</v>
      </c>
      <c r="AH91" s="56">
        <v>10</v>
      </c>
      <c r="AI91" s="56">
        <v>2.6</v>
      </c>
      <c r="AJ91" s="56">
        <v>83.5</v>
      </c>
      <c r="AK91" s="56">
        <v>46.8</v>
      </c>
      <c r="AL91" s="56">
        <v>5.3</v>
      </c>
      <c r="AM91" s="56">
        <v>97.4</v>
      </c>
      <c r="AN91" s="56">
        <v>1805.483</v>
      </c>
      <c r="AO91" s="56">
        <v>3552.842</v>
      </c>
      <c r="AP91" s="56">
        <v>5358.325</v>
      </c>
      <c r="AQ91" s="56">
        <v>1212.014</v>
      </c>
      <c r="AR91" s="56">
        <v>5879.034</v>
      </c>
      <c r="AS91" s="56">
        <v>7091.048</v>
      </c>
    </row>
    <row r="92" spans="1:45">
      <c r="A92" s="54">
        <v>2022</v>
      </c>
      <c r="B92" s="54">
        <v>130000</v>
      </c>
      <c r="C92" s="55" t="s">
        <v>59</v>
      </c>
      <c r="D92" s="56">
        <v>0</v>
      </c>
      <c r="E92" s="56">
        <v>1</v>
      </c>
      <c r="F92" s="56">
        <v>0</v>
      </c>
      <c r="G92" s="56">
        <v>0</v>
      </c>
      <c r="H92" s="56">
        <v>56.014</v>
      </c>
      <c r="I92" s="56">
        <v>43.986</v>
      </c>
      <c r="J92" s="56">
        <v>1.278</v>
      </c>
      <c r="K92" s="56">
        <v>13.82</v>
      </c>
      <c r="L92" s="56">
        <v>48.011</v>
      </c>
      <c r="M92" s="56">
        <v>15.366</v>
      </c>
      <c r="N92" s="56">
        <v>11.939</v>
      </c>
      <c r="O92" s="56">
        <v>8.942</v>
      </c>
      <c r="P92" s="56">
        <v>0.644</v>
      </c>
      <c r="Q92" s="50">
        <v>820</v>
      </c>
      <c r="R92" s="50">
        <v>1121</v>
      </c>
      <c r="S92" s="50">
        <v>1639</v>
      </c>
      <c r="T92" s="51">
        <v>3580</v>
      </c>
      <c r="U92" s="56">
        <v>1.9</v>
      </c>
      <c r="V92" s="56">
        <v>14.9</v>
      </c>
      <c r="W92" s="56">
        <v>97</v>
      </c>
      <c r="X92" s="56">
        <v>18.5</v>
      </c>
      <c r="Y92" s="56">
        <v>36.3</v>
      </c>
      <c r="Z92" s="56">
        <v>28.7</v>
      </c>
      <c r="AA92" s="56">
        <v>12</v>
      </c>
      <c r="AB92" s="56">
        <v>20.1</v>
      </c>
      <c r="AC92" s="56">
        <v>4.1</v>
      </c>
      <c r="AD92" s="56">
        <v>32.2</v>
      </c>
      <c r="AE92" s="56">
        <v>10.5</v>
      </c>
      <c r="AF92" s="56">
        <v>19.5</v>
      </c>
      <c r="AG92" s="56">
        <v>14.3</v>
      </c>
      <c r="AH92" s="56">
        <v>10.7</v>
      </c>
      <c r="AI92" s="56">
        <v>2.5</v>
      </c>
      <c r="AJ92" s="56">
        <v>84</v>
      </c>
      <c r="AK92" s="56">
        <v>48.8</v>
      </c>
      <c r="AL92" s="56">
        <v>5.2</v>
      </c>
      <c r="AM92" s="56">
        <v>99.9</v>
      </c>
      <c r="AN92" s="56">
        <v>1867.694</v>
      </c>
      <c r="AO92" s="56">
        <v>3568.52</v>
      </c>
      <c r="AP92" s="56">
        <v>5436.214</v>
      </c>
      <c r="AQ92" s="56">
        <v>1238.295</v>
      </c>
      <c r="AR92" s="56">
        <v>5781.955</v>
      </c>
      <c r="AS92" s="56">
        <v>7020.25</v>
      </c>
    </row>
    <row r="93" spans="1:45">
      <c r="A93" s="54">
        <v>2013</v>
      </c>
      <c r="B93" s="54">
        <v>410000</v>
      </c>
      <c r="C93" s="55" t="s">
        <v>60</v>
      </c>
      <c r="D93" s="49">
        <v>0</v>
      </c>
      <c r="E93" s="49">
        <v>0</v>
      </c>
      <c r="F93" s="56">
        <v>1</v>
      </c>
      <c r="G93" s="49">
        <v>0</v>
      </c>
      <c r="J93" s="56">
        <v>1.94</v>
      </c>
      <c r="K93" s="56">
        <v>15.633</v>
      </c>
      <c r="L93" s="56">
        <v>54.538</v>
      </c>
      <c r="M93" s="56">
        <v>17.672</v>
      </c>
      <c r="N93" s="56">
        <v>6.561</v>
      </c>
      <c r="O93" s="56">
        <v>3.397</v>
      </c>
      <c r="P93" s="56">
        <v>0.259</v>
      </c>
      <c r="Q93" s="50">
        <v>2043.955</v>
      </c>
      <c r="R93" s="50">
        <v>1623.2005</v>
      </c>
      <c r="S93" s="50">
        <v>1426.8445</v>
      </c>
      <c r="T93" s="51">
        <v>5094</v>
      </c>
      <c r="U93" s="56">
        <v>5.2</v>
      </c>
      <c r="V93" s="56">
        <v>62.6</v>
      </c>
      <c r="W93" s="56">
        <v>312.7</v>
      </c>
      <c r="X93" s="56">
        <v>24.6</v>
      </c>
      <c r="Y93" s="56">
        <v>189.5</v>
      </c>
      <c r="Z93" s="56">
        <v>43.6</v>
      </c>
      <c r="AA93" s="56">
        <v>9.5</v>
      </c>
      <c r="AB93" s="56">
        <v>52.7</v>
      </c>
      <c r="AC93" s="56">
        <v>11.8</v>
      </c>
      <c r="AD93" s="56">
        <v>24.1</v>
      </c>
      <c r="AE93" s="56">
        <v>15.8</v>
      </c>
      <c r="AF93" s="56">
        <v>12.5</v>
      </c>
      <c r="AG93" s="56">
        <v>14.8</v>
      </c>
      <c r="AH93" s="56">
        <v>12.4</v>
      </c>
      <c r="AI93" s="56">
        <v>2</v>
      </c>
      <c r="AJ93" s="56">
        <v>116.9</v>
      </c>
      <c r="AK93" s="56">
        <v>48.4</v>
      </c>
      <c r="AL93" s="56">
        <v>8.5</v>
      </c>
      <c r="AM93" s="56">
        <v>108.5</v>
      </c>
      <c r="AN93" s="56">
        <v>1349.989</v>
      </c>
      <c r="AO93" s="56">
        <v>4796.973</v>
      </c>
      <c r="AP93" s="56">
        <v>6146.962</v>
      </c>
      <c r="AQ93" s="56">
        <v>1140.234</v>
      </c>
      <c r="AR93" s="56">
        <v>1156.966</v>
      </c>
      <c r="AS93" s="56">
        <v>2297.2</v>
      </c>
    </row>
    <row r="94" spans="1:45">
      <c r="A94" s="54">
        <v>2014</v>
      </c>
      <c r="B94" s="54">
        <v>410000</v>
      </c>
      <c r="C94" s="55" t="s">
        <v>60</v>
      </c>
      <c r="D94" s="56">
        <v>0</v>
      </c>
      <c r="E94" s="56">
        <v>0</v>
      </c>
      <c r="F94" s="56">
        <v>1</v>
      </c>
      <c r="G94" s="56">
        <v>0</v>
      </c>
      <c r="H94" s="56">
        <v>51.5</v>
      </c>
      <c r="I94" s="56">
        <v>48.5</v>
      </c>
      <c r="J94" s="56">
        <v>1.9</v>
      </c>
      <c r="K94" s="56">
        <v>14.6</v>
      </c>
      <c r="L94" s="56">
        <v>53.3</v>
      </c>
      <c r="M94" s="56">
        <v>18.3</v>
      </c>
      <c r="N94" s="56">
        <v>7.4</v>
      </c>
      <c r="O94" s="56">
        <v>4.3</v>
      </c>
      <c r="P94" s="56">
        <v>0.3</v>
      </c>
      <c r="Q94" s="50">
        <v>1896.5521</v>
      </c>
      <c r="R94" s="50">
        <v>1518.2351</v>
      </c>
      <c r="S94" s="50">
        <v>1667.2128</v>
      </c>
      <c r="T94" s="51">
        <v>5082</v>
      </c>
      <c r="U94" s="56">
        <v>5.1</v>
      </c>
      <c r="V94" s="56">
        <v>56.3</v>
      </c>
      <c r="W94" s="56">
        <v>337.1</v>
      </c>
      <c r="X94" s="56">
        <v>25.5</v>
      </c>
      <c r="Y94" s="56">
        <v>189.6</v>
      </c>
      <c r="Z94" s="56">
        <v>44.5</v>
      </c>
      <c r="AA94" s="56">
        <v>9.7</v>
      </c>
      <c r="AB94" s="56">
        <v>53.3</v>
      </c>
      <c r="AC94" s="56">
        <v>11.2</v>
      </c>
      <c r="AD94" s="56">
        <v>24</v>
      </c>
      <c r="AE94" s="56">
        <v>18.4</v>
      </c>
      <c r="AF94" s="56">
        <v>15.1</v>
      </c>
      <c r="AG94" s="56">
        <v>16.4</v>
      </c>
      <c r="AH94" s="56">
        <v>13.2</v>
      </c>
      <c r="AI94" s="56">
        <v>2.4</v>
      </c>
      <c r="AJ94" s="56">
        <v>119</v>
      </c>
      <c r="AK94" s="56">
        <v>50</v>
      </c>
      <c r="AL94" s="56">
        <v>7.5</v>
      </c>
      <c r="AM94" s="56">
        <v>110.6</v>
      </c>
      <c r="AN94" s="56">
        <v>1431.6</v>
      </c>
      <c r="AO94" s="56">
        <v>4843.8</v>
      </c>
      <c r="AP94" s="56">
        <v>6275.4</v>
      </c>
      <c r="AQ94" s="56">
        <v>1182.4</v>
      </c>
      <c r="AR94" s="56">
        <v>1157.6</v>
      </c>
      <c r="AS94" s="56">
        <v>2340</v>
      </c>
    </row>
    <row r="95" spans="1:45">
      <c r="A95" s="54">
        <v>2015</v>
      </c>
      <c r="B95" s="54">
        <v>410000</v>
      </c>
      <c r="C95" s="55" t="s">
        <v>60</v>
      </c>
      <c r="D95" s="49">
        <v>0</v>
      </c>
      <c r="E95" s="49">
        <v>0</v>
      </c>
      <c r="F95" s="49">
        <v>1</v>
      </c>
      <c r="G95" s="49">
        <v>0</v>
      </c>
      <c r="H95" s="56">
        <v>56.991</v>
      </c>
      <c r="I95" s="56">
        <v>43.009</v>
      </c>
      <c r="J95" s="56">
        <v>2.372</v>
      </c>
      <c r="K95" s="56">
        <v>14.582</v>
      </c>
      <c r="L95" s="56">
        <v>51.201</v>
      </c>
      <c r="M95" s="56">
        <v>13.84</v>
      </c>
      <c r="N95" s="56">
        <v>7.607</v>
      </c>
      <c r="O95" s="56">
        <v>4.785</v>
      </c>
      <c r="P95" s="56">
        <v>0.364</v>
      </c>
      <c r="Q95" s="50">
        <v>1718.9025</v>
      </c>
      <c r="R95" s="50">
        <v>1517.425</v>
      </c>
      <c r="S95" s="50">
        <v>1838.6725</v>
      </c>
      <c r="T95" s="51">
        <v>5075</v>
      </c>
      <c r="U95" s="56">
        <v>2.5</v>
      </c>
      <c r="V95" s="56">
        <v>51.6</v>
      </c>
      <c r="W95" s="56">
        <v>352.9</v>
      </c>
      <c r="X95" s="56">
        <v>25.3</v>
      </c>
      <c r="Y95" s="56">
        <v>178.8</v>
      </c>
      <c r="Z95" s="56">
        <v>45.3</v>
      </c>
      <c r="AA95" s="56">
        <v>10.4</v>
      </c>
      <c r="AB95" s="56">
        <v>54.9</v>
      </c>
      <c r="AC95" s="56">
        <v>11.3</v>
      </c>
      <c r="AD95" s="56">
        <v>24.4</v>
      </c>
      <c r="AE95" s="56">
        <v>21.2</v>
      </c>
      <c r="AF95" s="56">
        <v>16.1</v>
      </c>
      <c r="AG95" s="56">
        <v>17.2</v>
      </c>
      <c r="AH95" s="56">
        <v>13.5</v>
      </c>
      <c r="AI95" s="56">
        <v>2.7</v>
      </c>
      <c r="AJ95" s="56">
        <v>125</v>
      </c>
      <c r="AK95" s="56">
        <v>55.2</v>
      </c>
      <c r="AL95" s="56">
        <v>7.8</v>
      </c>
      <c r="AM95" s="56">
        <v>109.7</v>
      </c>
      <c r="AN95" s="56">
        <v>1508.707</v>
      </c>
      <c r="AO95" s="56">
        <v>4855.213</v>
      </c>
      <c r="AP95" s="56">
        <v>6363.92</v>
      </c>
      <c r="AQ95" s="56">
        <v>1200.723</v>
      </c>
      <c r="AR95" s="56">
        <v>1144.18</v>
      </c>
      <c r="AS95" s="56">
        <v>2344.903</v>
      </c>
    </row>
    <row r="96" spans="1:45">
      <c r="A96" s="54">
        <v>2016</v>
      </c>
      <c r="B96" s="54">
        <v>410000</v>
      </c>
      <c r="C96" s="55" t="s">
        <v>60</v>
      </c>
      <c r="D96" s="56">
        <v>0</v>
      </c>
      <c r="E96" s="56">
        <v>0</v>
      </c>
      <c r="F96" s="56">
        <v>1</v>
      </c>
      <c r="G96" s="56">
        <v>0</v>
      </c>
      <c r="H96" s="56">
        <v>55.063</v>
      </c>
      <c r="I96" s="56">
        <v>44.937</v>
      </c>
      <c r="J96" s="56">
        <v>2.541</v>
      </c>
      <c r="K96" s="56">
        <v>15.333</v>
      </c>
      <c r="L96" s="56">
        <v>50.108</v>
      </c>
      <c r="M96" s="56">
        <v>13.852</v>
      </c>
      <c r="N96" s="56">
        <v>8.12</v>
      </c>
      <c r="O96" s="56">
        <v>4.717</v>
      </c>
      <c r="P96" s="56">
        <v>0.363</v>
      </c>
      <c r="Q96" s="50">
        <v>1545.912</v>
      </c>
      <c r="R96" s="50">
        <v>1512.0636</v>
      </c>
      <c r="S96" s="50">
        <v>1994.0244</v>
      </c>
      <c r="T96" s="51">
        <v>5052</v>
      </c>
      <c r="U96" s="56">
        <v>2.1</v>
      </c>
      <c r="V96" s="56">
        <v>45.2</v>
      </c>
      <c r="W96" s="56">
        <v>363.3</v>
      </c>
      <c r="X96" s="56">
        <v>26.2</v>
      </c>
      <c r="Y96" s="56">
        <v>173.4</v>
      </c>
      <c r="Z96" s="56">
        <v>45.8</v>
      </c>
      <c r="AA96" s="56">
        <v>12.2</v>
      </c>
      <c r="AB96" s="56">
        <v>56.1</v>
      </c>
      <c r="AC96" s="56">
        <v>11</v>
      </c>
      <c r="AD96" s="56">
        <v>30</v>
      </c>
      <c r="AE96" s="56">
        <v>23.1</v>
      </c>
      <c r="AF96" s="56">
        <v>18.1</v>
      </c>
      <c r="AG96" s="56">
        <v>17.8</v>
      </c>
      <c r="AH96" s="56">
        <v>13</v>
      </c>
      <c r="AI96" s="56">
        <v>3.1</v>
      </c>
      <c r="AJ96" s="56">
        <v>124.6</v>
      </c>
      <c r="AK96" s="56">
        <v>58.4</v>
      </c>
      <c r="AL96" s="56">
        <v>7.8</v>
      </c>
      <c r="AM96" s="56">
        <v>113.8</v>
      </c>
      <c r="AN96" s="56">
        <v>1848.423</v>
      </c>
      <c r="AO96" s="56">
        <v>4893.739</v>
      </c>
      <c r="AP96" s="56">
        <v>6742.162</v>
      </c>
      <c r="AQ96" s="56">
        <v>1227.344</v>
      </c>
      <c r="AR96" s="56">
        <v>1133.404</v>
      </c>
      <c r="AS96" s="56">
        <v>2360.747</v>
      </c>
    </row>
    <row r="97" spans="1:45">
      <c r="A97" s="54">
        <v>2017</v>
      </c>
      <c r="B97" s="54">
        <v>410000</v>
      </c>
      <c r="C97" s="55" t="s">
        <v>60</v>
      </c>
      <c r="D97" s="49">
        <v>0</v>
      </c>
      <c r="E97" s="49">
        <v>0</v>
      </c>
      <c r="F97" s="56">
        <v>1</v>
      </c>
      <c r="G97" s="49">
        <v>0</v>
      </c>
      <c r="H97" s="56">
        <v>55.542</v>
      </c>
      <c r="I97" s="56">
        <v>44.458</v>
      </c>
      <c r="J97" s="56">
        <v>2.114</v>
      </c>
      <c r="K97" s="56">
        <v>14.165</v>
      </c>
      <c r="L97" s="56">
        <v>51.553</v>
      </c>
      <c r="M97" s="56">
        <v>14.415</v>
      </c>
      <c r="N97" s="56">
        <v>7.56</v>
      </c>
      <c r="O97" s="56">
        <v>4.613</v>
      </c>
      <c r="P97" s="56">
        <v>0.34</v>
      </c>
      <c r="Q97" s="50">
        <v>1375.1318</v>
      </c>
      <c r="R97" s="50">
        <v>1506.2261</v>
      </c>
      <c r="S97" s="50">
        <v>2147.6418</v>
      </c>
      <c r="T97" s="51">
        <v>5029</v>
      </c>
      <c r="U97" s="56">
        <v>1.8</v>
      </c>
      <c r="V97" s="56">
        <v>40.3</v>
      </c>
      <c r="W97" s="56">
        <v>353.2</v>
      </c>
      <c r="X97" s="56">
        <v>25.7</v>
      </c>
      <c r="Y97" s="56">
        <v>170.3</v>
      </c>
      <c r="Z97" s="56">
        <v>45.2</v>
      </c>
      <c r="AA97" s="56">
        <v>13.2</v>
      </c>
      <c r="AB97" s="56">
        <v>51.4</v>
      </c>
      <c r="AC97" s="56">
        <v>10.4</v>
      </c>
      <c r="AD97" s="56">
        <v>29.7</v>
      </c>
      <c r="AE97" s="56">
        <v>26.8</v>
      </c>
      <c r="AF97" s="56">
        <v>19.6</v>
      </c>
      <c r="AG97" s="56">
        <v>17.1</v>
      </c>
      <c r="AH97" s="56">
        <v>13.6</v>
      </c>
      <c r="AI97" s="56">
        <v>3.4</v>
      </c>
      <c r="AJ97" s="56">
        <v>124.5</v>
      </c>
      <c r="AK97" s="56">
        <v>59.9</v>
      </c>
      <c r="AL97" s="56">
        <v>7.7</v>
      </c>
      <c r="AM97" s="56">
        <v>115.5</v>
      </c>
      <c r="AN97" s="56">
        <v>1897.585</v>
      </c>
      <c r="AO97" s="56">
        <v>5010.216</v>
      </c>
      <c r="AP97" s="56">
        <v>6907.801</v>
      </c>
      <c r="AQ97" s="56">
        <v>1228.23</v>
      </c>
      <c r="AR97" s="56">
        <v>9182.467</v>
      </c>
      <c r="AS97" s="56">
        <v>10410.697</v>
      </c>
    </row>
    <row r="98" spans="1:45">
      <c r="A98" s="54">
        <v>2018</v>
      </c>
      <c r="B98" s="54">
        <v>410000</v>
      </c>
      <c r="C98" s="55" t="s">
        <v>60</v>
      </c>
      <c r="D98" s="56">
        <v>0</v>
      </c>
      <c r="E98" s="56">
        <v>0</v>
      </c>
      <c r="F98" s="56">
        <v>1</v>
      </c>
      <c r="G98" s="56">
        <v>0</v>
      </c>
      <c r="H98" s="56">
        <v>54.913</v>
      </c>
      <c r="I98" s="56">
        <v>45.087</v>
      </c>
      <c r="J98" s="56">
        <v>1.97</v>
      </c>
      <c r="K98" s="56">
        <v>13.021</v>
      </c>
      <c r="L98" s="56">
        <v>50.812</v>
      </c>
      <c r="M98" s="56">
        <v>15.218</v>
      </c>
      <c r="N98" s="56">
        <v>8.143</v>
      </c>
      <c r="O98" s="56">
        <v>4.799</v>
      </c>
      <c r="P98" s="56">
        <v>0.394</v>
      </c>
      <c r="Q98" s="50">
        <v>1302.7136</v>
      </c>
      <c r="R98" s="50">
        <v>1502.0497</v>
      </c>
      <c r="S98" s="50">
        <v>2187.2365</v>
      </c>
      <c r="T98" s="51">
        <v>4992</v>
      </c>
      <c r="U98" s="56">
        <v>1.4</v>
      </c>
      <c r="V98" s="56">
        <v>34.2</v>
      </c>
      <c r="W98" s="56">
        <v>233.4</v>
      </c>
      <c r="X98" s="56">
        <v>24.5</v>
      </c>
      <c r="Y98" s="56">
        <v>169.4</v>
      </c>
      <c r="Z98" s="56">
        <v>39.3</v>
      </c>
      <c r="AA98" s="56">
        <v>12.8</v>
      </c>
      <c r="AB98" s="56">
        <v>36.7</v>
      </c>
      <c r="AC98" s="56">
        <v>7.9</v>
      </c>
      <c r="AD98" s="56">
        <v>28.2</v>
      </c>
      <c r="AE98" s="56">
        <v>23.5</v>
      </c>
      <c r="AF98" s="56">
        <v>16.4</v>
      </c>
      <c r="AG98" s="56">
        <v>14</v>
      </c>
      <c r="AH98" s="56">
        <v>13.4</v>
      </c>
      <c r="AI98" s="56">
        <v>2.2</v>
      </c>
      <c r="AJ98" s="56">
        <v>119.5</v>
      </c>
      <c r="AK98" s="56">
        <v>62.6</v>
      </c>
      <c r="AL98" s="56">
        <v>7.1</v>
      </c>
      <c r="AM98" s="56">
        <v>120.9</v>
      </c>
      <c r="AN98" s="56">
        <v>2006.539</v>
      </c>
      <c r="AO98" s="56">
        <v>5082.455</v>
      </c>
      <c r="AP98" s="56">
        <v>7088.994</v>
      </c>
      <c r="AQ98" s="56">
        <v>1265.108</v>
      </c>
      <c r="AR98" s="56">
        <v>9170.628</v>
      </c>
      <c r="AS98" s="56">
        <v>10435.736</v>
      </c>
    </row>
    <row r="99" spans="1:45">
      <c r="A99" s="54">
        <v>2019</v>
      </c>
      <c r="B99" s="54">
        <v>410000</v>
      </c>
      <c r="C99" s="55" t="s">
        <v>60</v>
      </c>
      <c r="D99" s="49">
        <v>0</v>
      </c>
      <c r="E99" s="49">
        <v>0</v>
      </c>
      <c r="F99" s="49">
        <v>1</v>
      </c>
      <c r="G99" s="49">
        <v>0</v>
      </c>
      <c r="H99" s="56">
        <v>54.8</v>
      </c>
      <c r="I99" s="56">
        <v>45.2</v>
      </c>
      <c r="J99" s="56">
        <v>2</v>
      </c>
      <c r="K99" s="56">
        <v>12.1</v>
      </c>
      <c r="L99" s="56">
        <v>47.4</v>
      </c>
      <c r="M99" s="56">
        <v>20.7</v>
      </c>
      <c r="N99" s="56">
        <v>10.6</v>
      </c>
      <c r="O99" s="56">
        <v>6.7</v>
      </c>
      <c r="P99" s="56">
        <v>0.6</v>
      </c>
      <c r="Q99" s="50">
        <v>1251.2624</v>
      </c>
      <c r="R99" s="50">
        <v>1468.8518</v>
      </c>
      <c r="S99" s="50">
        <v>2213.8858</v>
      </c>
      <c r="T99" s="51">
        <v>4934</v>
      </c>
      <c r="U99" s="56">
        <v>2.1</v>
      </c>
      <c r="V99" s="56">
        <v>29.6</v>
      </c>
      <c r="W99" s="56">
        <v>222.1</v>
      </c>
      <c r="X99" s="56">
        <v>23.5</v>
      </c>
      <c r="Y99" s="56">
        <v>153.1</v>
      </c>
      <c r="Z99" s="56">
        <v>41.2</v>
      </c>
      <c r="AA99" s="56">
        <v>16.6</v>
      </c>
      <c r="AB99" s="56">
        <v>36.8</v>
      </c>
      <c r="AC99" s="56">
        <v>7.8</v>
      </c>
      <c r="AD99" s="56">
        <v>29.5</v>
      </c>
      <c r="AE99" s="56">
        <v>28</v>
      </c>
      <c r="AF99" s="56">
        <v>26.4</v>
      </c>
      <c r="AG99" s="56">
        <v>17.6</v>
      </c>
      <c r="AH99" s="56">
        <v>13.6</v>
      </c>
      <c r="AI99" s="56">
        <v>2.7</v>
      </c>
      <c r="AJ99" s="56">
        <v>121.5</v>
      </c>
      <c r="AK99" s="56">
        <v>66.1</v>
      </c>
      <c r="AL99" s="56">
        <v>6.8</v>
      </c>
      <c r="AM99" s="56">
        <v>123.1</v>
      </c>
      <c r="AN99" s="56">
        <v>2133.8</v>
      </c>
      <c r="AO99" s="56">
        <v>5196.6</v>
      </c>
      <c r="AP99" s="56">
        <v>7330.4</v>
      </c>
      <c r="AQ99" s="56">
        <v>1281.7</v>
      </c>
      <c r="AR99" s="56">
        <v>9008.1</v>
      </c>
      <c r="AS99" s="56">
        <v>10289.8</v>
      </c>
    </row>
    <row r="100" spans="1:45">
      <c r="A100" s="54">
        <v>2020</v>
      </c>
      <c r="B100" s="54">
        <v>410000</v>
      </c>
      <c r="C100" s="55" t="s">
        <v>60</v>
      </c>
      <c r="D100" s="56">
        <v>0</v>
      </c>
      <c r="E100" s="56">
        <v>0</v>
      </c>
      <c r="F100" s="56">
        <v>1</v>
      </c>
      <c r="G100" s="56">
        <v>0</v>
      </c>
      <c r="H100" s="56">
        <v>54.7</v>
      </c>
      <c r="I100" s="56">
        <v>45.3</v>
      </c>
      <c r="J100" s="56">
        <v>2.6</v>
      </c>
      <c r="K100" s="56">
        <v>12.8</v>
      </c>
      <c r="L100" s="56">
        <v>47.5</v>
      </c>
      <c r="M100" s="56">
        <v>20.1</v>
      </c>
      <c r="N100" s="56">
        <v>9.7</v>
      </c>
      <c r="O100" s="56">
        <v>6.7</v>
      </c>
      <c r="P100" s="56">
        <v>0.6</v>
      </c>
      <c r="Q100" s="50">
        <v>1223</v>
      </c>
      <c r="R100" s="50">
        <v>1443</v>
      </c>
      <c r="S100" s="50">
        <v>2218</v>
      </c>
      <c r="T100" s="51">
        <v>4884</v>
      </c>
      <c r="U100" s="56">
        <v>2.2</v>
      </c>
      <c r="V100" s="56">
        <v>27.5</v>
      </c>
      <c r="W100" s="56">
        <v>215.6</v>
      </c>
      <c r="X100" s="56">
        <v>23.8</v>
      </c>
      <c r="Y100" s="56">
        <v>148.3</v>
      </c>
      <c r="Z100" s="56">
        <v>42.1</v>
      </c>
      <c r="AA100" s="56">
        <v>18.3</v>
      </c>
      <c r="AB100" s="56">
        <v>35.2</v>
      </c>
      <c r="AC100" s="56">
        <v>7.7</v>
      </c>
      <c r="AD100" s="56">
        <v>27</v>
      </c>
      <c r="AE100" s="56">
        <v>29.3</v>
      </c>
      <c r="AF100" s="56">
        <v>23.9</v>
      </c>
      <c r="AG100" s="56">
        <v>18.4</v>
      </c>
      <c r="AH100" s="56">
        <v>15.2</v>
      </c>
      <c r="AI100" s="56">
        <v>2.9</v>
      </c>
      <c r="AJ100" s="56">
        <v>129.6</v>
      </c>
      <c r="AK100" s="56">
        <v>69</v>
      </c>
      <c r="AL100" s="56">
        <v>7.5</v>
      </c>
      <c r="AM100" s="56">
        <v>121.2</v>
      </c>
      <c r="AN100" s="56">
        <v>2248.5</v>
      </c>
      <c r="AO100" s="56">
        <v>5255.9</v>
      </c>
      <c r="AP100" s="56">
        <v>7504.4</v>
      </c>
      <c r="AQ100" s="56">
        <v>1336.5</v>
      </c>
      <c r="AR100" s="56">
        <v>9013</v>
      </c>
      <c r="AS100" s="56">
        <v>10349.5</v>
      </c>
    </row>
    <row r="101" spans="1:45">
      <c r="A101" s="54">
        <v>2021</v>
      </c>
      <c r="B101" s="54">
        <v>410000</v>
      </c>
      <c r="C101" s="55" t="s">
        <v>60</v>
      </c>
      <c r="D101" s="49">
        <v>0</v>
      </c>
      <c r="E101" s="49">
        <v>0</v>
      </c>
      <c r="F101" s="56">
        <v>1</v>
      </c>
      <c r="G101" s="49">
        <v>0</v>
      </c>
      <c r="H101" s="56">
        <v>54.308</v>
      </c>
      <c r="I101" s="56">
        <v>45.692</v>
      </c>
      <c r="J101" s="56">
        <v>2.696</v>
      </c>
      <c r="K101" s="56">
        <v>14.304</v>
      </c>
      <c r="L101" s="56">
        <v>49.038</v>
      </c>
      <c r="M101" s="56">
        <v>17.926</v>
      </c>
      <c r="N101" s="56">
        <v>9.001</v>
      </c>
      <c r="O101" s="56">
        <v>6.324</v>
      </c>
      <c r="P101" s="56">
        <v>0.712</v>
      </c>
      <c r="Q101" s="50">
        <v>1172</v>
      </c>
      <c r="R101" s="50">
        <v>1446</v>
      </c>
      <c r="S101" s="50">
        <v>2222</v>
      </c>
      <c r="T101" s="51">
        <v>4840</v>
      </c>
      <c r="U101" s="56">
        <v>1.7</v>
      </c>
      <c r="V101" s="56">
        <v>25.6</v>
      </c>
      <c r="W101" s="56">
        <v>193.2</v>
      </c>
      <c r="X101" s="56">
        <v>23.8</v>
      </c>
      <c r="Y101" s="56">
        <v>133.6</v>
      </c>
      <c r="Z101" s="56">
        <v>39.3</v>
      </c>
      <c r="AA101" s="56">
        <v>18.2</v>
      </c>
      <c r="AB101" s="56">
        <v>33.7</v>
      </c>
      <c r="AC101" s="56">
        <v>7.5</v>
      </c>
      <c r="AD101" s="56">
        <v>26.5</v>
      </c>
      <c r="AE101" s="56">
        <v>27.5</v>
      </c>
      <c r="AF101" s="56">
        <v>22.9</v>
      </c>
      <c r="AG101" s="56">
        <v>18.4</v>
      </c>
      <c r="AH101" s="56">
        <v>16.2</v>
      </c>
      <c r="AI101" s="56">
        <v>3.3</v>
      </c>
      <c r="AJ101" s="56">
        <v>124.9</v>
      </c>
      <c r="AK101" s="56">
        <v>68.9</v>
      </c>
      <c r="AL101" s="56">
        <v>7.3</v>
      </c>
      <c r="AM101" s="56">
        <v>123.1</v>
      </c>
      <c r="AN101" s="56">
        <v>2377.231</v>
      </c>
      <c r="AO101" s="56">
        <v>5306.289</v>
      </c>
      <c r="AP101" s="56">
        <v>7683.52</v>
      </c>
      <c r="AQ101" s="56">
        <v>1351.824</v>
      </c>
      <c r="AR101" s="56">
        <v>8987.409</v>
      </c>
      <c r="AS101" s="56">
        <v>10339.232</v>
      </c>
    </row>
    <row r="102" spans="1:45">
      <c r="A102" s="54">
        <v>2022</v>
      </c>
      <c r="B102" s="54">
        <v>410000</v>
      </c>
      <c r="C102" s="55" t="s">
        <v>60</v>
      </c>
      <c r="D102" s="56">
        <v>0</v>
      </c>
      <c r="E102" s="56">
        <v>0</v>
      </c>
      <c r="F102" s="56">
        <v>1</v>
      </c>
      <c r="G102" s="56">
        <v>0</v>
      </c>
      <c r="H102" s="56">
        <v>54.14</v>
      </c>
      <c r="I102" s="56">
        <v>45.86</v>
      </c>
      <c r="J102" s="56">
        <v>3.377</v>
      </c>
      <c r="K102" s="56">
        <v>17.229</v>
      </c>
      <c r="L102" s="56">
        <v>46.449</v>
      </c>
      <c r="M102" s="56">
        <v>15.891</v>
      </c>
      <c r="N102" s="56">
        <v>9.665</v>
      </c>
      <c r="O102" s="56">
        <v>6.64</v>
      </c>
      <c r="P102" s="56">
        <v>0.749</v>
      </c>
      <c r="Q102" s="50">
        <v>1320</v>
      </c>
      <c r="R102" s="50">
        <v>1356</v>
      </c>
      <c r="S102" s="50">
        <v>2106</v>
      </c>
      <c r="T102" s="51">
        <v>4782</v>
      </c>
      <c r="U102" s="56">
        <v>1.5</v>
      </c>
      <c r="V102" s="56">
        <v>25.6</v>
      </c>
      <c r="W102" s="56">
        <v>179.1</v>
      </c>
      <c r="X102" s="56">
        <v>21.3</v>
      </c>
      <c r="Y102" s="56">
        <v>119.4</v>
      </c>
      <c r="Z102" s="56">
        <v>36.2</v>
      </c>
      <c r="AA102" s="56">
        <v>18.6</v>
      </c>
      <c r="AB102" s="56">
        <v>31.5</v>
      </c>
      <c r="AC102" s="56">
        <v>7</v>
      </c>
      <c r="AD102" s="56">
        <v>25.2</v>
      </c>
      <c r="AE102" s="56">
        <v>23.6</v>
      </c>
      <c r="AF102" s="56">
        <v>26.8</v>
      </c>
      <c r="AG102" s="56">
        <v>18</v>
      </c>
      <c r="AH102" s="56">
        <v>16.2</v>
      </c>
      <c r="AI102" s="56">
        <v>5.6</v>
      </c>
      <c r="AJ102" s="56">
        <v>119.5</v>
      </c>
      <c r="AK102" s="56">
        <v>71.1</v>
      </c>
      <c r="AL102" s="56">
        <v>6.7</v>
      </c>
      <c r="AM102" s="56">
        <v>120.9</v>
      </c>
      <c r="AN102" s="56">
        <v>2484.886</v>
      </c>
      <c r="AO102" s="56">
        <v>5295.973</v>
      </c>
      <c r="AP102" s="56">
        <v>7780.858</v>
      </c>
      <c r="AQ102" s="56">
        <v>1395.724</v>
      </c>
      <c r="AR102" s="56">
        <v>8698.173</v>
      </c>
      <c r="AS102" s="56">
        <v>10093.897</v>
      </c>
    </row>
    <row r="103" spans="1:45">
      <c r="A103" s="54">
        <v>2013</v>
      </c>
      <c r="B103" s="54">
        <v>230000</v>
      </c>
      <c r="C103" s="55" t="s">
        <v>61</v>
      </c>
      <c r="D103" s="49">
        <v>0</v>
      </c>
      <c r="E103" s="49">
        <v>0</v>
      </c>
      <c r="F103" s="49">
        <v>0</v>
      </c>
      <c r="G103" s="49">
        <v>1</v>
      </c>
      <c r="J103" s="56">
        <v>1.6</v>
      </c>
      <c r="K103" s="56">
        <v>21.481</v>
      </c>
      <c r="L103" s="56">
        <v>53.227</v>
      </c>
      <c r="M103" s="56">
        <v>12.74</v>
      </c>
      <c r="N103" s="56">
        <v>6.598</v>
      </c>
      <c r="O103" s="56">
        <v>4.124</v>
      </c>
      <c r="P103" s="56">
        <v>0.231</v>
      </c>
      <c r="Q103" s="62"/>
      <c r="R103" s="62"/>
      <c r="S103" s="62"/>
      <c r="T103" s="63">
        <v>2060.39</v>
      </c>
      <c r="U103" s="56">
        <v>79.9</v>
      </c>
      <c r="V103" s="56">
        <v>38.4</v>
      </c>
      <c r="W103" s="56">
        <v>65</v>
      </c>
      <c r="X103" s="56">
        <v>18.3</v>
      </c>
      <c r="Y103" s="56">
        <v>37.2</v>
      </c>
      <c r="Z103" s="56">
        <v>28.1</v>
      </c>
      <c r="AA103" s="56">
        <v>7.1</v>
      </c>
      <c r="AB103" s="56">
        <v>19.7</v>
      </c>
      <c r="AC103" s="56">
        <v>4.9</v>
      </c>
      <c r="AD103" s="56">
        <v>15.9</v>
      </c>
      <c r="AE103" s="56">
        <v>6</v>
      </c>
      <c r="AF103" s="56">
        <v>5.9</v>
      </c>
      <c r="AG103" s="56">
        <v>11.2</v>
      </c>
      <c r="AH103" s="56">
        <v>10.2</v>
      </c>
      <c r="AI103" s="56">
        <v>4.7</v>
      </c>
      <c r="AJ103" s="56">
        <v>45.2</v>
      </c>
      <c r="AK103" s="56">
        <v>22.3</v>
      </c>
      <c r="AL103" s="56">
        <v>4.6</v>
      </c>
      <c r="AM103" s="56">
        <v>43.3</v>
      </c>
      <c r="AN103" s="56">
        <v>1062.064</v>
      </c>
      <c r="AO103" s="56">
        <v>815.808</v>
      </c>
      <c r="AP103" s="56">
        <v>1877.872</v>
      </c>
      <c r="AQ103" s="56">
        <v>868.086</v>
      </c>
      <c r="AR103" s="56">
        <v>712.298</v>
      </c>
      <c r="AS103" s="56">
        <v>1580.384</v>
      </c>
    </row>
    <row r="104" spans="1:45">
      <c r="A104" s="54">
        <v>2014</v>
      </c>
      <c r="B104" s="54">
        <v>230000</v>
      </c>
      <c r="C104" s="55" t="s">
        <v>61</v>
      </c>
      <c r="D104" s="56">
        <v>0</v>
      </c>
      <c r="E104" s="56">
        <v>0</v>
      </c>
      <c r="F104" s="56">
        <v>0</v>
      </c>
      <c r="G104" s="56">
        <v>1</v>
      </c>
      <c r="H104" s="56">
        <v>57</v>
      </c>
      <c r="I104" s="56">
        <v>43</v>
      </c>
      <c r="J104" s="56">
        <v>0.8</v>
      </c>
      <c r="K104" s="56">
        <v>19.7</v>
      </c>
      <c r="L104" s="56">
        <v>54.5</v>
      </c>
      <c r="M104" s="56">
        <v>13.4</v>
      </c>
      <c r="N104" s="56">
        <v>7</v>
      </c>
      <c r="O104" s="56">
        <v>4.4</v>
      </c>
      <c r="P104" s="56">
        <v>0.2</v>
      </c>
      <c r="Q104" s="50">
        <v>719.19667</v>
      </c>
      <c r="R104" s="50">
        <v>377.524</v>
      </c>
      <c r="S104" s="50">
        <v>849.59135</v>
      </c>
      <c r="T104" s="51">
        <v>1946</v>
      </c>
      <c r="U104" s="56">
        <v>71.1</v>
      </c>
      <c r="V104" s="56">
        <v>35.9</v>
      </c>
      <c r="W104" s="56">
        <v>61.3</v>
      </c>
      <c r="X104" s="56">
        <v>18.1</v>
      </c>
      <c r="Y104" s="56">
        <v>33.8</v>
      </c>
      <c r="Z104" s="56">
        <v>27.7</v>
      </c>
      <c r="AA104" s="56">
        <v>7.6</v>
      </c>
      <c r="AB104" s="56">
        <v>18.7</v>
      </c>
      <c r="AC104" s="56">
        <v>4.5</v>
      </c>
      <c r="AD104" s="56">
        <v>16.9</v>
      </c>
      <c r="AE104" s="56">
        <v>6</v>
      </c>
      <c r="AF104" s="56">
        <v>6.2</v>
      </c>
      <c r="AG104" s="56">
        <v>11.5</v>
      </c>
      <c r="AH104" s="56">
        <v>10.2</v>
      </c>
      <c r="AI104" s="56">
        <v>4.3</v>
      </c>
      <c r="AJ104" s="56">
        <v>45.4</v>
      </c>
      <c r="AK104" s="56">
        <v>22.6</v>
      </c>
      <c r="AL104" s="56">
        <v>4.1</v>
      </c>
      <c r="AM104" s="56">
        <v>44.8</v>
      </c>
      <c r="AN104" s="56">
        <v>1090.1</v>
      </c>
      <c r="AO104" s="56">
        <v>821.8</v>
      </c>
      <c r="AP104" s="56">
        <v>1911.9</v>
      </c>
      <c r="AQ104" s="56">
        <v>873.9</v>
      </c>
      <c r="AR104" s="56">
        <v>712.5</v>
      </c>
      <c r="AS104" s="56">
        <v>1586.4</v>
      </c>
    </row>
    <row r="105" spans="1:45">
      <c r="A105" s="54">
        <v>2015</v>
      </c>
      <c r="B105" s="54">
        <v>230000</v>
      </c>
      <c r="C105" s="55" t="s">
        <v>61</v>
      </c>
      <c r="D105" s="49">
        <v>0</v>
      </c>
      <c r="E105" s="49">
        <v>0</v>
      </c>
      <c r="F105" s="49">
        <v>0</v>
      </c>
      <c r="G105" s="56">
        <v>1</v>
      </c>
      <c r="H105" s="56">
        <v>60.467</v>
      </c>
      <c r="I105" s="56">
        <v>39.533</v>
      </c>
      <c r="J105" s="56">
        <v>0.909</v>
      </c>
      <c r="K105" s="56">
        <v>14.009</v>
      </c>
      <c r="L105" s="56">
        <v>49.781</v>
      </c>
      <c r="M105" s="56">
        <v>12.727</v>
      </c>
      <c r="N105" s="56">
        <v>9.396</v>
      </c>
      <c r="O105" s="56">
        <v>8.084</v>
      </c>
      <c r="P105" s="56">
        <v>0.487</v>
      </c>
      <c r="Q105" s="50">
        <v>694.22331</v>
      </c>
      <c r="R105" s="50">
        <v>349.67992</v>
      </c>
      <c r="S105" s="50">
        <v>781.09677</v>
      </c>
      <c r="T105" s="51">
        <v>1825</v>
      </c>
      <c r="U105" s="56">
        <v>65.5</v>
      </c>
      <c r="V105" s="56">
        <v>31.9</v>
      </c>
      <c r="W105" s="56">
        <v>57.4</v>
      </c>
      <c r="X105" s="56">
        <v>18.1</v>
      </c>
      <c r="Y105" s="56">
        <v>31.1</v>
      </c>
      <c r="Z105" s="56">
        <v>27.5</v>
      </c>
      <c r="AA105" s="56">
        <v>7.4</v>
      </c>
      <c r="AB105" s="56">
        <v>18.2</v>
      </c>
      <c r="AC105" s="56">
        <v>4.2</v>
      </c>
      <c r="AD105" s="56">
        <v>18.7</v>
      </c>
      <c r="AE105" s="56">
        <v>6</v>
      </c>
      <c r="AF105" s="56">
        <v>6.3</v>
      </c>
      <c r="AG105" s="56">
        <v>11.2</v>
      </c>
      <c r="AH105" s="56">
        <v>10.9</v>
      </c>
      <c r="AI105" s="56">
        <v>4.3</v>
      </c>
      <c r="AJ105" s="56">
        <v>44.3</v>
      </c>
      <c r="AK105" s="56">
        <v>22.4</v>
      </c>
      <c r="AL105" s="56">
        <v>4</v>
      </c>
      <c r="AM105" s="56">
        <v>44.4</v>
      </c>
      <c r="AN105" s="56">
        <v>1118.004</v>
      </c>
      <c r="AO105" s="56">
        <v>827.776</v>
      </c>
      <c r="AP105" s="56">
        <v>1945.78</v>
      </c>
      <c r="AQ105" s="56">
        <v>873.737</v>
      </c>
      <c r="AR105" s="56">
        <v>721.091</v>
      </c>
      <c r="AS105" s="56">
        <v>1594.828</v>
      </c>
    </row>
    <row r="106" spans="1:45">
      <c r="A106" s="54">
        <v>2016</v>
      </c>
      <c r="B106" s="54">
        <v>230000</v>
      </c>
      <c r="C106" s="55" t="s">
        <v>61</v>
      </c>
      <c r="D106" s="56">
        <v>0</v>
      </c>
      <c r="E106" s="56">
        <v>0</v>
      </c>
      <c r="F106" s="56">
        <v>0</v>
      </c>
      <c r="G106" s="49">
        <v>1</v>
      </c>
      <c r="H106" s="56">
        <v>58.698</v>
      </c>
      <c r="I106" s="56">
        <v>41.302</v>
      </c>
      <c r="J106" s="56">
        <v>0.696</v>
      </c>
      <c r="K106" s="56">
        <v>15.16</v>
      </c>
      <c r="L106" s="56">
        <v>50.07</v>
      </c>
      <c r="M106" s="56">
        <v>12.072</v>
      </c>
      <c r="N106" s="56">
        <v>8.838</v>
      </c>
      <c r="O106" s="56">
        <v>8.216</v>
      </c>
      <c r="P106" s="56">
        <v>0.733</v>
      </c>
      <c r="Q106" s="50">
        <v>664.224</v>
      </c>
      <c r="R106" s="50">
        <v>319.68</v>
      </c>
      <c r="S106" s="50">
        <v>792.096</v>
      </c>
      <c r="T106" s="51">
        <v>1776</v>
      </c>
      <c r="U106" s="56">
        <v>66.8</v>
      </c>
      <c r="V106" s="56">
        <v>27.9</v>
      </c>
      <c r="W106" s="56">
        <v>52</v>
      </c>
      <c r="X106" s="56">
        <v>17.6</v>
      </c>
      <c r="Y106" s="56">
        <v>28.4</v>
      </c>
      <c r="Z106" s="56">
        <v>27.1</v>
      </c>
      <c r="AA106" s="56">
        <v>7.3</v>
      </c>
      <c r="AB106" s="56">
        <v>18.6</v>
      </c>
      <c r="AC106" s="56">
        <v>4</v>
      </c>
      <c r="AD106" s="56">
        <v>21.3</v>
      </c>
      <c r="AE106" s="56">
        <v>6.1</v>
      </c>
      <c r="AF106" s="56">
        <v>6.9</v>
      </c>
      <c r="AG106" s="56">
        <v>11.1</v>
      </c>
      <c r="AH106" s="56">
        <v>11.1</v>
      </c>
      <c r="AI106" s="56">
        <v>4</v>
      </c>
      <c r="AJ106" s="56">
        <v>43</v>
      </c>
      <c r="AK106" s="56">
        <v>22.9</v>
      </c>
      <c r="AL106" s="56">
        <v>3.9</v>
      </c>
      <c r="AM106" s="56">
        <v>44.6</v>
      </c>
      <c r="AN106" s="56">
        <v>1144.142</v>
      </c>
      <c r="AO106" s="56">
        <v>837.584</v>
      </c>
      <c r="AP106" s="56">
        <v>1981.726</v>
      </c>
      <c r="AQ106" s="56">
        <v>879.51</v>
      </c>
      <c r="AR106" s="56">
        <v>720.342</v>
      </c>
      <c r="AS106" s="56">
        <v>1599.853</v>
      </c>
    </row>
    <row r="107" spans="1:45">
      <c r="A107" s="54">
        <v>2017</v>
      </c>
      <c r="B107" s="54">
        <v>230000</v>
      </c>
      <c r="C107" s="55" t="s">
        <v>61</v>
      </c>
      <c r="D107" s="49">
        <v>0</v>
      </c>
      <c r="E107" s="49">
        <v>0</v>
      </c>
      <c r="F107" s="49">
        <v>0</v>
      </c>
      <c r="G107" s="56">
        <v>1</v>
      </c>
      <c r="H107" s="56">
        <v>57.156</v>
      </c>
      <c r="I107" s="56">
        <v>42.844</v>
      </c>
      <c r="J107" s="56">
        <v>0.771</v>
      </c>
      <c r="K107" s="56">
        <v>15.233</v>
      </c>
      <c r="L107" s="56">
        <v>51.052</v>
      </c>
      <c r="M107" s="56">
        <v>11.766</v>
      </c>
      <c r="N107" s="56">
        <v>8.318</v>
      </c>
      <c r="O107" s="56">
        <v>8.035</v>
      </c>
      <c r="P107" s="56">
        <v>0.608</v>
      </c>
      <c r="Q107" s="50">
        <v>632.028</v>
      </c>
      <c r="R107" s="50">
        <v>295.626</v>
      </c>
      <c r="S107" s="50">
        <v>771.346</v>
      </c>
      <c r="T107" s="51">
        <v>1699</v>
      </c>
      <c r="U107" s="56">
        <v>67.7</v>
      </c>
      <c r="V107" s="56">
        <v>25.6</v>
      </c>
      <c r="W107" s="56">
        <v>45.7</v>
      </c>
      <c r="X107" s="56">
        <v>16.8</v>
      </c>
      <c r="Y107" s="56">
        <v>24.7</v>
      </c>
      <c r="Z107" s="56">
        <v>27</v>
      </c>
      <c r="AA107" s="56">
        <v>8.2</v>
      </c>
      <c r="AB107" s="56">
        <v>17.8</v>
      </c>
      <c r="AC107" s="56">
        <v>3.7</v>
      </c>
      <c r="AD107" s="56">
        <v>22.7</v>
      </c>
      <c r="AE107" s="56">
        <v>6.3</v>
      </c>
      <c r="AF107" s="56">
        <v>8</v>
      </c>
      <c r="AG107" s="56">
        <v>10.7</v>
      </c>
      <c r="AH107" s="56">
        <v>11</v>
      </c>
      <c r="AI107" s="56">
        <v>3.9</v>
      </c>
      <c r="AJ107" s="56">
        <v>41.8</v>
      </c>
      <c r="AK107" s="56">
        <v>23.1</v>
      </c>
      <c r="AL107" s="56">
        <v>3.8</v>
      </c>
      <c r="AM107" s="56">
        <v>44.7</v>
      </c>
      <c r="AN107" s="56">
        <v>1206.088</v>
      </c>
      <c r="AO107" s="56">
        <v>839.322</v>
      </c>
      <c r="AP107" s="56">
        <v>2045.41</v>
      </c>
      <c r="AQ107" s="56">
        <v>843.788</v>
      </c>
      <c r="AR107" s="56">
        <v>2048.85</v>
      </c>
      <c r="AS107" s="56">
        <v>2892.638</v>
      </c>
    </row>
    <row r="108" spans="1:45">
      <c r="A108" s="54">
        <v>2018</v>
      </c>
      <c r="B108" s="54">
        <v>230000</v>
      </c>
      <c r="C108" s="55" t="s">
        <v>61</v>
      </c>
      <c r="D108" s="56">
        <v>0</v>
      </c>
      <c r="E108" s="56">
        <v>0</v>
      </c>
      <c r="F108" s="56">
        <v>0</v>
      </c>
      <c r="G108" s="56">
        <v>1</v>
      </c>
      <c r="H108" s="56">
        <v>56.556</v>
      </c>
      <c r="I108" s="56">
        <v>43.444</v>
      </c>
      <c r="J108" s="56">
        <v>0.8</v>
      </c>
      <c r="K108" s="56">
        <v>15.113</v>
      </c>
      <c r="L108" s="56">
        <v>51.28</v>
      </c>
      <c r="M108" s="56">
        <v>11.622</v>
      </c>
      <c r="N108" s="56">
        <v>8.678</v>
      </c>
      <c r="O108" s="56">
        <v>7.801</v>
      </c>
      <c r="P108" s="56">
        <v>0.595</v>
      </c>
      <c r="Q108" s="50">
        <v>606.16638</v>
      </c>
      <c r="R108" s="50">
        <v>272.72108</v>
      </c>
      <c r="S108" s="50">
        <v>756.11254</v>
      </c>
      <c r="T108" s="51">
        <v>1635</v>
      </c>
      <c r="U108" s="56">
        <v>65.6</v>
      </c>
      <c r="V108" s="56">
        <v>26.9</v>
      </c>
      <c r="W108" s="56">
        <v>38.6</v>
      </c>
      <c r="X108" s="56">
        <v>13.7</v>
      </c>
      <c r="Y108" s="56">
        <v>21.5</v>
      </c>
      <c r="Z108" s="56">
        <v>25</v>
      </c>
      <c r="AA108" s="56">
        <v>8</v>
      </c>
      <c r="AB108" s="56">
        <v>15.7</v>
      </c>
      <c r="AC108" s="56">
        <v>3.2</v>
      </c>
      <c r="AD108" s="56">
        <v>21.7</v>
      </c>
      <c r="AE108" s="56">
        <v>6.4</v>
      </c>
      <c r="AF108" s="56">
        <v>10.8</v>
      </c>
      <c r="AG108" s="56">
        <v>9.2</v>
      </c>
      <c r="AH108" s="56">
        <v>10.4</v>
      </c>
      <c r="AI108" s="56">
        <v>4.2</v>
      </c>
      <c r="AJ108" s="56">
        <v>40.9</v>
      </c>
      <c r="AK108" s="56">
        <v>23</v>
      </c>
      <c r="AL108" s="56">
        <v>3.5</v>
      </c>
      <c r="AM108" s="56">
        <v>44.3</v>
      </c>
      <c r="AN108" s="56">
        <v>1308.467</v>
      </c>
      <c r="AO108" s="56">
        <v>896.804</v>
      </c>
      <c r="AP108" s="56">
        <v>2205.271</v>
      </c>
      <c r="AQ108" s="56">
        <v>856.232</v>
      </c>
      <c r="AR108" s="56">
        <v>2052.319</v>
      </c>
      <c r="AS108" s="56">
        <v>2908.551</v>
      </c>
    </row>
    <row r="109" spans="1:45">
      <c r="A109" s="54">
        <v>2019</v>
      </c>
      <c r="B109" s="54">
        <v>230000</v>
      </c>
      <c r="C109" s="55" t="s">
        <v>61</v>
      </c>
      <c r="D109" s="49">
        <v>0</v>
      </c>
      <c r="E109" s="49">
        <v>0</v>
      </c>
      <c r="F109" s="49">
        <v>0</v>
      </c>
      <c r="G109" s="49">
        <v>1</v>
      </c>
      <c r="H109" s="56">
        <v>58.3</v>
      </c>
      <c r="I109" s="56">
        <v>41.7</v>
      </c>
      <c r="J109" s="56">
        <v>0.7</v>
      </c>
      <c r="K109" s="56">
        <v>14.6</v>
      </c>
      <c r="L109" s="56">
        <v>46.6</v>
      </c>
      <c r="M109" s="56">
        <v>16.7</v>
      </c>
      <c r="N109" s="56">
        <v>11.5</v>
      </c>
      <c r="O109" s="56">
        <v>9.4</v>
      </c>
      <c r="P109" s="56">
        <v>0.6</v>
      </c>
      <c r="Q109" s="50">
        <v>569.2</v>
      </c>
      <c r="R109" s="50">
        <v>257.5</v>
      </c>
      <c r="S109" s="50">
        <v>724.3</v>
      </c>
      <c r="T109" s="51">
        <v>1551</v>
      </c>
      <c r="U109" s="56">
        <v>40.7</v>
      </c>
      <c r="V109" s="56">
        <v>23.4</v>
      </c>
      <c r="W109" s="56">
        <v>30.1</v>
      </c>
      <c r="X109" s="56">
        <v>14.5</v>
      </c>
      <c r="Y109" s="56">
        <v>17.4</v>
      </c>
      <c r="Z109" s="56">
        <v>25.8</v>
      </c>
      <c r="AA109" s="56">
        <v>8.8</v>
      </c>
      <c r="AB109" s="56">
        <v>11.2</v>
      </c>
      <c r="AC109" s="56">
        <v>1.4</v>
      </c>
      <c r="AD109" s="56">
        <v>23.4</v>
      </c>
      <c r="AE109" s="56">
        <v>5.8</v>
      </c>
      <c r="AF109" s="56">
        <v>13.5</v>
      </c>
      <c r="AG109" s="56">
        <v>8.6</v>
      </c>
      <c r="AH109" s="56">
        <v>6.7</v>
      </c>
      <c r="AI109" s="56">
        <v>2.8</v>
      </c>
      <c r="AJ109" s="56">
        <v>39.6</v>
      </c>
      <c r="AK109" s="56">
        <v>24.9</v>
      </c>
      <c r="AL109" s="56">
        <v>2.8</v>
      </c>
      <c r="AM109" s="56">
        <v>48</v>
      </c>
      <c r="AN109" s="56">
        <v>1364.9</v>
      </c>
      <c r="AO109" s="56">
        <v>916.7</v>
      </c>
      <c r="AP109" s="56">
        <v>2281.6</v>
      </c>
      <c r="AQ109" s="56">
        <v>873.6</v>
      </c>
      <c r="AR109" s="56">
        <v>1963.5</v>
      </c>
      <c r="AS109" s="56">
        <v>2837.1</v>
      </c>
    </row>
    <row r="110" spans="1:45">
      <c r="A110" s="54">
        <v>2020</v>
      </c>
      <c r="B110" s="54">
        <v>230000</v>
      </c>
      <c r="C110" s="55" t="s">
        <v>61</v>
      </c>
      <c r="D110" s="56">
        <v>0</v>
      </c>
      <c r="E110" s="56">
        <v>0</v>
      </c>
      <c r="F110" s="56">
        <v>0</v>
      </c>
      <c r="G110" s="56">
        <v>1</v>
      </c>
      <c r="H110" s="56">
        <v>58.6</v>
      </c>
      <c r="I110" s="56">
        <v>41.4</v>
      </c>
      <c r="J110" s="56">
        <v>0.7</v>
      </c>
      <c r="K110" s="56">
        <v>17.1</v>
      </c>
      <c r="L110" s="56">
        <v>47.6</v>
      </c>
      <c r="M110" s="56">
        <v>15.6</v>
      </c>
      <c r="N110" s="56">
        <v>9.8</v>
      </c>
      <c r="O110" s="56">
        <v>8.7</v>
      </c>
      <c r="P110" s="56">
        <v>0.6</v>
      </c>
      <c r="Q110" s="50">
        <v>538</v>
      </c>
      <c r="R110" s="50">
        <v>240</v>
      </c>
      <c r="S110" s="50">
        <v>695</v>
      </c>
      <c r="T110" s="51">
        <v>1473</v>
      </c>
      <c r="U110" s="56">
        <v>20.1</v>
      </c>
      <c r="V110" s="56">
        <v>23.6</v>
      </c>
      <c r="W110" s="56">
        <v>28</v>
      </c>
      <c r="X110" s="56">
        <v>13.9</v>
      </c>
      <c r="Y110" s="56">
        <v>14.7</v>
      </c>
      <c r="Z110" s="56">
        <v>23.4</v>
      </c>
      <c r="AA110" s="56">
        <v>8.6</v>
      </c>
      <c r="AB110" s="56">
        <v>10.9</v>
      </c>
      <c r="AC110" s="56">
        <v>1.4</v>
      </c>
      <c r="AD110" s="56">
        <v>24.3</v>
      </c>
      <c r="AE110" s="56">
        <v>5.4</v>
      </c>
      <c r="AF110" s="56">
        <v>12.4</v>
      </c>
      <c r="AG110" s="56">
        <v>5.6</v>
      </c>
      <c r="AH110" s="56">
        <v>6.5</v>
      </c>
      <c r="AI110" s="56">
        <v>1.2</v>
      </c>
      <c r="AJ110" s="56">
        <v>39.8</v>
      </c>
      <c r="AK110" s="56">
        <v>26.5</v>
      </c>
      <c r="AL110" s="56">
        <v>2.5</v>
      </c>
      <c r="AM110" s="56">
        <v>47.7</v>
      </c>
      <c r="AN110" s="56">
        <v>1411.4</v>
      </c>
      <c r="AO110" s="56">
        <v>908.7</v>
      </c>
      <c r="AP110" s="56">
        <v>2320.1</v>
      </c>
      <c r="AQ110" s="56">
        <v>876.4</v>
      </c>
      <c r="AR110" s="56">
        <v>1950.6</v>
      </c>
      <c r="AS110" s="56">
        <v>2827</v>
      </c>
    </row>
    <row r="111" spans="1:45">
      <c r="A111" s="54">
        <v>2021</v>
      </c>
      <c r="B111" s="54">
        <v>230000</v>
      </c>
      <c r="C111" s="55" t="s">
        <v>61</v>
      </c>
      <c r="D111" s="49">
        <v>0</v>
      </c>
      <c r="E111" s="49">
        <v>0</v>
      </c>
      <c r="F111" s="49">
        <v>0</v>
      </c>
      <c r="G111" s="56">
        <v>1</v>
      </c>
      <c r="H111" s="56">
        <v>57.49</v>
      </c>
      <c r="I111" s="56">
        <v>42.51</v>
      </c>
      <c r="J111" s="56">
        <v>0.759</v>
      </c>
      <c r="K111" s="56">
        <v>15.348</v>
      </c>
      <c r="L111" s="56">
        <v>45.303</v>
      </c>
      <c r="M111" s="56">
        <v>16.222</v>
      </c>
      <c r="N111" s="56">
        <v>10.779</v>
      </c>
      <c r="O111" s="56">
        <v>10.662</v>
      </c>
      <c r="P111" s="56">
        <v>0.927</v>
      </c>
      <c r="Q111" s="50">
        <v>516</v>
      </c>
      <c r="R111" s="50">
        <v>234</v>
      </c>
      <c r="S111" s="50">
        <v>670</v>
      </c>
      <c r="T111" s="51">
        <v>1420</v>
      </c>
      <c r="U111" s="56">
        <v>20</v>
      </c>
      <c r="V111" s="56">
        <v>23.2</v>
      </c>
      <c r="W111" s="56">
        <v>26.4</v>
      </c>
      <c r="X111" s="56">
        <v>15.6</v>
      </c>
      <c r="Y111" s="56">
        <v>12.5</v>
      </c>
      <c r="Z111" s="56">
        <v>23.4</v>
      </c>
      <c r="AA111" s="56">
        <v>5.8</v>
      </c>
      <c r="AB111" s="56">
        <v>10.3</v>
      </c>
      <c r="AC111" s="56">
        <v>1.5</v>
      </c>
      <c r="AD111" s="56">
        <v>20.8</v>
      </c>
      <c r="AE111" s="56">
        <v>5.4</v>
      </c>
      <c r="AF111" s="56">
        <v>13.4</v>
      </c>
      <c r="AG111" s="56">
        <v>6</v>
      </c>
      <c r="AH111" s="56">
        <v>6.8</v>
      </c>
      <c r="AI111" s="56">
        <v>1.5</v>
      </c>
      <c r="AJ111" s="56">
        <v>40</v>
      </c>
      <c r="AK111" s="56">
        <v>26.4</v>
      </c>
      <c r="AL111" s="56">
        <v>2.3</v>
      </c>
      <c r="AM111" s="56">
        <v>49.6</v>
      </c>
      <c r="AN111" s="56">
        <v>1446.648</v>
      </c>
      <c r="AO111" s="56">
        <v>889.88</v>
      </c>
      <c r="AP111" s="56">
        <v>2336.528</v>
      </c>
      <c r="AQ111" s="56">
        <v>884.853</v>
      </c>
      <c r="AR111" s="56">
        <v>1936.209</v>
      </c>
      <c r="AS111" s="56">
        <v>2821.062</v>
      </c>
    </row>
    <row r="112" spans="1:45">
      <c r="A112" s="54">
        <v>2022</v>
      </c>
      <c r="B112" s="54">
        <v>230000</v>
      </c>
      <c r="C112" s="55" t="s">
        <v>61</v>
      </c>
      <c r="D112" s="56">
        <v>0</v>
      </c>
      <c r="E112" s="56">
        <v>0</v>
      </c>
      <c r="F112" s="56">
        <v>0</v>
      </c>
      <c r="G112" s="49">
        <v>1</v>
      </c>
      <c r="H112" s="56">
        <v>58.305</v>
      </c>
      <c r="I112" s="56">
        <v>41.695</v>
      </c>
      <c r="J112" s="56">
        <v>0.751</v>
      </c>
      <c r="K112" s="56">
        <v>15.971</v>
      </c>
      <c r="L112" s="56">
        <v>44.577</v>
      </c>
      <c r="M112" s="56">
        <v>14.708</v>
      </c>
      <c r="N112" s="56">
        <v>11.25</v>
      </c>
      <c r="O112" s="56">
        <v>11.712</v>
      </c>
      <c r="P112" s="56">
        <v>1.032</v>
      </c>
      <c r="Q112" s="50">
        <v>518</v>
      </c>
      <c r="R112" s="50">
        <v>204</v>
      </c>
      <c r="S112" s="50">
        <v>629</v>
      </c>
      <c r="T112" s="51">
        <v>1351</v>
      </c>
      <c r="U112" s="56">
        <v>17.5</v>
      </c>
      <c r="V112" s="56">
        <v>22.1</v>
      </c>
      <c r="W112" s="56">
        <v>25.9</v>
      </c>
      <c r="X112" s="56">
        <v>14.7</v>
      </c>
      <c r="Y112" s="56">
        <v>11.5</v>
      </c>
      <c r="Z112" s="56">
        <v>22.5</v>
      </c>
      <c r="AA112" s="56">
        <v>5.9</v>
      </c>
      <c r="AB112" s="56">
        <v>10.1</v>
      </c>
      <c r="AC112" s="56">
        <v>1.5</v>
      </c>
      <c r="AD112" s="56">
        <v>17</v>
      </c>
      <c r="AE112" s="56">
        <v>4.8</v>
      </c>
      <c r="AF112" s="56">
        <v>12.5</v>
      </c>
      <c r="AG112" s="56">
        <v>5.7</v>
      </c>
      <c r="AH112" s="56">
        <v>6.5</v>
      </c>
      <c r="AI112" s="56">
        <v>1.2</v>
      </c>
      <c r="AJ112" s="56">
        <v>38.7</v>
      </c>
      <c r="AK112" s="56">
        <v>26.1</v>
      </c>
      <c r="AL112" s="56">
        <v>2.3</v>
      </c>
      <c r="AM112" s="56">
        <v>51.4</v>
      </c>
      <c r="AN112" s="56"/>
      <c r="AO112" s="56">
        <v>889.175</v>
      </c>
      <c r="AP112" s="56"/>
      <c r="AQ112" s="56">
        <v>890.234</v>
      </c>
      <c r="AR112" s="56">
        <v>1877.54</v>
      </c>
      <c r="AS112" s="56">
        <v>2767.774</v>
      </c>
    </row>
    <row r="113" spans="1:45">
      <c r="A113" s="54">
        <v>2013</v>
      </c>
      <c r="B113" s="54">
        <v>420000</v>
      </c>
      <c r="C113" s="55" t="s">
        <v>62</v>
      </c>
      <c r="D113" s="49">
        <v>0</v>
      </c>
      <c r="E113" s="49">
        <v>0</v>
      </c>
      <c r="F113" s="49">
        <v>1</v>
      </c>
      <c r="G113" s="49">
        <v>0</v>
      </c>
      <c r="J113" s="56">
        <v>1.653</v>
      </c>
      <c r="K113" s="56">
        <v>16.358</v>
      </c>
      <c r="L113" s="56">
        <v>48.126</v>
      </c>
      <c r="M113" s="56">
        <v>20.378</v>
      </c>
      <c r="N113" s="56">
        <v>8.623</v>
      </c>
      <c r="O113" s="56">
        <v>4.436</v>
      </c>
      <c r="P113" s="56">
        <v>0.427</v>
      </c>
      <c r="Q113" s="50">
        <v>1458.5937</v>
      </c>
      <c r="R113" s="50">
        <v>731.87844</v>
      </c>
      <c r="S113" s="50">
        <v>1213.5278</v>
      </c>
      <c r="T113" s="51">
        <v>3404</v>
      </c>
      <c r="U113" s="56">
        <v>9.1</v>
      </c>
      <c r="V113" s="56">
        <v>8.9</v>
      </c>
      <c r="W113" s="56">
        <v>190.9</v>
      </c>
      <c r="X113" s="56">
        <v>18.1</v>
      </c>
      <c r="Y113" s="56">
        <v>140.4</v>
      </c>
      <c r="Z113" s="56">
        <v>33.2</v>
      </c>
      <c r="AA113" s="56">
        <v>9.1</v>
      </c>
      <c r="AB113" s="56">
        <v>41.7</v>
      </c>
      <c r="AC113" s="56">
        <v>12.2</v>
      </c>
      <c r="AD113" s="56">
        <v>17.3</v>
      </c>
      <c r="AE113" s="56">
        <v>12</v>
      </c>
      <c r="AF113" s="56">
        <v>9</v>
      </c>
      <c r="AG113" s="56">
        <v>15.1</v>
      </c>
      <c r="AH113" s="56">
        <v>9.3</v>
      </c>
      <c r="AI113" s="56">
        <v>1.7</v>
      </c>
      <c r="AJ113" s="56">
        <v>68.1</v>
      </c>
      <c r="AK113" s="56">
        <v>37.2</v>
      </c>
      <c r="AL113" s="56">
        <v>5.6</v>
      </c>
      <c r="AM113" s="56">
        <v>57.5</v>
      </c>
      <c r="AN113" s="56">
        <v>1219.378</v>
      </c>
      <c r="AO113" s="56">
        <v>2236.268</v>
      </c>
      <c r="AP113" s="56">
        <v>3455.646</v>
      </c>
      <c r="AQ113" s="56">
        <v>922.78</v>
      </c>
      <c r="AR113" s="56">
        <v>1037.798</v>
      </c>
      <c r="AS113" s="56">
        <v>1960.579</v>
      </c>
    </row>
    <row r="114" spans="1:45">
      <c r="A114" s="54">
        <v>2014</v>
      </c>
      <c r="B114" s="54">
        <v>420000</v>
      </c>
      <c r="C114" s="55" t="s">
        <v>62</v>
      </c>
      <c r="D114" s="56">
        <v>0</v>
      </c>
      <c r="E114" s="56">
        <v>0</v>
      </c>
      <c r="F114" s="56">
        <v>1</v>
      </c>
      <c r="G114" s="56">
        <v>0</v>
      </c>
      <c r="H114" s="56">
        <v>55.1</v>
      </c>
      <c r="I114" s="56">
        <v>44.9</v>
      </c>
      <c r="J114" s="56">
        <v>2.5</v>
      </c>
      <c r="K114" s="56">
        <v>15.7</v>
      </c>
      <c r="L114" s="56">
        <v>45.2</v>
      </c>
      <c r="M114" s="56">
        <v>20.7</v>
      </c>
      <c r="N114" s="56">
        <v>9.9</v>
      </c>
      <c r="O114" s="56">
        <v>5.5</v>
      </c>
      <c r="P114" s="56">
        <v>0.6</v>
      </c>
      <c r="Q114" s="50">
        <v>1374.2904</v>
      </c>
      <c r="R114" s="50">
        <v>771.06289</v>
      </c>
      <c r="S114" s="50">
        <v>1262.6467</v>
      </c>
      <c r="T114" s="51">
        <v>3408</v>
      </c>
      <c r="U114" s="56">
        <v>9.3</v>
      </c>
      <c r="V114" s="56">
        <v>7.8</v>
      </c>
      <c r="W114" s="56">
        <v>193.3</v>
      </c>
      <c r="X114" s="56">
        <v>16.6</v>
      </c>
      <c r="Y114" s="56">
        <v>144.2</v>
      </c>
      <c r="Z114" s="56">
        <v>34.4</v>
      </c>
      <c r="AA114" s="56">
        <v>10.5</v>
      </c>
      <c r="AB114" s="56">
        <v>40.3</v>
      </c>
      <c r="AC114" s="56">
        <v>10.6</v>
      </c>
      <c r="AD114" s="56">
        <v>18</v>
      </c>
      <c r="AE114" s="56">
        <v>12.4</v>
      </c>
      <c r="AF114" s="56">
        <v>9.4</v>
      </c>
      <c r="AG114" s="56">
        <v>15.2</v>
      </c>
      <c r="AH114" s="56">
        <v>10.4</v>
      </c>
      <c r="AI114" s="56">
        <v>1.6</v>
      </c>
      <c r="AJ114" s="56">
        <v>69.4</v>
      </c>
      <c r="AK114" s="56">
        <v>38.6</v>
      </c>
      <c r="AL114" s="56">
        <v>5.7</v>
      </c>
      <c r="AM114" s="56">
        <v>59.3</v>
      </c>
      <c r="AN114" s="56">
        <v>1266.2</v>
      </c>
      <c r="AO114" s="56">
        <v>2230.5</v>
      </c>
      <c r="AP114" s="56">
        <v>3496.8</v>
      </c>
      <c r="AQ114" s="56">
        <v>933.3</v>
      </c>
      <c r="AR114" s="56">
        <v>1034.7</v>
      </c>
      <c r="AS114" s="56">
        <v>1968</v>
      </c>
    </row>
    <row r="115" spans="1:45">
      <c r="A115" s="54">
        <v>2015</v>
      </c>
      <c r="B115" s="54">
        <v>420000</v>
      </c>
      <c r="C115" s="55" t="s">
        <v>62</v>
      </c>
      <c r="D115" s="49">
        <v>0</v>
      </c>
      <c r="E115" s="49">
        <v>0</v>
      </c>
      <c r="F115" s="56">
        <v>1</v>
      </c>
      <c r="G115" s="49">
        <v>0</v>
      </c>
      <c r="H115" s="56">
        <v>56.627</v>
      </c>
      <c r="I115" s="56">
        <v>43.373</v>
      </c>
      <c r="J115" s="56">
        <v>3.388</v>
      </c>
      <c r="K115" s="56">
        <v>17.364</v>
      </c>
      <c r="L115" s="56">
        <v>41.886</v>
      </c>
      <c r="M115" s="56">
        <v>13.737</v>
      </c>
      <c r="N115" s="56">
        <v>8.724</v>
      </c>
      <c r="O115" s="56">
        <v>6.848</v>
      </c>
      <c r="P115" s="56">
        <v>0.795</v>
      </c>
      <c r="Q115" s="50">
        <v>1304.2078</v>
      </c>
      <c r="R115" s="50">
        <v>774.72171</v>
      </c>
      <c r="S115" s="50">
        <v>1319.0705</v>
      </c>
      <c r="T115" s="51">
        <v>3398</v>
      </c>
      <c r="U115" s="56">
        <v>9.2</v>
      </c>
      <c r="V115" s="56">
        <v>7.1</v>
      </c>
      <c r="W115" s="56">
        <v>189.4</v>
      </c>
      <c r="X115" s="56">
        <v>16.3</v>
      </c>
      <c r="Y115" s="56">
        <v>138.5</v>
      </c>
      <c r="Z115" s="56">
        <v>34.4</v>
      </c>
      <c r="AA115" s="56">
        <v>11.5</v>
      </c>
      <c r="AB115" s="56">
        <v>39.4</v>
      </c>
      <c r="AC115" s="56">
        <v>9.9</v>
      </c>
      <c r="AD115" s="56">
        <v>19.5</v>
      </c>
      <c r="AE115" s="56">
        <v>13.1</v>
      </c>
      <c r="AF115" s="56">
        <v>9</v>
      </c>
      <c r="AG115" s="56">
        <v>16.3</v>
      </c>
      <c r="AH115" s="56">
        <v>11.4</v>
      </c>
      <c r="AI115" s="56">
        <v>1.6</v>
      </c>
      <c r="AJ115" s="56">
        <v>73.9</v>
      </c>
      <c r="AK115" s="56">
        <v>41.8</v>
      </c>
      <c r="AL115" s="56">
        <v>6.3</v>
      </c>
      <c r="AM115" s="56">
        <v>63.9</v>
      </c>
      <c r="AN115" s="56">
        <v>1315.512</v>
      </c>
      <c r="AO115" s="56">
        <v>2214.965</v>
      </c>
      <c r="AP115" s="56">
        <v>3530.477</v>
      </c>
      <c r="AQ115" s="56">
        <v>949.412</v>
      </c>
      <c r="AR115" s="56">
        <v>1022.729</v>
      </c>
      <c r="AS115" s="56">
        <v>1972.141</v>
      </c>
    </row>
    <row r="116" spans="1:45">
      <c r="A116" s="54">
        <v>2016</v>
      </c>
      <c r="B116" s="54">
        <v>420000</v>
      </c>
      <c r="C116" s="55" t="s">
        <v>62</v>
      </c>
      <c r="D116" s="56">
        <v>0</v>
      </c>
      <c r="E116" s="56">
        <v>0</v>
      </c>
      <c r="F116" s="56">
        <v>1</v>
      </c>
      <c r="G116" s="56">
        <v>0</v>
      </c>
      <c r="H116" s="56">
        <v>55.309</v>
      </c>
      <c r="I116" s="56">
        <v>44.691</v>
      </c>
      <c r="J116" s="56">
        <v>2.855</v>
      </c>
      <c r="K116" s="56">
        <v>17.826</v>
      </c>
      <c r="L116" s="56">
        <v>42.287</v>
      </c>
      <c r="M116" s="56">
        <v>13.432</v>
      </c>
      <c r="N116" s="56">
        <v>8.973</v>
      </c>
      <c r="O116" s="56">
        <v>6.466</v>
      </c>
      <c r="P116" s="56">
        <v>1.002</v>
      </c>
      <c r="Q116" s="50">
        <v>1246.6639</v>
      </c>
      <c r="R116" s="50">
        <v>779.86375</v>
      </c>
      <c r="S116" s="50">
        <v>1358.4723</v>
      </c>
      <c r="T116" s="51">
        <v>3385</v>
      </c>
      <c r="U116" s="56">
        <v>10.3</v>
      </c>
      <c r="V116" s="56">
        <v>6.5</v>
      </c>
      <c r="W116" s="56">
        <v>186.1</v>
      </c>
      <c r="X116" s="56">
        <v>16.4</v>
      </c>
      <c r="Y116" s="56">
        <v>140.4</v>
      </c>
      <c r="Z116" s="56">
        <v>35</v>
      </c>
      <c r="AA116" s="56">
        <v>12.3</v>
      </c>
      <c r="AB116" s="56">
        <v>39.7</v>
      </c>
      <c r="AC116" s="56">
        <v>9.4</v>
      </c>
      <c r="AD116" s="56">
        <v>21</v>
      </c>
      <c r="AE116" s="56">
        <v>14.9</v>
      </c>
      <c r="AF116" s="56">
        <v>10.5</v>
      </c>
      <c r="AG116" s="56">
        <v>15.8</v>
      </c>
      <c r="AH116" s="56">
        <v>11.4</v>
      </c>
      <c r="AI116" s="56">
        <v>1.4</v>
      </c>
      <c r="AJ116" s="56">
        <v>72.9</v>
      </c>
      <c r="AK116" s="56">
        <v>43.5</v>
      </c>
      <c r="AL116" s="56">
        <v>6.5</v>
      </c>
      <c r="AM116" s="56">
        <v>65.4</v>
      </c>
      <c r="AN116" s="56">
        <v>1355.038</v>
      </c>
      <c r="AO116" s="56">
        <v>2219.731</v>
      </c>
      <c r="AP116" s="56">
        <v>3574.769</v>
      </c>
      <c r="AQ116" s="56">
        <v>960.988</v>
      </c>
      <c r="AR116" s="56">
        <v>1020.799</v>
      </c>
      <c r="AS116" s="56">
        <v>1981.787</v>
      </c>
    </row>
    <row r="117" spans="1:45">
      <c r="A117" s="54">
        <v>2017</v>
      </c>
      <c r="B117" s="54">
        <v>420000</v>
      </c>
      <c r="C117" s="55" t="s">
        <v>62</v>
      </c>
      <c r="D117" s="49">
        <v>0</v>
      </c>
      <c r="E117" s="49">
        <v>0</v>
      </c>
      <c r="F117" s="49">
        <v>1</v>
      </c>
      <c r="G117" s="49">
        <v>0</v>
      </c>
      <c r="H117" s="56">
        <v>54.756</v>
      </c>
      <c r="I117" s="56">
        <v>45.244</v>
      </c>
      <c r="J117" s="56">
        <v>2.678</v>
      </c>
      <c r="K117" s="56">
        <v>17.14</v>
      </c>
      <c r="L117" s="56">
        <v>43.3</v>
      </c>
      <c r="M117" s="56">
        <v>13.826</v>
      </c>
      <c r="N117" s="56">
        <v>8.2</v>
      </c>
      <c r="O117" s="56">
        <v>6.502</v>
      </c>
      <c r="P117" s="56">
        <v>1.115</v>
      </c>
      <c r="Q117" s="50">
        <v>1196.2222</v>
      </c>
      <c r="R117" s="50">
        <v>785.3133</v>
      </c>
      <c r="S117" s="50">
        <v>1397.4645</v>
      </c>
      <c r="T117" s="51">
        <v>3379</v>
      </c>
      <c r="U117" s="56">
        <v>10.3</v>
      </c>
      <c r="V117" s="56">
        <v>5.5</v>
      </c>
      <c r="W117" s="56">
        <v>168.4</v>
      </c>
      <c r="X117" s="56">
        <v>15.7</v>
      </c>
      <c r="Y117" s="56">
        <v>133.8</v>
      </c>
      <c r="Z117" s="56">
        <v>35.4</v>
      </c>
      <c r="AA117" s="56">
        <v>12.7</v>
      </c>
      <c r="AB117" s="56">
        <v>39.1</v>
      </c>
      <c r="AC117" s="56">
        <v>9.4</v>
      </c>
      <c r="AD117" s="56">
        <v>21.5</v>
      </c>
      <c r="AE117" s="56">
        <v>16.2</v>
      </c>
      <c r="AF117" s="56">
        <v>11</v>
      </c>
      <c r="AG117" s="56">
        <v>15.4</v>
      </c>
      <c r="AH117" s="56">
        <v>11.2</v>
      </c>
      <c r="AI117" s="56">
        <v>1.5</v>
      </c>
      <c r="AJ117" s="56">
        <v>71.4</v>
      </c>
      <c r="AK117" s="56">
        <v>44.3</v>
      </c>
      <c r="AL117" s="56">
        <v>7.2</v>
      </c>
      <c r="AM117" s="56">
        <v>65.1</v>
      </c>
      <c r="AN117" s="56">
        <v>1546.619</v>
      </c>
      <c r="AO117" s="56">
        <v>2214.635</v>
      </c>
      <c r="AP117" s="56">
        <v>3761.254</v>
      </c>
      <c r="AQ117" s="56">
        <v>1018.895</v>
      </c>
      <c r="AR117" s="56">
        <v>4603.263</v>
      </c>
      <c r="AS117" s="56">
        <v>5622.158</v>
      </c>
    </row>
    <row r="118" spans="1:45">
      <c r="A118" s="54">
        <v>2018</v>
      </c>
      <c r="B118" s="54">
        <v>420000</v>
      </c>
      <c r="C118" s="55" t="s">
        <v>62</v>
      </c>
      <c r="D118" s="56">
        <v>0</v>
      </c>
      <c r="E118" s="56">
        <v>0</v>
      </c>
      <c r="F118" s="56">
        <v>1</v>
      </c>
      <c r="G118" s="56">
        <v>0</v>
      </c>
      <c r="H118" s="56">
        <v>55.469</v>
      </c>
      <c r="I118" s="56">
        <v>44.531</v>
      </c>
      <c r="J118" s="56">
        <v>2.65</v>
      </c>
      <c r="K118" s="56">
        <v>16.707</v>
      </c>
      <c r="L118" s="56">
        <v>42.298</v>
      </c>
      <c r="M118" s="56">
        <v>13.315</v>
      </c>
      <c r="N118" s="56">
        <v>8.734</v>
      </c>
      <c r="O118" s="56">
        <v>7.443</v>
      </c>
      <c r="P118" s="56">
        <v>1.026</v>
      </c>
      <c r="Q118" s="50">
        <v>1147.048</v>
      </c>
      <c r="R118" s="50">
        <v>792.36872</v>
      </c>
      <c r="S118" s="50">
        <v>1437.5832</v>
      </c>
      <c r="T118" s="51">
        <v>3377</v>
      </c>
      <c r="U118" s="56">
        <v>9.7</v>
      </c>
      <c r="V118" s="56">
        <v>4.5</v>
      </c>
      <c r="W118" s="56">
        <v>140.1</v>
      </c>
      <c r="X118" s="56">
        <v>15.1</v>
      </c>
      <c r="Y118" s="56">
        <v>124.6</v>
      </c>
      <c r="Z118" s="56">
        <v>34.8</v>
      </c>
      <c r="AA118" s="56">
        <v>13.5</v>
      </c>
      <c r="AB118" s="56">
        <v>36.8</v>
      </c>
      <c r="AC118" s="56">
        <v>8.3</v>
      </c>
      <c r="AD118" s="56">
        <v>19.9</v>
      </c>
      <c r="AE118" s="56">
        <v>16.4</v>
      </c>
      <c r="AF118" s="56">
        <v>13.4</v>
      </c>
      <c r="AG118" s="56">
        <v>15.8</v>
      </c>
      <c r="AH118" s="56">
        <v>11.5</v>
      </c>
      <c r="AI118" s="56">
        <v>1.7</v>
      </c>
      <c r="AJ118" s="56">
        <v>69.3</v>
      </c>
      <c r="AK118" s="56">
        <v>43.8</v>
      </c>
      <c r="AL118" s="56">
        <v>6.7</v>
      </c>
      <c r="AM118" s="56">
        <v>67.4</v>
      </c>
      <c r="AN118" s="56">
        <v>1601.619</v>
      </c>
      <c r="AO118" s="56">
        <v>2282.775</v>
      </c>
      <c r="AP118" s="56">
        <v>3884.394</v>
      </c>
      <c r="AQ118" s="56">
        <v>1053.952</v>
      </c>
      <c r="AR118" s="56">
        <v>4532.205</v>
      </c>
      <c r="AS118" s="56">
        <v>5586.158</v>
      </c>
    </row>
    <row r="119" spans="1:45">
      <c r="A119" s="54">
        <v>2019</v>
      </c>
      <c r="B119" s="54">
        <v>420000</v>
      </c>
      <c r="C119" s="55" t="s">
        <v>62</v>
      </c>
      <c r="D119" s="49">
        <v>0</v>
      </c>
      <c r="E119" s="49">
        <v>0</v>
      </c>
      <c r="F119" s="56">
        <v>1</v>
      </c>
      <c r="G119" s="49">
        <v>0</v>
      </c>
      <c r="H119" s="56">
        <v>56.4</v>
      </c>
      <c r="I119" s="56">
        <v>43.6</v>
      </c>
      <c r="J119" s="56">
        <v>2.6</v>
      </c>
      <c r="K119" s="56">
        <v>16.4</v>
      </c>
      <c r="L119" s="56">
        <v>39.6</v>
      </c>
      <c r="M119" s="56">
        <v>20.8</v>
      </c>
      <c r="N119" s="56">
        <v>11.3</v>
      </c>
      <c r="O119" s="56">
        <v>8.1</v>
      </c>
      <c r="P119" s="56">
        <v>1.3</v>
      </c>
      <c r="Q119" s="50">
        <v>1107.2435</v>
      </c>
      <c r="R119" s="50">
        <v>799.99295</v>
      </c>
      <c r="S119" s="50">
        <v>1467.7635</v>
      </c>
      <c r="T119" s="51">
        <v>3375</v>
      </c>
      <c r="U119" s="56">
        <v>9</v>
      </c>
      <c r="V119" s="56">
        <v>4</v>
      </c>
      <c r="W119" s="56">
        <v>134.3</v>
      </c>
      <c r="X119" s="56">
        <v>14.6</v>
      </c>
      <c r="Y119" s="56">
        <v>119.7</v>
      </c>
      <c r="Z119" s="56">
        <v>31</v>
      </c>
      <c r="AA119" s="56">
        <v>18.1</v>
      </c>
      <c r="AB119" s="56">
        <v>36.9</v>
      </c>
      <c r="AC119" s="56">
        <v>8.8</v>
      </c>
      <c r="AD119" s="56">
        <v>20.2</v>
      </c>
      <c r="AE119" s="56">
        <v>17.7</v>
      </c>
      <c r="AF119" s="56">
        <v>17.7</v>
      </c>
      <c r="AG119" s="56">
        <v>17</v>
      </c>
      <c r="AH119" s="56">
        <v>11.8</v>
      </c>
      <c r="AI119" s="56">
        <v>2.5</v>
      </c>
      <c r="AJ119" s="56">
        <v>70.6</v>
      </c>
      <c r="AK119" s="56">
        <v>41.7</v>
      </c>
      <c r="AL119" s="56">
        <v>5.9</v>
      </c>
      <c r="AM119" s="56">
        <v>72.3</v>
      </c>
      <c r="AN119" s="56">
        <v>1684.8</v>
      </c>
      <c r="AO119" s="56">
        <v>2345.4</v>
      </c>
      <c r="AP119" s="56">
        <v>4030.2</v>
      </c>
      <c r="AQ119" s="56">
        <v>1093.2</v>
      </c>
      <c r="AR119" s="56">
        <v>4469.4</v>
      </c>
      <c r="AS119" s="56">
        <v>5562.6</v>
      </c>
    </row>
    <row r="120" spans="1:45">
      <c r="A120" s="54">
        <v>2020</v>
      </c>
      <c r="B120" s="54">
        <v>420000</v>
      </c>
      <c r="C120" s="55" t="s">
        <v>62</v>
      </c>
      <c r="D120" s="56">
        <v>0</v>
      </c>
      <c r="E120" s="56">
        <v>0</v>
      </c>
      <c r="F120" s="56">
        <v>1</v>
      </c>
      <c r="G120" s="56">
        <v>0</v>
      </c>
      <c r="H120" s="56">
        <v>55.6</v>
      </c>
      <c r="I120" s="56">
        <v>44.4</v>
      </c>
      <c r="J120" s="56">
        <v>2.6</v>
      </c>
      <c r="K120" s="56">
        <v>17.2</v>
      </c>
      <c r="L120" s="56">
        <v>41</v>
      </c>
      <c r="M120" s="56">
        <v>19.4</v>
      </c>
      <c r="N120" s="56">
        <v>10.2</v>
      </c>
      <c r="O120" s="56">
        <v>8.2</v>
      </c>
      <c r="P120" s="56">
        <v>1.3</v>
      </c>
      <c r="Q120" s="50">
        <v>897</v>
      </c>
      <c r="R120" s="50">
        <v>857</v>
      </c>
      <c r="S120" s="50">
        <v>1507</v>
      </c>
      <c r="T120" s="51">
        <v>3261</v>
      </c>
      <c r="U120" s="56">
        <v>1.9</v>
      </c>
      <c r="V120" s="56">
        <v>2.7</v>
      </c>
      <c r="W120" s="56">
        <v>130</v>
      </c>
      <c r="X120" s="56">
        <v>14.5</v>
      </c>
      <c r="Y120" s="56">
        <v>104.3</v>
      </c>
      <c r="Z120" s="56">
        <v>29.2</v>
      </c>
      <c r="AA120" s="56">
        <v>16.4</v>
      </c>
      <c r="AB120" s="56">
        <v>31.5</v>
      </c>
      <c r="AC120" s="56">
        <v>9</v>
      </c>
      <c r="AD120" s="56">
        <v>23.8</v>
      </c>
      <c r="AE120" s="56">
        <v>18.7</v>
      </c>
      <c r="AF120" s="56">
        <v>19.6</v>
      </c>
      <c r="AG120" s="56">
        <v>17.1</v>
      </c>
      <c r="AH120" s="56">
        <v>8.7</v>
      </c>
      <c r="AI120" s="56">
        <v>2.1</v>
      </c>
      <c r="AJ120" s="56">
        <v>75.3</v>
      </c>
      <c r="AK120" s="56">
        <v>44.2</v>
      </c>
      <c r="AL120" s="56">
        <v>6.1</v>
      </c>
      <c r="AM120" s="56">
        <v>76.2</v>
      </c>
      <c r="AN120" s="56">
        <v>1744.7</v>
      </c>
      <c r="AO120" s="56">
        <v>2368.6</v>
      </c>
      <c r="AP120" s="56">
        <v>4113.3</v>
      </c>
      <c r="AQ120" s="56">
        <v>1136.9</v>
      </c>
      <c r="AR120" s="56">
        <v>4446</v>
      </c>
      <c r="AS120" s="56">
        <v>5583</v>
      </c>
    </row>
    <row r="121" spans="1:45">
      <c r="A121" s="54">
        <v>2021</v>
      </c>
      <c r="B121" s="54">
        <v>420000</v>
      </c>
      <c r="C121" s="55" t="s">
        <v>62</v>
      </c>
      <c r="D121" s="49">
        <v>0</v>
      </c>
      <c r="E121" s="49">
        <v>0</v>
      </c>
      <c r="F121" s="49">
        <v>1</v>
      </c>
      <c r="G121" s="49">
        <v>0</v>
      </c>
      <c r="H121" s="56">
        <v>56.914</v>
      </c>
      <c r="I121" s="56">
        <v>43.086</v>
      </c>
      <c r="J121" s="56">
        <v>2.344</v>
      </c>
      <c r="K121" s="56">
        <v>16.421</v>
      </c>
      <c r="L121" s="56">
        <v>40.093</v>
      </c>
      <c r="M121" s="56">
        <v>19.785</v>
      </c>
      <c r="N121" s="56">
        <v>10.938</v>
      </c>
      <c r="O121" s="56">
        <v>9.173</v>
      </c>
      <c r="P121" s="56">
        <v>1.246</v>
      </c>
      <c r="Q121" s="50">
        <v>881</v>
      </c>
      <c r="R121" s="50">
        <v>882</v>
      </c>
      <c r="S121" s="50">
        <v>1523</v>
      </c>
      <c r="T121" s="51">
        <v>3286</v>
      </c>
      <c r="U121" s="56">
        <v>2.8</v>
      </c>
      <c r="V121" s="56">
        <v>3.3</v>
      </c>
      <c r="W121" s="56">
        <v>132.9</v>
      </c>
      <c r="X121" s="56">
        <v>14.2</v>
      </c>
      <c r="Y121" s="56">
        <v>100.6</v>
      </c>
      <c r="Z121" s="56">
        <v>28</v>
      </c>
      <c r="AA121" s="56">
        <v>17.3</v>
      </c>
      <c r="AB121" s="56">
        <v>31.2</v>
      </c>
      <c r="AC121" s="56">
        <v>9.1</v>
      </c>
      <c r="AD121" s="56">
        <v>27.6</v>
      </c>
      <c r="AE121" s="56">
        <v>19.7</v>
      </c>
      <c r="AF121" s="56">
        <v>19.9</v>
      </c>
      <c r="AG121" s="56">
        <v>17.3</v>
      </c>
      <c r="AH121" s="56">
        <v>9.2</v>
      </c>
      <c r="AI121" s="56">
        <v>2.5</v>
      </c>
      <c r="AJ121" s="56">
        <v>77.5</v>
      </c>
      <c r="AK121" s="56">
        <v>47.6</v>
      </c>
      <c r="AL121" s="56">
        <v>6.3</v>
      </c>
      <c r="AM121" s="56">
        <v>76.4</v>
      </c>
      <c r="AN121" s="56">
        <v>1834.677</v>
      </c>
      <c r="AO121" s="56">
        <v>2612.903</v>
      </c>
      <c r="AP121" s="56">
        <v>4447.58</v>
      </c>
      <c r="AQ121" s="56">
        <v>1196.101</v>
      </c>
      <c r="AR121" s="56">
        <v>4423.586</v>
      </c>
      <c r="AS121" s="56">
        <v>5619.686</v>
      </c>
    </row>
    <row r="122" spans="1:45">
      <c r="A122" s="54">
        <v>2022</v>
      </c>
      <c r="B122" s="54">
        <v>420000</v>
      </c>
      <c r="C122" s="55" t="s">
        <v>62</v>
      </c>
      <c r="D122" s="56">
        <v>0</v>
      </c>
      <c r="E122" s="56">
        <v>0</v>
      </c>
      <c r="F122" s="56">
        <v>1</v>
      </c>
      <c r="G122" s="56">
        <v>0</v>
      </c>
      <c r="H122" s="56">
        <v>56.889</v>
      </c>
      <c r="I122" s="56">
        <v>43.111</v>
      </c>
      <c r="J122" s="56">
        <v>2.546</v>
      </c>
      <c r="K122" s="56">
        <v>20.277</v>
      </c>
      <c r="L122" s="56">
        <v>37.32</v>
      </c>
      <c r="M122" s="56">
        <v>17.917</v>
      </c>
      <c r="N122" s="56">
        <v>11.247</v>
      </c>
      <c r="O122" s="56">
        <v>9.534</v>
      </c>
      <c r="P122" s="56">
        <v>1.16</v>
      </c>
      <c r="Q122" s="50">
        <v>928</v>
      </c>
      <c r="R122" s="50">
        <v>846</v>
      </c>
      <c r="S122" s="50">
        <v>1469</v>
      </c>
      <c r="T122" s="51">
        <v>3243</v>
      </c>
      <c r="U122" s="56">
        <v>1.8</v>
      </c>
      <c r="V122" s="56">
        <v>3.4</v>
      </c>
      <c r="W122" s="56">
        <v>133.1</v>
      </c>
      <c r="X122" s="56">
        <v>13.7</v>
      </c>
      <c r="Y122" s="56">
        <v>100.1</v>
      </c>
      <c r="Z122" s="56">
        <v>27.5</v>
      </c>
      <c r="AA122" s="56">
        <v>16.7</v>
      </c>
      <c r="AB122" s="56">
        <v>32.1</v>
      </c>
      <c r="AC122" s="56">
        <v>8.6</v>
      </c>
      <c r="AD122" s="56">
        <v>21.2</v>
      </c>
      <c r="AE122" s="56">
        <v>19.7</v>
      </c>
      <c r="AF122" s="56">
        <v>25.6</v>
      </c>
      <c r="AG122" s="56">
        <v>17.5</v>
      </c>
      <c r="AH122" s="56">
        <v>9.4</v>
      </c>
      <c r="AI122" s="56">
        <v>2.7</v>
      </c>
      <c r="AJ122" s="56">
        <v>75.7</v>
      </c>
      <c r="AK122" s="56">
        <v>48</v>
      </c>
      <c r="AL122" s="56">
        <v>6.1</v>
      </c>
      <c r="AM122" s="56">
        <v>77.2</v>
      </c>
      <c r="AN122" s="56">
        <v>1959.662</v>
      </c>
      <c r="AO122" s="56">
        <v>2600.473</v>
      </c>
      <c r="AP122" s="56">
        <v>4560.134</v>
      </c>
      <c r="AQ122" s="56">
        <v>1240.43</v>
      </c>
      <c r="AR122" s="56">
        <v>4352.611</v>
      </c>
      <c r="AS122" s="56">
        <v>5593.041</v>
      </c>
    </row>
    <row r="123" spans="1:45">
      <c r="A123" s="54">
        <v>2013</v>
      </c>
      <c r="B123" s="54">
        <v>430000</v>
      </c>
      <c r="C123" s="55" t="s">
        <v>63</v>
      </c>
      <c r="D123" s="49">
        <v>0</v>
      </c>
      <c r="E123" s="49">
        <v>0</v>
      </c>
      <c r="F123" s="56">
        <v>1</v>
      </c>
      <c r="G123" s="49">
        <v>0</v>
      </c>
      <c r="J123" s="56">
        <v>0.821</v>
      </c>
      <c r="K123" s="56">
        <v>15.015</v>
      </c>
      <c r="L123" s="56">
        <v>45.522</v>
      </c>
      <c r="M123" s="56">
        <v>23.841</v>
      </c>
      <c r="N123" s="56">
        <v>10.03</v>
      </c>
      <c r="O123" s="56">
        <v>4.504</v>
      </c>
      <c r="P123" s="56">
        <v>0.267</v>
      </c>
      <c r="Q123" s="50">
        <v>1656.01</v>
      </c>
      <c r="R123" s="50">
        <v>964.54</v>
      </c>
      <c r="S123" s="50">
        <v>1415.9</v>
      </c>
      <c r="T123" s="51">
        <v>4036.45</v>
      </c>
      <c r="U123" s="56">
        <v>2.3</v>
      </c>
      <c r="V123" s="56">
        <v>15.5</v>
      </c>
      <c r="W123" s="56">
        <v>134.2</v>
      </c>
      <c r="X123" s="56">
        <v>16.6</v>
      </c>
      <c r="Y123" s="56">
        <v>107.4</v>
      </c>
      <c r="Z123" s="56">
        <v>24.5</v>
      </c>
      <c r="AA123" s="56">
        <v>7.3</v>
      </c>
      <c r="AB123" s="56">
        <v>23.3</v>
      </c>
      <c r="AC123" s="56">
        <v>9.5</v>
      </c>
      <c r="AD123" s="56">
        <v>21.2</v>
      </c>
      <c r="AE123" s="56">
        <v>11.2</v>
      </c>
      <c r="AF123" s="56">
        <v>9</v>
      </c>
      <c r="AG123" s="56">
        <v>12.4</v>
      </c>
      <c r="AH123" s="56">
        <v>9.6</v>
      </c>
      <c r="AI123" s="56">
        <v>1.9</v>
      </c>
      <c r="AJ123" s="56">
        <v>72.2</v>
      </c>
      <c r="AK123" s="56">
        <v>36.4</v>
      </c>
      <c r="AL123" s="56">
        <v>5.1</v>
      </c>
      <c r="AM123" s="56">
        <v>81.5</v>
      </c>
      <c r="AN123" s="56">
        <v>1091.732</v>
      </c>
      <c r="AO123" s="56">
        <v>3316.044</v>
      </c>
      <c r="AP123" s="56">
        <v>4407.776</v>
      </c>
      <c r="AQ123" s="56">
        <v>799.253</v>
      </c>
      <c r="AR123" s="56">
        <v>1516.935</v>
      </c>
      <c r="AS123" s="56">
        <v>2316.188</v>
      </c>
    </row>
    <row r="124" spans="1:45">
      <c r="A124" s="54">
        <v>2014</v>
      </c>
      <c r="B124" s="54">
        <v>430000</v>
      </c>
      <c r="C124" s="55" t="s">
        <v>63</v>
      </c>
      <c r="D124" s="56">
        <v>0</v>
      </c>
      <c r="E124" s="56">
        <v>0</v>
      </c>
      <c r="F124" s="56">
        <v>1</v>
      </c>
      <c r="G124" s="56">
        <v>0</v>
      </c>
      <c r="H124" s="56">
        <v>55.3</v>
      </c>
      <c r="I124" s="56">
        <v>44.7</v>
      </c>
      <c r="J124" s="56">
        <v>1</v>
      </c>
      <c r="K124" s="56">
        <v>15.6</v>
      </c>
      <c r="L124" s="56">
        <v>44.3</v>
      </c>
      <c r="M124" s="56">
        <v>23.4</v>
      </c>
      <c r="N124" s="56">
        <v>10.1</v>
      </c>
      <c r="O124" s="56">
        <v>5.1</v>
      </c>
      <c r="P124" s="56">
        <v>0.4</v>
      </c>
      <c r="Q124" s="50">
        <v>1651.37</v>
      </c>
      <c r="R124" s="50">
        <v>957.77</v>
      </c>
      <c r="S124" s="50">
        <v>1434.99</v>
      </c>
      <c r="T124" s="51">
        <v>4044.13</v>
      </c>
      <c r="U124" s="56">
        <v>2.2</v>
      </c>
      <c r="V124" s="56">
        <v>12.6</v>
      </c>
      <c r="W124" s="56">
        <v>130.7</v>
      </c>
      <c r="X124" s="56">
        <v>16.5</v>
      </c>
      <c r="Y124" s="56">
        <v>107.9</v>
      </c>
      <c r="Z124" s="56">
        <v>25.2</v>
      </c>
      <c r="AA124" s="56">
        <v>7.6</v>
      </c>
      <c r="AB124" s="56">
        <v>20.7</v>
      </c>
      <c r="AC124" s="56">
        <v>8.5</v>
      </c>
      <c r="AD124" s="56">
        <v>22.4</v>
      </c>
      <c r="AE124" s="56">
        <v>12</v>
      </c>
      <c r="AF124" s="56">
        <v>9.1</v>
      </c>
      <c r="AG124" s="56">
        <v>12.9</v>
      </c>
      <c r="AH124" s="56">
        <v>9.5</v>
      </c>
      <c r="AI124" s="56">
        <v>1.8</v>
      </c>
      <c r="AJ124" s="56">
        <v>73.7</v>
      </c>
      <c r="AK124" s="56">
        <v>38.1</v>
      </c>
      <c r="AL124" s="56">
        <v>5.3</v>
      </c>
      <c r="AM124" s="56">
        <v>81.3</v>
      </c>
      <c r="AN124" s="56">
        <v>1118.9</v>
      </c>
      <c r="AO124" s="56">
        <v>3298.3</v>
      </c>
      <c r="AP124" s="56">
        <v>4417.2</v>
      </c>
      <c r="AQ124" s="56">
        <v>807.9</v>
      </c>
      <c r="AR124" s="56">
        <v>1492.8</v>
      </c>
      <c r="AS124" s="56">
        <v>2300.7</v>
      </c>
    </row>
    <row r="125" spans="1:45">
      <c r="A125" s="54">
        <v>2015</v>
      </c>
      <c r="B125" s="54">
        <v>430000</v>
      </c>
      <c r="C125" s="55" t="s">
        <v>63</v>
      </c>
      <c r="D125" s="49">
        <v>0</v>
      </c>
      <c r="E125" s="49">
        <v>0</v>
      </c>
      <c r="F125" s="49">
        <v>1</v>
      </c>
      <c r="G125" s="49">
        <v>0</v>
      </c>
      <c r="H125" s="56">
        <v>58.6</v>
      </c>
      <c r="I125" s="56">
        <v>41.4</v>
      </c>
      <c r="J125" s="56">
        <v>2.231</v>
      </c>
      <c r="K125" s="56">
        <v>17.942</v>
      </c>
      <c r="L125" s="56">
        <v>44.69</v>
      </c>
      <c r="M125" s="56">
        <v>15.219</v>
      </c>
      <c r="N125" s="56">
        <v>8.232</v>
      </c>
      <c r="O125" s="56">
        <v>6.227</v>
      </c>
      <c r="P125" s="56">
        <v>0.446</v>
      </c>
      <c r="Q125" s="50">
        <v>1618.71</v>
      </c>
      <c r="R125" s="50">
        <v>935.84</v>
      </c>
      <c r="S125" s="50">
        <v>1425.75</v>
      </c>
      <c r="T125" s="51">
        <v>3980.3</v>
      </c>
      <c r="U125" s="56">
        <v>2.4</v>
      </c>
      <c r="V125" s="56">
        <v>10.3</v>
      </c>
      <c r="W125" s="56">
        <v>121.8</v>
      </c>
      <c r="X125" s="56">
        <v>17.3</v>
      </c>
      <c r="Y125" s="56">
        <v>106.3</v>
      </c>
      <c r="Z125" s="56">
        <v>24.4</v>
      </c>
      <c r="AA125" s="56">
        <v>7.2</v>
      </c>
      <c r="AB125" s="56">
        <v>21.3</v>
      </c>
      <c r="AC125" s="56">
        <v>8.3</v>
      </c>
      <c r="AD125" s="56">
        <v>24</v>
      </c>
      <c r="AE125" s="56">
        <v>12.4</v>
      </c>
      <c r="AF125" s="56">
        <v>9.8</v>
      </c>
      <c r="AG125" s="56">
        <v>11.5</v>
      </c>
      <c r="AH125" s="56">
        <v>8.4</v>
      </c>
      <c r="AI125" s="56">
        <v>1.7</v>
      </c>
      <c r="AJ125" s="56">
        <v>67.2</v>
      </c>
      <c r="AK125" s="56">
        <v>37.5</v>
      </c>
      <c r="AL125" s="56">
        <v>5.5</v>
      </c>
      <c r="AM125" s="56">
        <v>81.8</v>
      </c>
      <c r="AN125" s="56">
        <v>1160.069</v>
      </c>
      <c r="AO125" s="56">
        <v>3280.1</v>
      </c>
      <c r="AP125" s="56">
        <v>4440.169</v>
      </c>
      <c r="AQ125" s="56">
        <v>818.776</v>
      </c>
      <c r="AR125" s="56">
        <v>1843.555</v>
      </c>
      <c r="AS125" s="56">
        <v>2662.331</v>
      </c>
    </row>
    <row r="126" spans="1:45">
      <c r="A126" s="54">
        <v>2016</v>
      </c>
      <c r="B126" s="54">
        <v>430000</v>
      </c>
      <c r="C126" s="55" t="s">
        <v>63</v>
      </c>
      <c r="D126" s="56">
        <v>0</v>
      </c>
      <c r="E126" s="56">
        <v>0</v>
      </c>
      <c r="F126" s="56">
        <v>1</v>
      </c>
      <c r="G126" s="56">
        <v>0</v>
      </c>
      <c r="H126" s="56">
        <v>58.643</v>
      </c>
      <c r="I126" s="56">
        <v>41.357</v>
      </c>
      <c r="J126" s="56">
        <v>1.62</v>
      </c>
      <c r="K126" s="56">
        <v>16.871</v>
      </c>
      <c r="L126" s="56">
        <v>44.224</v>
      </c>
      <c r="M126" s="56">
        <v>16.276</v>
      </c>
      <c r="N126" s="56">
        <v>8.613</v>
      </c>
      <c r="O126" s="56">
        <v>6.42</v>
      </c>
      <c r="P126" s="56">
        <v>0.564</v>
      </c>
      <c r="Q126" s="50">
        <v>1587.32</v>
      </c>
      <c r="R126" s="50">
        <v>912.16</v>
      </c>
      <c r="S126" s="50">
        <v>1420.93</v>
      </c>
      <c r="T126" s="51">
        <v>3920.41</v>
      </c>
      <c r="U126" s="56">
        <v>2.1</v>
      </c>
      <c r="V126" s="56">
        <v>8.1</v>
      </c>
      <c r="W126" s="56">
        <v>109.3</v>
      </c>
      <c r="X126" s="56">
        <v>16.6</v>
      </c>
      <c r="Y126" s="56">
        <v>108.7</v>
      </c>
      <c r="Z126" s="56">
        <v>24</v>
      </c>
      <c r="AA126" s="56">
        <v>7.4</v>
      </c>
      <c r="AB126" s="56">
        <v>20.2</v>
      </c>
      <c r="AC126" s="56">
        <v>7.4</v>
      </c>
      <c r="AD126" s="56">
        <v>25.3</v>
      </c>
      <c r="AE126" s="56">
        <v>12.2</v>
      </c>
      <c r="AF126" s="56">
        <v>9.9</v>
      </c>
      <c r="AG126" s="56">
        <v>11.7</v>
      </c>
      <c r="AH126" s="56">
        <v>8.2</v>
      </c>
      <c r="AI126" s="56">
        <v>1.7</v>
      </c>
      <c r="AJ126" s="56">
        <v>67.7</v>
      </c>
      <c r="AK126" s="56">
        <v>39.4</v>
      </c>
      <c r="AL126" s="56">
        <v>5.7</v>
      </c>
      <c r="AM126" s="56">
        <v>82.7</v>
      </c>
      <c r="AN126" s="56">
        <v>1186.654</v>
      </c>
      <c r="AO126" s="56">
        <v>3320.462</v>
      </c>
      <c r="AP126" s="56">
        <v>4507.116</v>
      </c>
      <c r="AQ126" s="56">
        <v>829.558</v>
      </c>
      <c r="AR126" s="56">
        <v>1816.589</v>
      </c>
      <c r="AS126" s="56">
        <v>2646.146</v>
      </c>
    </row>
    <row r="127" spans="1:45">
      <c r="A127" s="54">
        <v>2017</v>
      </c>
      <c r="B127" s="54">
        <v>430000</v>
      </c>
      <c r="C127" s="55" t="s">
        <v>63</v>
      </c>
      <c r="D127" s="49">
        <v>0</v>
      </c>
      <c r="E127" s="49">
        <v>0</v>
      </c>
      <c r="F127" s="56">
        <v>1</v>
      </c>
      <c r="G127" s="49">
        <v>0</v>
      </c>
      <c r="H127" s="56">
        <v>58.382</v>
      </c>
      <c r="I127" s="56">
        <v>41.618</v>
      </c>
      <c r="J127" s="56">
        <v>1.176</v>
      </c>
      <c r="K127" s="56">
        <v>15.47</v>
      </c>
      <c r="L127" s="56">
        <v>43.645</v>
      </c>
      <c r="M127" s="56">
        <v>17.492</v>
      </c>
      <c r="N127" s="56">
        <v>9.117</v>
      </c>
      <c r="O127" s="56">
        <v>6.517</v>
      </c>
      <c r="P127" s="56">
        <v>0.622</v>
      </c>
      <c r="Q127" s="50">
        <v>1515.16</v>
      </c>
      <c r="R127" s="50">
        <v>871.17</v>
      </c>
      <c r="S127" s="50">
        <v>1430.89</v>
      </c>
      <c r="T127" s="51">
        <v>3817.22</v>
      </c>
      <c r="U127" s="56">
        <v>2.5</v>
      </c>
      <c r="V127" s="56">
        <v>7.1</v>
      </c>
      <c r="W127" s="56">
        <v>109</v>
      </c>
      <c r="X127" s="56">
        <v>15.7</v>
      </c>
      <c r="Y127" s="56">
        <v>110.2</v>
      </c>
      <c r="Z127" s="56">
        <v>23.4</v>
      </c>
      <c r="AA127" s="56">
        <v>6.9</v>
      </c>
      <c r="AB127" s="56">
        <v>19.3</v>
      </c>
      <c r="AC127" s="56">
        <v>6.8</v>
      </c>
      <c r="AD127" s="56">
        <v>26.7</v>
      </c>
      <c r="AE127" s="56">
        <v>12.7</v>
      </c>
      <c r="AF127" s="56">
        <v>10.3</v>
      </c>
      <c r="AG127" s="56">
        <v>11.4</v>
      </c>
      <c r="AH127" s="56">
        <v>7.3</v>
      </c>
      <c r="AI127" s="56">
        <v>1.5</v>
      </c>
      <c r="AJ127" s="56">
        <v>66.9</v>
      </c>
      <c r="AK127" s="56">
        <v>40.3</v>
      </c>
      <c r="AL127" s="56">
        <v>5.7</v>
      </c>
      <c r="AM127" s="56">
        <v>81.7</v>
      </c>
      <c r="AN127" s="56">
        <v>1279.331</v>
      </c>
      <c r="AO127" s="56">
        <v>3322.016</v>
      </c>
      <c r="AP127" s="56">
        <v>4601.347</v>
      </c>
      <c r="AQ127" s="56">
        <v>867.146</v>
      </c>
      <c r="AR127" s="56">
        <v>6039.125</v>
      </c>
      <c r="AS127" s="56">
        <v>6906.271</v>
      </c>
    </row>
    <row r="128" spans="1:45">
      <c r="A128" s="54">
        <v>2018</v>
      </c>
      <c r="B128" s="54">
        <v>430000</v>
      </c>
      <c r="C128" s="55" t="s">
        <v>63</v>
      </c>
      <c r="D128" s="56">
        <v>0</v>
      </c>
      <c r="E128" s="56">
        <v>0</v>
      </c>
      <c r="F128" s="56">
        <v>1</v>
      </c>
      <c r="G128" s="56">
        <v>0</v>
      </c>
      <c r="H128" s="56">
        <v>58.631</v>
      </c>
      <c r="I128" s="56">
        <v>41.369</v>
      </c>
      <c r="J128" s="56">
        <v>1.192</v>
      </c>
      <c r="K128" s="56">
        <v>14.938</v>
      </c>
      <c r="L128" s="56">
        <v>44.176</v>
      </c>
      <c r="M128" s="56">
        <v>17.168</v>
      </c>
      <c r="N128" s="56">
        <v>9.195</v>
      </c>
      <c r="O128" s="56">
        <v>6.751</v>
      </c>
      <c r="P128" s="56">
        <v>0.585</v>
      </c>
      <c r="Q128" s="50">
        <v>1462.38</v>
      </c>
      <c r="R128" s="50">
        <v>836.44</v>
      </c>
      <c r="S128" s="50">
        <v>1439.76</v>
      </c>
      <c r="T128" s="51">
        <v>3738.58</v>
      </c>
      <c r="U128" s="56">
        <v>2.2</v>
      </c>
      <c r="V128" s="56">
        <v>5.3</v>
      </c>
      <c r="W128" s="56">
        <v>95.3</v>
      </c>
      <c r="X128" s="56">
        <v>14.9</v>
      </c>
      <c r="Y128" s="56">
        <v>106.8</v>
      </c>
      <c r="Z128" s="56">
        <v>21.9</v>
      </c>
      <c r="AA128" s="56">
        <v>6.8</v>
      </c>
      <c r="AB128" s="56">
        <v>20.2</v>
      </c>
      <c r="AC128" s="56">
        <v>6.3</v>
      </c>
      <c r="AD128" s="56">
        <v>27.6</v>
      </c>
      <c r="AE128" s="56">
        <v>12.5</v>
      </c>
      <c r="AF128" s="56">
        <v>9.8</v>
      </c>
      <c r="AG128" s="56">
        <v>11.2</v>
      </c>
      <c r="AH128" s="56">
        <v>8.3</v>
      </c>
      <c r="AI128" s="56">
        <v>1.5</v>
      </c>
      <c r="AJ128" s="56">
        <v>67.6</v>
      </c>
      <c r="AK128" s="56">
        <v>41.1</v>
      </c>
      <c r="AL128" s="56">
        <v>5.5</v>
      </c>
      <c r="AM128" s="56">
        <v>81.6</v>
      </c>
      <c r="AN128" s="56">
        <v>1402.392</v>
      </c>
      <c r="AO128" s="56">
        <v>3404.971</v>
      </c>
      <c r="AP128" s="56">
        <v>4807.363</v>
      </c>
      <c r="AQ128" s="56">
        <v>898.479</v>
      </c>
      <c r="AR128" s="56">
        <v>5939.546</v>
      </c>
      <c r="AS128" s="56">
        <v>6838.025</v>
      </c>
    </row>
    <row r="129" spans="1:45">
      <c r="A129" s="54">
        <v>2019</v>
      </c>
      <c r="B129" s="54">
        <v>430000</v>
      </c>
      <c r="C129" s="55" t="s">
        <v>63</v>
      </c>
      <c r="D129" s="49">
        <v>0</v>
      </c>
      <c r="E129" s="49">
        <v>0</v>
      </c>
      <c r="F129" s="49">
        <v>1</v>
      </c>
      <c r="G129" s="49">
        <v>0</v>
      </c>
      <c r="H129" s="56">
        <v>56.2</v>
      </c>
      <c r="I129" s="56">
        <v>43.8</v>
      </c>
      <c r="J129" s="56">
        <v>1.1</v>
      </c>
      <c r="K129" s="56">
        <v>12.2</v>
      </c>
      <c r="L129" s="56">
        <v>41</v>
      </c>
      <c r="M129" s="56">
        <v>23.7</v>
      </c>
      <c r="N129" s="56">
        <v>12.7</v>
      </c>
      <c r="O129" s="56">
        <v>8.5</v>
      </c>
      <c r="P129" s="56">
        <v>0.7</v>
      </c>
      <c r="Q129" s="50">
        <v>1409.24</v>
      </c>
      <c r="R129" s="50">
        <v>810.04</v>
      </c>
      <c r="S129" s="50">
        <v>1447.2</v>
      </c>
      <c r="T129" s="51">
        <v>3666.48</v>
      </c>
      <c r="U129" s="56">
        <v>1.4</v>
      </c>
      <c r="V129" s="56">
        <v>5</v>
      </c>
      <c r="W129" s="56">
        <v>94.3</v>
      </c>
      <c r="X129" s="56">
        <v>15.1</v>
      </c>
      <c r="Y129" s="56">
        <v>105</v>
      </c>
      <c r="Z129" s="56">
        <v>25.9</v>
      </c>
      <c r="AA129" s="56">
        <v>8.1</v>
      </c>
      <c r="AB129" s="56">
        <v>21.7</v>
      </c>
      <c r="AC129" s="56">
        <v>6.3</v>
      </c>
      <c r="AD129" s="56">
        <v>35.7</v>
      </c>
      <c r="AE129" s="56">
        <v>14.1</v>
      </c>
      <c r="AF129" s="56">
        <v>13.9</v>
      </c>
      <c r="AG129" s="56">
        <v>13.4</v>
      </c>
      <c r="AH129" s="56">
        <v>9.5</v>
      </c>
      <c r="AI129" s="56">
        <v>2.3</v>
      </c>
      <c r="AJ129" s="56">
        <v>84.1</v>
      </c>
      <c r="AK129" s="56">
        <v>45.9</v>
      </c>
      <c r="AL129" s="56">
        <v>6.2</v>
      </c>
      <c r="AM129" s="56">
        <v>88.8</v>
      </c>
      <c r="AN129" s="56">
        <v>1557.8</v>
      </c>
      <c r="AO129" s="56">
        <v>3413.6</v>
      </c>
      <c r="AP129" s="56">
        <v>4971.4</v>
      </c>
      <c r="AQ129" s="56">
        <v>930.6</v>
      </c>
      <c r="AR129" s="56">
        <v>5785.4</v>
      </c>
      <c r="AS129" s="56">
        <v>6716.1</v>
      </c>
    </row>
    <row r="130" spans="1:45">
      <c r="A130" s="54">
        <v>2020</v>
      </c>
      <c r="B130" s="54">
        <v>430000</v>
      </c>
      <c r="C130" s="55" t="s">
        <v>63</v>
      </c>
      <c r="D130" s="56">
        <v>0</v>
      </c>
      <c r="E130" s="56">
        <v>0</v>
      </c>
      <c r="F130" s="56">
        <v>1</v>
      </c>
      <c r="G130" s="56">
        <v>0</v>
      </c>
      <c r="H130" s="56">
        <v>56.3</v>
      </c>
      <c r="I130" s="56">
        <v>43.7</v>
      </c>
      <c r="J130" s="56">
        <v>0.8</v>
      </c>
      <c r="K130" s="56">
        <v>12.8</v>
      </c>
      <c r="L130" s="56">
        <v>42.5</v>
      </c>
      <c r="M130" s="56">
        <v>23</v>
      </c>
      <c r="N130" s="56">
        <v>11.6</v>
      </c>
      <c r="O130" s="56">
        <v>8.6</v>
      </c>
      <c r="P130" s="56">
        <v>0.7</v>
      </c>
      <c r="Q130" s="50">
        <v>836</v>
      </c>
      <c r="R130" s="50">
        <v>884</v>
      </c>
      <c r="S130" s="50">
        <v>1560</v>
      </c>
      <c r="T130" s="51">
        <v>3280</v>
      </c>
      <c r="U130" s="56">
        <v>1.8</v>
      </c>
      <c r="V130" s="56">
        <v>4.5</v>
      </c>
      <c r="W130" s="56">
        <v>96.7</v>
      </c>
      <c r="X130" s="56">
        <v>15.4</v>
      </c>
      <c r="Y130" s="56">
        <v>103.6</v>
      </c>
      <c r="Z130" s="56">
        <v>25.6</v>
      </c>
      <c r="AA130" s="56">
        <v>8.5</v>
      </c>
      <c r="AB130" s="56">
        <v>23.2</v>
      </c>
      <c r="AC130" s="56">
        <v>6.3</v>
      </c>
      <c r="AD130" s="56">
        <v>31.2</v>
      </c>
      <c r="AE130" s="56">
        <v>16.2</v>
      </c>
      <c r="AF130" s="56">
        <v>12.8</v>
      </c>
      <c r="AG130" s="56">
        <v>13.3</v>
      </c>
      <c r="AH130" s="56">
        <v>9.6</v>
      </c>
      <c r="AI130" s="56">
        <v>2.5</v>
      </c>
      <c r="AJ130" s="56">
        <v>91.7</v>
      </c>
      <c r="AK130" s="56">
        <v>46.5</v>
      </c>
      <c r="AL130" s="56">
        <v>6.2</v>
      </c>
      <c r="AM130" s="56">
        <v>89.3</v>
      </c>
      <c r="AN130" s="56">
        <v>1724.8</v>
      </c>
      <c r="AO130" s="56">
        <v>3471.1</v>
      </c>
      <c r="AP130" s="56">
        <v>5195.9</v>
      </c>
      <c r="AQ130" s="56">
        <v>989.8</v>
      </c>
      <c r="AR130" s="56">
        <v>5742</v>
      </c>
      <c r="AS130" s="56">
        <v>6731.8</v>
      </c>
    </row>
    <row r="131" spans="1:45">
      <c r="A131" s="54">
        <v>2021</v>
      </c>
      <c r="B131" s="54">
        <v>430000</v>
      </c>
      <c r="C131" s="55" t="s">
        <v>63</v>
      </c>
      <c r="D131" s="49">
        <v>0</v>
      </c>
      <c r="E131" s="49">
        <v>0</v>
      </c>
      <c r="F131" s="56">
        <v>1</v>
      </c>
      <c r="G131" s="49">
        <v>0</v>
      </c>
      <c r="H131" s="56">
        <v>57.413</v>
      </c>
      <c r="I131" s="56">
        <v>42.587</v>
      </c>
      <c r="J131" s="56">
        <v>0.879</v>
      </c>
      <c r="K131" s="56">
        <v>13.689</v>
      </c>
      <c r="L131" s="56">
        <v>41.336</v>
      </c>
      <c r="M131" s="56">
        <v>23.288</v>
      </c>
      <c r="N131" s="56">
        <v>11.288</v>
      </c>
      <c r="O131" s="56">
        <v>8.526</v>
      </c>
      <c r="P131" s="56">
        <v>0.994</v>
      </c>
      <c r="Q131" s="50">
        <v>801</v>
      </c>
      <c r="R131" s="50">
        <v>893</v>
      </c>
      <c r="S131" s="50">
        <v>1564</v>
      </c>
      <c r="T131" s="51">
        <v>3258</v>
      </c>
      <c r="U131" s="56">
        <v>1.8</v>
      </c>
      <c r="V131" s="56">
        <v>4.3</v>
      </c>
      <c r="W131" s="56">
        <v>100.7</v>
      </c>
      <c r="X131" s="56">
        <v>15.2</v>
      </c>
      <c r="Y131" s="56">
        <v>99.7</v>
      </c>
      <c r="Z131" s="56">
        <v>24.8</v>
      </c>
      <c r="AA131" s="56">
        <v>8.9</v>
      </c>
      <c r="AB131" s="56">
        <v>23</v>
      </c>
      <c r="AC131" s="56">
        <v>6.4</v>
      </c>
      <c r="AD131" s="56">
        <v>30.5</v>
      </c>
      <c r="AE131" s="56">
        <v>15.5</v>
      </c>
      <c r="AF131" s="56">
        <v>15.9</v>
      </c>
      <c r="AG131" s="56">
        <v>13.4</v>
      </c>
      <c r="AH131" s="56">
        <v>9.4</v>
      </c>
      <c r="AI131" s="56">
        <v>2.7</v>
      </c>
      <c r="AJ131" s="56">
        <v>91.1</v>
      </c>
      <c r="AK131" s="56">
        <v>47.6</v>
      </c>
      <c r="AL131" s="56">
        <v>6.1</v>
      </c>
      <c r="AM131" s="56">
        <v>89</v>
      </c>
      <c r="AN131" s="56">
        <v>1849.519</v>
      </c>
      <c r="AO131" s="56">
        <v>3435.068</v>
      </c>
      <c r="AP131" s="56">
        <v>5284.588</v>
      </c>
      <c r="AQ131" s="56">
        <v>1025.196</v>
      </c>
      <c r="AR131" s="56">
        <v>5723.464</v>
      </c>
      <c r="AS131" s="56">
        <v>6748.66</v>
      </c>
    </row>
    <row r="132" spans="1:45">
      <c r="A132" s="54">
        <v>2022</v>
      </c>
      <c r="B132" s="54">
        <v>430000</v>
      </c>
      <c r="C132" s="55" t="s">
        <v>63</v>
      </c>
      <c r="D132" s="56">
        <v>0</v>
      </c>
      <c r="E132" s="56">
        <v>0</v>
      </c>
      <c r="F132" s="56">
        <v>1</v>
      </c>
      <c r="G132" s="56">
        <v>0</v>
      </c>
      <c r="H132" s="56">
        <v>57.665</v>
      </c>
      <c r="I132" s="56">
        <v>42.335</v>
      </c>
      <c r="J132" s="56">
        <v>0.823</v>
      </c>
      <c r="K132" s="56">
        <v>16.127</v>
      </c>
      <c r="L132" s="56">
        <v>39.638</v>
      </c>
      <c r="M132" s="56">
        <v>21.389</v>
      </c>
      <c r="N132" s="56">
        <v>11.563</v>
      </c>
      <c r="O132" s="56">
        <v>9.389</v>
      </c>
      <c r="P132" s="56">
        <v>1.071</v>
      </c>
      <c r="Q132" s="50">
        <v>785</v>
      </c>
      <c r="R132" s="50">
        <v>875</v>
      </c>
      <c r="S132" s="50">
        <v>1559</v>
      </c>
      <c r="T132" s="51">
        <v>3219</v>
      </c>
      <c r="U132" s="56">
        <v>1.8</v>
      </c>
      <c r="V132" s="56">
        <v>4.1</v>
      </c>
      <c r="W132" s="56">
        <v>102.5</v>
      </c>
      <c r="X132" s="56">
        <v>15.8</v>
      </c>
      <c r="Y132" s="56">
        <v>93.6</v>
      </c>
      <c r="Z132" s="56">
        <v>23.5</v>
      </c>
      <c r="AA132" s="56">
        <v>8.9</v>
      </c>
      <c r="AB132" s="56">
        <v>22.8</v>
      </c>
      <c r="AC132" s="56">
        <v>6.2</v>
      </c>
      <c r="AD132" s="56">
        <v>27.2</v>
      </c>
      <c r="AE132" s="56">
        <v>14.2</v>
      </c>
      <c r="AF132" s="56">
        <v>14.3</v>
      </c>
      <c r="AG132" s="56">
        <v>12.9</v>
      </c>
      <c r="AH132" s="56">
        <v>9.4</v>
      </c>
      <c r="AI132" s="56">
        <v>2.6</v>
      </c>
      <c r="AJ132" s="56">
        <v>88.8</v>
      </c>
      <c r="AK132" s="56">
        <v>48</v>
      </c>
      <c r="AL132" s="56">
        <v>6.1</v>
      </c>
      <c r="AM132" s="56">
        <v>87.1</v>
      </c>
      <c r="AN132" s="56">
        <v>1892.865</v>
      </c>
      <c r="AO132" s="56">
        <v>3421.472</v>
      </c>
      <c r="AP132" s="56">
        <v>5314.338</v>
      </c>
      <c r="AQ132" s="56">
        <v>1052.644</v>
      </c>
      <c r="AR132" s="56">
        <v>5470.604</v>
      </c>
      <c r="AS132" s="56">
        <v>6523.249</v>
      </c>
    </row>
    <row r="133" spans="1:45">
      <c r="A133" s="54">
        <v>2013</v>
      </c>
      <c r="B133" s="54">
        <v>220000</v>
      </c>
      <c r="C133" s="55" t="s">
        <v>64</v>
      </c>
      <c r="D133" s="49">
        <v>0</v>
      </c>
      <c r="E133" s="49">
        <v>0</v>
      </c>
      <c r="F133" s="49">
        <v>0</v>
      </c>
      <c r="G133" s="56">
        <v>1</v>
      </c>
      <c r="J133" s="56">
        <v>1.201</v>
      </c>
      <c r="K133" s="56">
        <v>18.536</v>
      </c>
      <c r="L133" s="56">
        <v>51.229</v>
      </c>
      <c r="M133" s="56">
        <v>15.159</v>
      </c>
      <c r="N133" s="56">
        <v>7.152</v>
      </c>
      <c r="O133" s="56">
        <v>6.244</v>
      </c>
      <c r="P133" s="56">
        <v>0.48</v>
      </c>
      <c r="Q133" s="50">
        <v>607.09</v>
      </c>
      <c r="R133" s="50">
        <v>267.14</v>
      </c>
      <c r="S133" s="50">
        <v>582.77</v>
      </c>
      <c r="T133" s="51">
        <v>1457</v>
      </c>
      <c r="U133" s="56">
        <v>13.7</v>
      </c>
      <c r="V133" s="56">
        <v>15.4</v>
      </c>
      <c r="W133" s="56">
        <v>88.4</v>
      </c>
      <c r="X133" s="56">
        <v>14</v>
      </c>
      <c r="Y133" s="56">
        <v>33.9</v>
      </c>
      <c r="Z133" s="56">
        <v>17.2</v>
      </c>
      <c r="AA133" s="56">
        <v>6.7</v>
      </c>
      <c r="AB133" s="56">
        <v>12.9</v>
      </c>
      <c r="AC133" s="56">
        <v>3.3</v>
      </c>
      <c r="AD133" s="56">
        <v>11</v>
      </c>
      <c r="AE133" s="56">
        <v>5.7</v>
      </c>
      <c r="AF133" s="56">
        <v>5.5</v>
      </c>
      <c r="AG133" s="56">
        <v>8</v>
      </c>
      <c r="AH133" s="56">
        <v>8.3</v>
      </c>
      <c r="AI133" s="56">
        <v>1.3</v>
      </c>
      <c r="AJ133" s="56">
        <v>37.1</v>
      </c>
      <c r="AK133" s="56">
        <v>17.4</v>
      </c>
      <c r="AL133" s="56">
        <v>3.6</v>
      </c>
      <c r="AM133" s="56">
        <v>35.1</v>
      </c>
      <c r="AN133" s="56">
        <v>655.192</v>
      </c>
      <c r="AO133" s="56">
        <v>643.115</v>
      </c>
      <c r="AP133" s="56">
        <v>1298.307</v>
      </c>
      <c r="AQ133" s="56">
        <v>574.872</v>
      </c>
      <c r="AR133" s="56">
        <v>803.681</v>
      </c>
      <c r="AS133" s="56">
        <v>1378.553</v>
      </c>
    </row>
    <row r="134" spans="1:45">
      <c r="A134" s="54">
        <v>2014</v>
      </c>
      <c r="B134" s="54">
        <v>220000</v>
      </c>
      <c r="C134" s="55" t="s">
        <v>64</v>
      </c>
      <c r="D134" s="56">
        <v>0</v>
      </c>
      <c r="E134" s="56">
        <v>0</v>
      </c>
      <c r="F134" s="56">
        <v>0</v>
      </c>
      <c r="G134" s="56">
        <v>1</v>
      </c>
      <c r="H134" s="56">
        <v>55.7</v>
      </c>
      <c r="I134" s="56">
        <v>44.3</v>
      </c>
      <c r="J134" s="56">
        <v>0.7</v>
      </c>
      <c r="K134" s="56">
        <v>17.7</v>
      </c>
      <c r="L134" s="56">
        <v>52.7</v>
      </c>
      <c r="M134" s="56">
        <v>14</v>
      </c>
      <c r="N134" s="56">
        <v>7.6</v>
      </c>
      <c r="O134" s="56">
        <v>6.9</v>
      </c>
      <c r="P134" s="56">
        <v>0.4</v>
      </c>
      <c r="Q134" s="50">
        <v>586.53</v>
      </c>
      <c r="R134" s="50">
        <v>253.68</v>
      </c>
      <c r="S134" s="50">
        <v>586.8</v>
      </c>
      <c r="T134" s="51">
        <v>1427.01</v>
      </c>
      <c r="U134" s="56">
        <v>13.3</v>
      </c>
      <c r="V134" s="56">
        <v>14.3</v>
      </c>
      <c r="W134" s="56">
        <v>86.7</v>
      </c>
      <c r="X134" s="56">
        <v>13.5</v>
      </c>
      <c r="Y134" s="56">
        <v>33.2</v>
      </c>
      <c r="Z134" s="56">
        <v>16.4</v>
      </c>
      <c r="AA134" s="56">
        <v>6.6</v>
      </c>
      <c r="AB134" s="56">
        <v>12.5</v>
      </c>
      <c r="AC134" s="56">
        <v>3</v>
      </c>
      <c r="AD134" s="56">
        <v>11.5</v>
      </c>
      <c r="AE134" s="56">
        <v>6.3</v>
      </c>
      <c r="AF134" s="56">
        <v>5.8</v>
      </c>
      <c r="AG134" s="56">
        <v>7.9</v>
      </c>
      <c r="AH134" s="56">
        <v>8.2</v>
      </c>
      <c r="AI134" s="56">
        <v>1.7</v>
      </c>
      <c r="AJ134" s="56">
        <v>36.6</v>
      </c>
      <c r="AK134" s="56">
        <v>17.9</v>
      </c>
      <c r="AL134" s="56">
        <v>3.5</v>
      </c>
      <c r="AM134" s="56">
        <v>35.6</v>
      </c>
      <c r="AN134" s="56">
        <v>676.7</v>
      </c>
      <c r="AO134" s="56">
        <v>654.8</v>
      </c>
      <c r="AP134" s="56">
        <v>1331.5</v>
      </c>
      <c r="AQ134" s="56">
        <v>575.6</v>
      </c>
      <c r="AR134" s="56">
        <v>804.4</v>
      </c>
      <c r="AS134" s="56">
        <v>1380</v>
      </c>
    </row>
    <row r="135" spans="1:45">
      <c r="A135" s="54">
        <v>2015</v>
      </c>
      <c r="B135" s="54">
        <v>220000</v>
      </c>
      <c r="C135" s="55" t="s">
        <v>64</v>
      </c>
      <c r="D135" s="49">
        <v>0</v>
      </c>
      <c r="E135" s="49">
        <v>0</v>
      </c>
      <c r="F135" s="49">
        <v>0</v>
      </c>
      <c r="G135" s="49">
        <v>1</v>
      </c>
      <c r="H135" s="56">
        <v>57.126</v>
      </c>
      <c r="I135" s="56">
        <v>42.874</v>
      </c>
      <c r="J135" s="56">
        <v>1.151</v>
      </c>
      <c r="K135" s="56">
        <v>20.928</v>
      </c>
      <c r="L135" s="56">
        <v>43.121</v>
      </c>
      <c r="M135" s="56">
        <v>13.92</v>
      </c>
      <c r="N135" s="56">
        <v>7.604</v>
      </c>
      <c r="O135" s="56">
        <v>7.759</v>
      </c>
      <c r="P135" s="56">
        <v>0.379</v>
      </c>
      <c r="Q135" s="50">
        <v>566.9</v>
      </c>
      <c r="R135" s="50">
        <v>241</v>
      </c>
      <c r="S135" s="50">
        <v>591.1</v>
      </c>
      <c r="T135" s="51">
        <v>1399</v>
      </c>
      <c r="U135" s="56">
        <v>12.8</v>
      </c>
      <c r="V135" s="56">
        <v>14.1</v>
      </c>
      <c r="W135" s="56">
        <v>84.2</v>
      </c>
      <c r="X135" s="56">
        <v>13</v>
      </c>
      <c r="Y135" s="56">
        <v>29.3</v>
      </c>
      <c r="Z135" s="56">
        <v>16.6</v>
      </c>
      <c r="AA135" s="56">
        <v>6.6</v>
      </c>
      <c r="AB135" s="56">
        <v>11.4</v>
      </c>
      <c r="AC135" s="56">
        <v>3</v>
      </c>
      <c r="AD135" s="56">
        <v>11.8</v>
      </c>
      <c r="AE135" s="56">
        <v>6</v>
      </c>
      <c r="AF135" s="56">
        <v>5</v>
      </c>
      <c r="AG135" s="56">
        <v>7.5</v>
      </c>
      <c r="AH135" s="56">
        <v>8.3</v>
      </c>
      <c r="AI135" s="56">
        <v>2.2</v>
      </c>
      <c r="AJ135" s="56">
        <v>36.1</v>
      </c>
      <c r="AK135" s="56">
        <v>18.1</v>
      </c>
      <c r="AL135" s="56">
        <v>3.6</v>
      </c>
      <c r="AM135" s="56">
        <v>35.5</v>
      </c>
      <c r="AN135" s="56">
        <v>693.629</v>
      </c>
      <c r="AO135" s="56">
        <v>662.69</v>
      </c>
      <c r="AP135" s="56">
        <v>1356.319</v>
      </c>
      <c r="AQ135" s="56">
        <v>575.875</v>
      </c>
      <c r="AR135" s="56">
        <v>804.701</v>
      </c>
      <c r="AS135" s="56">
        <v>1380.576</v>
      </c>
    </row>
    <row r="136" spans="1:45">
      <c r="A136" s="54">
        <v>2016</v>
      </c>
      <c r="B136" s="54">
        <v>220000</v>
      </c>
      <c r="C136" s="55" t="s">
        <v>64</v>
      </c>
      <c r="D136" s="56">
        <v>0</v>
      </c>
      <c r="E136" s="56">
        <v>0</v>
      </c>
      <c r="F136" s="56">
        <v>0</v>
      </c>
      <c r="G136" s="56">
        <v>1</v>
      </c>
      <c r="H136" s="56">
        <v>55.545</v>
      </c>
      <c r="I136" s="56">
        <v>44.455</v>
      </c>
      <c r="J136" s="56">
        <v>0.915</v>
      </c>
      <c r="K136" s="56">
        <v>17.719</v>
      </c>
      <c r="L136" s="56">
        <v>46.646</v>
      </c>
      <c r="M136" s="56">
        <v>13.994</v>
      </c>
      <c r="N136" s="56">
        <v>7.685</v>
      </c>
      <c r="O136" s="56">
        <v>7.507</v>
      </c>
      <c r="P136" s="56">
        <v>0.537</v>
      </c>
      <c r="Q136" s="50">
        <v>546.24</v>
      </c>
      <c r="R136" s="50">
        <v>228.22</v>
      </c>
      <c r="S136" s="50">
        <v>593.53</v>
      </c>
      <c r="T136" s="51">
        <v>1367.99</v>
      </c>
      <c r="U136" s="56">
        <v>12.5</v>
      </c>
      <c r="V136" s="56">
        <v>13.1</v>
      </c>
      <c r="W136" s="56">
        <v>81.9</v>
      </c>
      <c r="X136" s="56">
        <v>12.3</v>
      </c>
      <c r="Y136" s="56">
        <v>27.3</v>
      </c>
      <c r="Z136" s="56">
        <v>16.1</v>
      </c>
      <c r="AA136" s="56">
        <v>6.4</v>
      </c>
      <c r="AB136" s="56">
        <v>11.6</v>
      </c>
      <c r="AC136" s="56">
        <v>2.8</v>
      </c>
      <c r="AD136" s="56">
        <v>12.1</v>
      </c>
      <c r="AE136" s="56">
        <v>6.8</v>
      </c>
      <c r="AF136" s="56">
        <v>5.8</v>
      </c>
      <c r="AG136" s="56">
        <v>7.6</v>
      </c>
      <c r="AH136" s="56">
        <v>8.5</v>
      </c>
      <c r="AI136" s="56">
        <v>2.5</v>
      </c>
      <c r="AJ136" s="56">
        <v>36.2</v>
      </c>
      <c r="AK136" s="56">
        <v>18.7</v>
      </c>
      <c r="AL136" s="56">
        <v>3.5</v>
      </c>
      <c r="AM136" s="56">
        <v>36.3</v>
      </c>
      <c r="AN136" s="56">
        <v>706.833</v>
      </c>
      <c r="AO136" s="56">
        <v>667.163</v>
      </c>
      <c r="AP136" s="56">
        <v>1373.996</v>
      </c>
      <c r="AQ136" s="56">
        <v>575.992</v>
      </c>
      <c r="AR136" s="56">
        <v>804.884</v>
      </c>
      <c r="AS136" s="56">
        <v>1380.876</v>
      </c>
    </row>
    <row r="137" spans="1:45">
      <c r="A137" s="54">
        <v>2017</v>
      </c>
      <c r="B137" s="54">
        <v>220000</v>
      </c>
      <c r="C137" s="55" t="s">
        <v>64</v>
      </c>
      <c r="D137" s="49">
        <v>0</v>
      </c>
      <c r="E137" s="49">
        <v>0</v>
      </c>
      <c r="F137" s="49">
        <v>0</v>
      </c>
      <c r="G137" s="56">
        <v>1</v>
      </c>
      <c r="H137" s="56">
        <v>56.092</v>
      </c>
      <c r="I137" s="56">
        <v>43.908</v>
      </c>
      <c r="J137" s="56">
        <v>0.696</v>
      </c>
      <c r="K137" s="56">
        <v>16.389</v>
      </c>
      <c r="L137" s="56">
        <v>46.857</v>
      </c>
      <c r="M137" s="56">
        <v>13.687</v>
      </c>
      <c r="N137" s="56">
        <v>8.366</v>
      </c>
      <c r="O137" s="56">
        <v>8.307</v>
      </c>
      <c r="P137" s="56">
        <v>0.535</v>
      </c>
      <c r="Q137" s="50">
        <v>526.54</v>
      </c>
      <c r="R137" s="50">
        <v>216.2</v>
      </c>
      <c r="S137" s="50">
        <v>596.26</v>
      </c>
      <c r="T137" s="51">
        <v>1339</v>
      </c>
      <c r="U137" s="56">
        <v>11.4</v>
      </c>
      <c r="V137" s="56">
        <v>12.2</v>
      </c>
      <c r="W137" s="56">
        <v>70.9</v>
      </c>
      <c r="X137" s="56">
        <v>11.9</v>
      </c>
      <c r="Y137" s="56">
        <v>23.7</v>
      </c>
      <c r="Z137" s="56">
        <v>16.2</v>
      </c>
      <c r="AA137" s="56">
        <v>6.3</v>
      </c>
      <c r="AB137" s="56">
        <v>11.4</v>
      </c>
      <c r="AC137" s="56">
        <v>2.8</v>
      </c>
      <c r="AD137" s="56">
        <v>12.2</v>
      </c>
      <c r="AE137" s="56">
        <v>6.9</v>
      </c>
      <c r="AF137" s="56">
        <v>6.8</v>
      </c>
      <c r="AG137" s="56">
        <v>7.7</v>
      </c>
      <c r="AH137" s="56">
        <v>8.5</v>
      </c>
      <c r="AI137" s="56">
        <v>2.6</v>
      </c>
      <c r="AJ137" s="56">
        <v>36.1</v>
      </c>
      <c r="AK137" s="56">
        <v>19.6</v>
      </c>
      <c r="AL137" s="56">
        <v>3.7</v>
      </c>
      <c r="AM137" s="56">
        <v>36.2</v>
      </c>
      <c r="AN137" s="56">
        <v>814.539</v>
      </c>
      <c r="AO137" s="56">
        <v>668.366</v>
      </c>
      <c r="AP137" s="56">
        <v>1482.904</v>
      </c>
      <c r="AQ137" s="56">
        <v>575.967</v>
      </c>
      <c r="AR137" s="56">
        <v>804.917</v>
      </c>
      <c r="AS137" s="56">
        <v>1380.884</v>
      </c>
    </row>
    <row r="138" spans="1:45">
      <c r="A138" s="54">
        <v>2018</v>
      </c>
      <c r="B138" s="54">
        <v>220000</v>
      </c>
      <c r="C138" s="55" t="s">
        <v>64</v>
      </c>
      <c r="D138" s="56">
        <v>0</v>
      </c>
      <c r="E138" s="56">
        <v>0</v>
      </c>
      <c r="F138" s="56">
        <v>0</v>
      </c>
      <c r="G138" s="49">
        <v>1</v>
      </c>
      <c r="H138" s="56">
        <v>55.39</v>
      </c>
      <c r="I138" s="56">
        <v>44.61</v>
      </c>
      <c r="J138" s="56">
        <v>0.529</v>
      </c>
      <c r="K138" s="56">
        <v>17.209</v>
      </c>
      <c r="L138" s="56">
        <v>46.011</v>
      </c>
      <c r="M138" s="56">
        <v>13.415</v>
      </c>
      <c r="N138" s="56">
        <v>8.546</v>
      </c>
      <c r="O138" s="56">
        <v>8.633</v>
      </c>
      <c r="P138" s="56">
        <v>0.623</v>
      </c>
      <c r="Q138" s="50">
        <v>508.58</v>
      </c>
      <c r="R138" s="50">
        <v>205.24</v>
      </c>
      <c r="S138" s="50">
        <v>600.19</v>
      </c>
      <c r="T138" s="51">
        <v>1314.01</v>
      </c>
      <c r="U138" s="56">
        <v>9.7</v>
      </c>
      <c r="V138" s="56">
        <v>9.4</v>
      </c>
      <c r="W138" s="56">
        <v>56.9</v>
      </c>
      <c r="X138" s="56">
        <v>10.2</v>
      </c>
      <c r="Y138" s="56">
        <v>18.5</v>
      </c>
      <c r="Z138" s="56">
        <v>14.9</v>
      </c>
      <c r="AA138" s="56">
        <v>5.8</v>
      </c>
      <c r="AB138" s="56">
        <v>11.2</v>
      </c>
      <c r="AC138" s="56">
        <v>2.3</v>
      </c>
      <c r="AD138" s="56">
        <v>13.4</v>
      </c>
      <c r="AE138" s="56">
        <v>6.1</v>
      </c>
      <c r="AF138" s="56">
        <v>6.6</v>
      </c>
      <c r="AG138" s="56">
        <v>7.3</v>
      </c>
      <c r="AH138" s="56">
        <v>7.2</v>
      </c>
      <c r="AI138" s="56">
        <v>2</v>
      </c>
      <c r="AJ138" s="56">
        <v>35.9</v>
      </c>
      <c r="AK138" s="56">
        <v>19.9</v>
      </c>
      <c r="AL138" s="56">
        <v>3.7</v>
      </c>
      <c r="AM138" s="56">
        <v>38.2</v>
      </c>
      <c r="AN138" s="56">
        <v>862.389</v>
      </c>
      <c r="AO138" s="56">
        <v>684.33</v>
      </c>
      <c r="AP138" s="56">
        <v>1546.719</v>
      </c>
      <c r="AQ138" s="56">
        <v>575.979</v>
      </c>
      <c r="AR138" s="56">
        <v>2031.367</v>
      </c>
      <c r="AS138" s="56">
        <v>2607.346</v>
      </c>
    </row>
    <row r="139" spans="1:45">
      <c r="A139" s="54">
        <v>2019</v>
      </c>
      <c r="B139" s="54">
        <v>220000</v>
      </c>
      <c r="C139" s="55" t="s">
        <v>64</v>
      </c>
      <c r="D139" s="49">
        <v>0</v>
      </c>
      <c r="E139" s="49">
        <v>0</v>
      </c>
      <c r="F139" s="49">
        <v>0</v>
      </c>
      <c r="G139" s="56">
        <v>1</v>
      </c>
      <c r="H139" s="56">
        <v>55.3</v>
      </c>
      <c r="I139" s="56">
        <v>44.7</v>
      </c>
      <c r="J139" s="56">
        <v>0.5</v>
      </c>
      <c r="K139" s="56">
        <v>16.7</v>
      </c>
      <c r="L139" s="56">
        <v>44.9</v>
      </c>
      <c r="M139" s="56">
        <v>17</v>
      </c>
      <c r="N139" s="56">
        <v>10</v>
      </c>
      <c r="O139" s="56">
        <v>10</v>
      </c>
      <c r="P139" s="56">
        <v>0.8</v>
      </c>
      <c r="Q139" s="50">
        <v>489.61</v>
      </c>
      <c r="R139" s="50">
        <v>194.18</v>
      </c>
      <c r="S139" s="50">
        <v>602.21</v>
      </c>
      <c r="T139" s="51">
        <v>1286</v>
      </c>
      <c r="U139" s="56">
        <v>7</v>
      </c>
      <c r="V139" s="56">
        <v>8.6</v>
      </c>
      <c r="W139" s="56">
        <v>50.8</v>
      </c>
      <c r="X139" s="56">
        <v>10.4</v>
      </c>
      <c r="Y139" s="56">
        <v>14.9</v>
      </c>
      <c r="Z139" s="56">
        <v>16.3</v>
      </c>
      <c r="AA139" s="56">
        <v>5.6</v>
      </c>
      <c r="AB139" s="56">
        <v>10.4</v>
      </c>
      <c r="AC139" s="56">
        <v>2.3</v>
      </c>
      <c r="AD139" s="56">
        <v>17.5</v>
      </c>
      <c r="AE139" s="56">
        <v>6.1</v>
      </c>
      <c r="AF139" s="56">
        <v>6.4</v>
      </c>
      <c r="AG139" s="56">
        <v>7.8</v>
      </c>
      <c r="AH139" s="56">
        <v>6.8</v>
      </c>
      <c r="AI139" s="56">
        <v>1.8</v>
      </c>
      <c r="AJ139" s="56">
        <v>37.2</v>
      </c>
      <c r="AK139" s="56">
        <v>21.2</v>
      </c>
      <c r="AL139" s="56">
        <v>3.3</v>
      </c>
      <c r="AM139" s="56">
        <v>42.8</v>
      </c>
      <c r="AN139" s="56">
        <v>882.1</v>
      </c>
      <c r="AO139" s="56">
        <v>702.1</v>
      </c>
      <c r="AP139" s="56">
        <v>1584.2</v>
      </c>
      <c r="AQ139" s="56">
        <v>525.9</v>
      </c>
      <c r="AR139" s="56">
        <v>2022.2</v>
      </c>
      <c r="AS139" s="56">
        <v>2548.1</v>
      </c>
    </row>
    <row r="140" spans="1:45">
      <c r="A140" s="54">
        <v>2020</v>
      </c>
      <c r="B140" s="54">
        <v>220000</v>
      </c>
      <c r="C140" s="55" t="s">
        <v>64</v>
      </c>
      <c r="D140" s="56">
        <v>0</v>
      </c>
      <c r="E140" s="56">
        <v>0</v>
      </c>
      <c r="F140" s="56">
        <v>0</v>
      </c>
      <c r="G140" s="56">
        <v>1</v>
      </c>
      <c r="H140" s="56">
        <v>55.5</v>
      </c>
      <c r="I140" s="56">
        <v>44.5</v>
      </c>
      <c r="J140" s="56">
        <v>0.7</v>
      </c>
      <c r="K140" s="56">
        <v>18.9</v>
      </c>
      <c r="L140" s="56">
        <v>45.3</v>
      </c>
      <c r="M140" s="56">
        <v>15.3</v>
      </c>
      <c r="N140" s="56">
        <v>9.2</v>
      </c>
      <c r="O140" s="56">
        <v>9.7</v>
      </c>
      <c r="P140" s="56">
        <v>0.9</v>
      </c>
      <c r="Q140" s="50">
        <v>472</v>
      </c>
      <c r="R140" s="50">
        <v>184</v>
      </c>
      <c r="S140" s="50">
        <v>605</v>
      </c>
      <c r="T140" s="51">
        <v>1261</v>
      </c>
      <c r="U140" s="56">
        <v>5.1</v>
      </c>
      <c r="V140" s="56">
        <v>7.4</v>
      </c>
      <c r="W140" s="56">
        <v>45.4</v>
      </c>
      <c r="X140" s="56">
        <v>9.5</v>
      </c>
      <c r="Y140" s="56">
        <v>13.3</v>
      </c>
      <c r="Z140" s="56">
        <v>16.5</v>
      </c>
      <c r="AA140" s="56">
        <v>4.4</v>
      </c>
      <c r="AB140" s="56">
        <v>9.3</v>
      </c>
      <c r="AC140" s="56">
        <v>1.9</v>
      </c>
      <c r="AD140" s="56">
        <v>21.1</v>
      </c>
      <c r="AE140" s="56">
        <v>5.4</v>
      </c>
      <c r="AF140" s="56">
        <v>5.1</v>
      </c>
      <c r="AG140" s="56">
        <v>7.3</v>
      </c>
      <c r="AH140" s="56">
        <v>5.7</v>
      </c>
      <c r="AI140" s="56">
        <v>1.8</v>
      </c>
      <c r="AJ140" s="56">
        <v>35.9</v>
      </c>
      <c r="AK140" s="56">
        <v>21.2</v>
      </c>
      <c r="AL140" s="56">
        <v>3</v>
      </c>
      <c r="AM140" s="56">
        <v>38.4</v>
      </c>
      <c r="AN140" s="56">
        <v>898.2</v>
      </c>
      <c r="AO140" s="56">
        <v>723.8</v>
      </c>
      <c r="AP140" s="56">
        <v>1622</v>
      </c>
      <c r="AQ140" s="56">
        <v>529.8</v>
      </c>
      <c r="AR140" s="56">
        <v>1932.1</v>
      </c>
      <c r="AS140" s="56">
        <v>2461.9</v>
      </c>
    </row>
    <row r="141" spans="1:45">
      <c r="A141" s="54">
        <v>2021</v>
      </c>
      <c r="B141" s="54">
        <v>220000</v>
      </c>
      <c r="C141" s="55" t="s">
        <v>64</v>
      </c>
      <c r="D141" s="49">
        <v>0</v>
      </c>
      <c r="E141" s="49">
        <v>0</v>
      </c>
      <c r="F141" s="49">
        <v>0</v>
      </c>
      <c r="G141" s="49">
        <v>1</v>
      </c>
      <c r="H141" s="56">
        <v>55.592</v>
      </c>
      <c r="I141" s="56">
        <v>44.408</v>
      </c>
      <c r="J141" s="56">
        <v>0.788</v>
      </c>
      <c r="K141" s="56">
        <v>17.367</v>
      </c>
      <c r="L141" s="56">
        <v>44.43</v>
      </c>
      <c r="M141" s="56">
        <v>15.476</v>
      </c>
      <c r="N141" s="56">
        <v>9.855</v>
      </c>
      <c r="O141" s="56">
        <v>10.918</v>
      </c>
      <c r="P141" s="56">
        <v>1.166</v>
      </c>
      <c r="Q141" s="50">
        <v>454</v>
      </c>
      <c r="R141" s="50">
        <v>181</v>
      </c>
      <c r="S141" s="50">
        <v>593</v>
      </c>
      <c r="T141" s="51">
        <v>1228</v>
      </c>
      <c r="U141" s="56">
        <v>5.8</v>
      </c>
      <c r="V141" s="56">
        <v>6</v>
      </c>
      <c r="W141" s="56">
        <v>44.9</v>
      </c>
      <c r="X141" s="56">
        <v>9.5</v>
      </c>
      <c r="Y141" s="56">
        <v>13</v>
      </c>
      <c r="Z141" s="56">
        <v>15.8</v>
      </c>
      <c r="AA141" s="56">
        <v>4.5</v>
      </c>
      <c r="AB141" s="56">
        <v>8.5</v>
      </c>
      <c r="AC141" s="56">
        <v>1.9</v>
      </c>
      <c r="AD141" s="56">
        <v>20.3</v>
      </c>
      <c r="AE141" s="56">
        <v>5</v>
      </c>
      <c r="AF141" s="56">
        <v>4.5</v>
      </c>
      <c r="AG141" s="56">
        <v>6.9</v>
      </c>
      <c r="AH141" s="56">
        <v>6</v>
      </c>
      <c r="AI141" s="56">
        <v>1.5</v>
      </c>
      <c r="AJ141" s="56">
        <v>36.2</v>
      </c>
      <c r="AK141" s="56">
        <v>22.1</v>
      </c>
      <c r="AL141" s="56">
        <v>3</v>
      </c>
      <c r="AM141" s="56">
        <v>39.5</v>
      </c>
      <c r="AN141" s="56">
        <v>921.977</v>
      </c>
      <c r="AO141" s="56">
        <v>933.72</v>
      </c>
      <c r="AP141" s="56">
        <v>1855.697</v>
      </c>
      <c r="AQ141" s="56">
        <v>537.507</v>
      </c>
      <c r="AR141" s="56">
        <v>1752.836</v>
      </c>
      <c r="AS141" s="56">
        <v>2290.343</v>
      </c>
    </row>
    <row r="142" spans="1:45">
      <c r="A142" s="54">
        <v>2022</v>
      </c>
      <c r="B142" s="54">
        <v>220000</v>
      </c>
      <c r="C142" s="55" t="s">
        <v>64</v>
      </c>
      <c r="D142" s="56">
        <v>0</v>
      </c>
      <c r="E142" s="56">
        <v>0</v>
      </c>
      <c r="F142" s="56">
        <v>0</v>
      </c>
      <c r="G142" s="56">
        <v>1</v>
      </c>
      <c r="H142" s="56">
        <v>56.534</v>
      </c>
      <c r="I142" s="56">
        <v>43.466</v>
      </c>
      <c r="J142" s="56">
        <v>0.608</v>
      </c>
      <c r="K142" s="56">
        <v>18.457</v>
      </c>
      <c r="L142" s="56">
        <v>42.104</v>
      </c>
      <c r="M142" s="56">
        <v>14.107</v>
      </c>
      <c r="N142" s="56">
        <v>10.761</v>
      </c>
      <c r="O142" s="56">
        <v>12.91</v>
      </c>
      <c r="P142" s="56">
        <v>1.052</v>
      </c>
      <c r="Q142" s="50">
        <v>479</v>
      </c>
      <c r="R142" s="50">
        <v>171</v>
      </c>
      <c r="S142" s="50">
        <v>535</v>
      </c>
      <c r="T142" s="51">
        <v>1185</v>
      </c>
      <c r="U142" s="56">
        <v>5.2</v>
      </c>
      <c r="V142" s="56">
        <v>5.4</v>
      </c>
      <c r="W142" s="56">
        <v>41.2</v>
      </c>
      <c r="X142" s="56">
        <v>9.6</v>
      </c>
      <c r="Y142" s="56">
        <v>11.9</v>
      </c>
      <c r="Z142" s="56">
        <v>15.1</v>
      </c>
      <c r="AA142" s="56">
        <v>4.9</v>
      </c>
      <c r="AB142" s="56">
        <v>8.2</v>
      </c>
      <c r="AC142" s="56">
        <v>1.7</v>
      </c>
      <c r="AD142" s="56">
        <v>17</v>
      </c>
      <c r="AE142" s="56">
        <v>4.5</v>
      </c>
      <c r="AF142" s="56">
        <v>4.2</v>
      </c>
      <c r="AG142" s="56">
        <v>6.3</v>
      </c>
      <c r="AH142" s="56">
        <v>5.9</v>
      </c>
      <c r="AI142" s="56">
        <v>1.5</v>
      </c>
      <c r="AJ142" s="56">
        <v>35</v>
      </c>
      <c r="AK142" s="56">
        <v>21.9</v>
      </c>
      <c r="AL142" s="56">
        <v>3</v>
      </c>
      <c r="AM142" s="56">
        <v>39.8</v>
      </c>
      <c r="AN142" s="56">
        <v>941.084</v>
      </c>
      <c r="AO142" s="56">
        <v>946.718</v>
      </c>
      <c r="AP142" s="56">
        <v>1887.802</v>
      </c>
      <c r="AQ142" s="56">
        <v>545.17</v>
      </c>
      <c r="AR142" s="56">
        <v>1717.459</v>
      </c>
      <c r="AS142" s="56">
        <v>2262.628</v>
      </c>
    </row>
    <row r="143" spans="1:45">
      <c r="A143" s="54">
        <v>2013</v>
      </c>
      <c r="B143" s="54">
        <v>320000</v>
      </c>
      <c r="C143" s="55" t="s">
        <v>65</v>
      </c>
      <c r="D143" s="49">
        <v>0</v>
      </c>
      <c r="E143" s="49">
        <v>1</v>
      </c>
      <c r="F143" s="49">
        <v>0</v>
      </c>
      <c r="G143" s="49">
        <v>0</v>
      </c>
      <c r="J143" s="56">
        <v>1.787</v>
      </c>
      <c r="K143" s="56">
        <v>15.906</v>
      </c>
      <c r="L143" s="56">
        <v>46.107</v>
      </c>
      <c r="M143" s="56">
        <v>19.259</v>
      </c>
      <c r="N143" s="56">
        <v>10.267</v>
      </c>
      <c r="O143" s="56">
        <v>6.086</v>
      </c>
      <c r="P143" s="56">
        <v>0.587</v>
      </c>
      <c r="Q143" s="50">
        <v>929.63</v>
      </c>
      <c r="R143" s="50">
        <v>2041.35</v>
      </c>
      <c r="S143" s="50">
        <v>1820.92</v>
      </c>
      <c r="T143" s="51">
        <v>4791.9</v>
      </c>
      <c r="U143" s="56">
        <v>6.6</v>
      </c>
      <c r="V143" s="56">
        <v>13.6</v>
      </c>
      <c r="W143" s="56">
        <v>555.4</v>
      </c>
      <c r="X143" s="56">
        <v>18.1</v>
      </c>
      <c r="Y143" s="56">
        <v>420.5</v>
      </c>
      <c r="Z143" s="56">
        <v>48.4</v>
      </c>
      <c r="AA143" s="56">
        <v>30.5</v>
      </c>
      <c r="AB143" s="56">
        <v>61.4</v>
      </c>
      <c r="AC143" s="56">
        <v>19.2</v>
      </c>
      <c r="AD143" s="56">
        <v>30.8</v>
      </c>
      <c r="AE143" s="56">
        <v>21.2</v>
      </c>
      <c r="AF143" s="56">
        <v>31.9</v>
      </c>
      <c r="AG143" s="56">
        <v>19.2</v>
      </c>
      <c r="AH143" s="56">
        <v>14</v>
      </c>
      <c r="AI143" s="56">
        <v>3.6</v>
      </c>
      <c r="AJ143" s="56">
        <v>89.5</v>
      </c>
      <c r="AK143" s="56">
        <v>43.9</v>
      </c>
      <c r="AL143" s="56">
        <v>7.7</v>
      </c>
      <c r="AM143" s="56">
        <v>67.7</v>
      </c>
      <c r="AN143" s="56">
        <v>2582.112</v>
      </c>
      <c r="AO143" s="56">
        <v>2384.029</v>
      </c>
      <c r="AP143" s="56">
        <v>4966.141</v>
      </c>
      <c r="AQ143" s="56">
        <v>2274.726</v>
      </c>
      <c r="AR143" s="56">
        <v>1152.87</v>
      </c>
      <c r="AS143" s="56">
        <v>3427.596</v>
      </c>
    </row>
    <row r="144" spans="1:45">
      <c r="A144" s="54">
        <v>2014</v>
      </c>
      <c r="B144" s="54">
        <v>320000</v>
      </c>
      <c r="C144" s="55" t="s">
        <v>65</v>
      </c>
      <c r="D144" s="56">
        <v>0</v>
      </c>
      <c r="E144" s="56">
        <v>1</v>
      </c>
      <c r="F144" s="56">
        <v>0</v>
      </c>
      <c r="G144" s="56">
        <v>0</v>
      </c>
      <c r="H144" s="56">
        <v>52.9</v>
      </c>
      <c r="I144" s="56">
        <v>47.1</v>
      </c>
      <c r="J144" s="56">
        <v>2</v>
      </c>
      <c r="K144" s="56">
        <v>15.8</v>
      </c>
      <c r="L144" s="56">
        <v>45.2</v>
      </c>
      <c r="M144" s="56">
        <v>18.7</v>
      </c>
      <c r="N144" s="56">
        <v>11.2</v>
      </c>
      <c r="O144" s="56">
        <v>6.5</v>
      </c>
      <c r="P144" s="56">
        <v>0.6</v>
      </c>
      <c r="Q144" s="50">
        <v>890.37</v>
      </c>
      <c r="R144" s="50">
        <v>2045.45</v>
      </c>
      <c r="S144" s="50">
        <v>1877</v>
      </c>
      <c r="T144" s="51">
        <v>4812.82</v>
      </c>
      <c r="U144" s="56">
        <v>6.3</v>
      </c>
      <c r="V144" s="56">
        <v>11.8</v>
      </c>
      <c r="W144" s="56">
        <v>612.3</v>
      </c>
      <c r="X144" s="56">
        <v>18.1</v>
      </c>
      <c r="Y144" s="56">
        <v>450.2</v>
      </c>
      <c r="Z144" s="56">
        <v>49.8</v>
      </c>
      <c r="AA144" s="56">
        <v>29</v>
      </c>
      <c r="AB144" s="56">
        <v>59.4</v>
      </c>
      <c r="AC144" s="56">
        <v>19.8</v>
      </c>
      <c r="AD144" s="56">
        <v>33.3</v>
      </c>
      <c r="AE144" s="56">
        <v>22.1</v>
      </c>
      <c r="AF144" s="56">
        <v>31.2</v>
      </c>
      <c r="AG144" s="56">
        <v>21.5</v>
      </c>
      <c r="AH144" s="56">
        <v>15</v>
      </c>
      <c r="AI144" s="56">
        <v>3.8</v>
      </c>
      <c r="AJ144" s="56">
        <v>94.6</v>
      </c>
      <c r="AK144" s="56">
        <v>46.7</v>
      </c>
      <c r="AL144" s="56">
        <v>7.8</v>
      </c>
      <c r="AM144" s="56">
        <v>69.8</v>
      </c>
      <c r="AN144" s="56">
        <v>2691.9</v>
      </c>
      <c r="AO144" s="56">
        <v>2347.9</v>
      </c>
      <c r="AP144" s="56">
        <v>5039.8</v>
      </c>
      <c r="AQ144" s="56">
        <v>2361.8</v>
      </c>
      <c r="AR144" s="56">
        <v>1435.7</v>
      </c>
      <c r="AS144" s="56">
        <v>3797.5</v>
      </c>
    </row>
    <row r="145" spans="1:45">
      <c r="A145" s="54">
        <v>2015</v>
      </c>
      <c r="B145" s="54">
        <v>320000</v>
      </c>
      <c r="C145" s="55" t="s">
        <v>65</v>
      </c>
      <c r="D145" s="49">
        <v>0</v>
      </c>
      <c r="E145" s="56">
        <v>1</v>
      </c>
      <c r="F145" s="49">
        <v>0</v>
      </c>
      <c r="G145" s="49">
        <v>0</v>
      </c>
      <c r="H145" s="56">
        <v>56.828</v>
      </c>
      <c r="I145" s="56">
        <v>43.172</v>
      </c>
      <c r="J145" s="56">
        <v>2.046</v>
      </c>
      <c r="K145" s="56">
        <v>13.15</v>
      </c>
      <c r="L145" s="56">
        <v>40.643</v>
      </c>
      <c r="M145" s="56">
        <v>13.557</v>
      </c>
      <c r="N145" s="56">
        <v>11.99</v>
      </c>
      <c r="O145" s="56">
        <v>9.98</v>
      </c>
      <c r="P145" s="56">
        <v>0.946</v>
      </c>
      <c r="Q145" s="50">
        <v>845.69</v>
      </c>
      <c r="R145" s="50">
        <v>2034.48</v>
      </c>
      <c r="S145" s="50">
        <v>1952.33</v>
      </c>
      <c r="T145" s="51">
        <v>4832.5</v>
      </c>
      <c r="U145" s="56">
        <v>5.8</v>
      </c>
      <c r="V145" s="56">
        <v>10.6</v>
      </c>
      <c r="W145" s="56">
        <v>595.2</v>
      </c>
      <c r="X145" s="56">
        <v>17.4</v>
      </c>
      <c r="Y145" s="56">
        <v>417.3</v>
      </c>
      <c r="Z145" s="56">
        <v>49.2</v>
      </c>
      <c r="AA145" s="56">
        <v>28.3</v>
      </c>
      <c r="AB145" s="56">
        <v>58.6</v>
      </c>
      <c r="AC145" s="56">
        <v>17.3</v>
      </c>
      <c r="AD145" s="56">
        <v>35.1</v>
      </c>
      <c r="AE145" s="56">
        <v>22.6</v>
      </c>
      <c r="AF145" s="56">
        <v>31.3</v>
      </c>
      <c r="AG145" s="56">
        <v>21.8</v>
      </c>
      <c r="AH145" s="56">
        <v>15.5</v>
      </c>
      <c r="AI145" s="56">
        <v>3.3</v>
      </c>
      <c r="AJ145" s="56">
        <v>96</v>
      </c>
      <c r="AK145" s="56">
        <v>47.9</v>
      </c>
      <c r="AL145" s="56">
        <v>7.8</v>
      </c>
      <c r="AM145" s="56">
        <v>71</v>
      </c>
      <c r="AN145" s="56">
        <v>2779.895</v>
      </c>
      <c r="AO145" s="56">
        <v>2339.046</v>
      </c>
      <c r="AP145" s="56">
        <v>5118.941</v>
      </c>
      <c r="AQ145" s="56">
        <v>2428.999</v>
      </c>
      <c r="AR145" s="56">
        <v>1585.294</v>
      </c>
      <c r="AS145" s="56">
        <v>4014.293</v>
      </c>
    </row>
    <row r="146" spans="1:45">
      <c r="A146" s="54">
        <v>2016</v>
      </c>
      <c r="B146" s="54">
        <v>320000</v>
      </c>
      <c r="C146" s="55" t="s">
        <v>65</v>
      </c>
      <c r="D146" s="56">
        <v>0</v>
      </c>
      <c r="E146" s="56">
        <v>1</v>
      </c>
      <c r="F146" s="56">
        <v>0</v>
      </c>
      <c r="G146" s="56">
        <v>0</v>
      </c>
      <c r="H146" s="56">
        <v>55.509</v>
      </c>
      <c r="I146" s="56">
        <v>44.491</v>
      </c>
      <c r="J146" s="56">
        <v>2.146</v>
      </c>
      <c r="K146" s="56">
        <v>13.087</v>
      </c>
      <c r="L146" s="56">
        <v>38.376</v>
      </c>
      <c r="M146" s="56">
        <v>13.507</v>
      </c>
      <c r="N146" s="56">
        <v>13.305</v>
      </c>
      <c r="O146" s="56">
        <v>10.318</v>
      </c>
      <c r="P146" s="56">
        <v>1.002</v>
      </c>
      <c r="Q146" s="50">
        <v>814.84</v>
      </c>
      <c r="R146" s="50">
        <v>2027.39</v>
      </c>
      <c r="S146" s="50">
        <v>2007.99</v>
      </c>
      <c r="T146" s="51">
        <v>4850.22</v>
      </c>
      <c r="U146" s="56">
        <v>5.6</v>
      </c>
      <c r="V146" s="56">
        <v>8.5</v>
      </c>
      <c r="W146" s="56">
        <v>567.4</v>
      </c>
      <c r="X146" s="56">
        <v>14.5</v>
      </c>
      <c r="Y146" s="56">
        <v>396.8</v>
      </c>
      <c r="Z146" s="56">
        <v>49.6</v>
      </c>
      <c r="AA146" s="56">
        <v>27.3</v>
      </c>
      <c r="AB146" s="56">
        <v>56.1</v>
      </c>
      <c r="AC146" s="56">
        <v>16.9</v>
      </c>
      <c r="AD146" s="56">
        <v>38.1</v>
      </c>
      <c r="AE146" s="56">
        <v>22.2</v>
      </c>
      <c r="AF146" s="56">
        <v>29.4</v>
      </c>
      <c r="AG146" s="56">
        <v>21.8</v>
      </c>
      <c r="AH146" s="56">
        <v>15.4</v>
      </c>
      <c r="AI146" s="56">
        <v>3.2</v>
      </c>
      <c r="AJ146" s="56">
        <v>95</v>
      </c>
      <c r="AK146" s="56">
        <v>49.5</v>
      </c>
      <c r="AL146" s="56">
        <v>7.9</v>
      </c>
      <c r="AM146" s="56">
        <v>72</v>
      </c>
      <c r="AN146" s="56">
        <v>2861.534</v>
      </c>
      <c r="AO146" s="56">
        <v>2335.349</v>
      </c>
      <c r="AP146" s="56">
        <v>5196.883</v>
      </c>
      <c r="AQ146" s="56">
        <v>2490.527</v>
      </c>
      <c r="AR146" s="56">
        <v>1493.86</v>
      </c>
      <c r="AS146" s="56">
        <v>3984.387</v>
      </c>
    </row>
    <row r="147" spans="1:45">
      <c r="A147" s="54">
        <v>2017</v>
      </c>
      <c r="B147" s="54">
        <v>320000</v>
      </c>
      <c r="C147" s="55" t="s">
        <v>65</v>
      </c>
      <c r="D147" s="49">
        <v>0</v>
      </c>
      <c r="E147" s="49">
        <v>1</v>
      </c>
      <c r="F147" s="49">
        <v>0</v>
      </c>
      <c r="G147" s="49">
        <v>0</v>
      </c>
      <c r="H147" s="56">
        <v>54.759</v>
      </c>
      <c r="I147" s="56">
        <v>45.241</v>
      </c>
      <c r="J147" s="56">
        <v>2.006</v>
      </c>
      <c r="K147" s="56">
        <v>13.361</v>
      </c>
      <c r="L147" s="56">
        <v>37.81</v>
      </c>
      <c r="M147" s="56">
        <v>13.063</v>
      </c>
      <c r="N147" s="56">
        <v>13.451</v>
      </c>
      <c r="O147" s="56">
        <v>10.777</v>
      </c>
      <c r="P147" s="56">
        <v>0.927</v>
      </c>
      <c r="Q147" s="50">
        <v>769.9</v>
      </c>
      <c r="R147" s="50">
        <v>2012.47</v>
      </c>
      <c r="S147" s="50">
        <v>2090.43</v>
      </c>
      <c r="T147" s="51">
        <v>4872.8</v>
      </c>
      <c r="U147" s="56">
        <v>5.1</v>
      </c>
      <c r="V147" s="56">
        <v>7.3</v>
      </c>
      <c r="W147" s="56">
        <v>543.2</v>
      </c>
      <c r="X147" s="56">
        <v>14.8</v>
      </c>
      <c r="Y147" s="56">
        <v>407</v>
      </c>
      <c r="Z147" s="56">
        <v>48.1</v>
      </c>
      <c r="AA147" s="56">
        <v>27.9</v>
      </c>
      <c r="AB147" s="56">
        <v>53.9</v>
      </c>
      <c r="AC147" s="56">
        <v>16.6</v>
      </c>
      <c r="AD147" s="56">
        <v>40.3</v>
      </c>
      <c r="AE147" s="56">
        <v>23</v>
      </c>
      <c r="AF147" s="56">
        <v>30.2</v>
      </c>
      <c r="AG147" s="56">
        <v>22</v>
      </c>
      <c r="AH147" s="56">
        <v>14.9</v>
      </c>
      <c r="AI147" s="56">
        <v>3.5</v>
      </c>
      <c r="AJ147" s="56">
        <v>94</v>
      </c>
      <c r="AK147" s="56">
        <v>51.2</v>
      </c>
      <c r="AL147" s="56">
        <v>8</v>
      </c>
      <c r="AM147" s="56">
        <v>73.6</v>
      </c>
      <c r="AN147" s="56">
        <v>3034.526</v>
      </c>
      <c r="AO147" s="56">
        <v>2338.205</v>
      </c>
      <c r="AP147" s="56">
        <v>5372.731</v>
      </c>
      <c r="AQ147" s="56">
        <v>2601.127</v>
      </c>
      <c r="AR147" s="56">
        <v>5017.974</v>
      </c>
      <c r="AS147" s="56">
        <v>7619.101</v>
      </c>
    </row>
    <row r="148" spans="1:45">
      <c r="A148" s="54">
        <v>2018</v>
      </c>
      <c r="B148" s="54">
        <v>320000</v>
      </c>
      <c r="C148" s="55" t="s">
        <v>65</v>
      </c>
      <c r="D148" s="56">
        <v>0</v>
      </c>
      <c r="E148" s="56">
        <v>1</v>
      </c>
      <c r="F148" s="56">
        <v>0</v>
      </c>
      <c r="G148" s="56">
        <v>0</v>
      </c>
      <c r="H148" s="56">
        <v>54.313</v>
      </c>
      <c r="I148" s="56">
        <v>45.687</v>
      </c>
      <c r="J148" s="56">
        <v>2.18</v>
      </c>
      <c r="K148" s="56">
        <v>12.754</v>
      </c>
      <c r="L148" s="56">
        <v>37.694</v>
      </c>
      <c r="M148" s="56">
        <v>13.548</v>
      </c>
      <c r="N148" s="56">
        <v>13.018</v>
      </c>
      <c r="O148" s="56">
        <v>11.424</v>
      </c>
      <c r="P148" s="56">
        <v>1.138</v>
      </c>
      <c r="Q148" s="50">
        <v>737.92</v>
      </c>
      <c r="R148" s="50">
        <v>1993.86</v>
      </c>
      <c r="S148" s="50">
        <v>2155.12</v>
      </c>
      <c r="T148" s="51">
        <v>4886.9</v>
      </c>
      <c r="U148" s="56">
        <v>3.9</v>
      </c>
      <c r="V148" s="56">
        <v>6.5</v>
      </c>
      <c r="W148" s="56">
        <v>497.5</v>
      </c>
      <c r="X148" s="56">
        <v>14.2</v>
      </c>
      <c r="Y148" s="56">
        <v>434</v>
      </c>
      <c r="Z148" s="56">
        <v>46</v>
      </c>
      <c r="AA148" s="56">
        <v>32</v>
      </c>
      <c r="AB148" s="56">
        <v>55.6</v>
      </c>
      <c r="AC148" s="56">
        <v>18</v>
      </c>
      <c r="AD148" s="56">
        <v>39.4</v>
      </c>
      <c r="AE148" s="56">
        <v>25.4</v>
      </c>
      <c r="AF148" s="56">
        <v>33.5</v>
      </c>
      <c r="AG148" s="56">
        <v>21.8</v>
      </c>
      <c r="AH148" s="56">
        <v>12.2</v>
      </c>
      <c r="AI148" s="56">
        <v>3.7</v>
      </c>
      <c r="AJ148" s="56">
        <v>92.1</v>
      </c>
      <c r="AK148" s="56">
        <v>50</v>
      </c>
      <c r="AL148" s="56">
        <v>7.9</v>
      </c>
      <c r="AM148" s="56">
        <v>78.8</v>
      </c>
      <c r="AN148" s="56">
        <v>3225.612</v>
      </c>
      <c r="AO148" s="56">
        <v>2325.39</v>
      </c>
      <c r="AP148" s="56">
        <v>5551.002</v>
      </c>
      <c r="AQ148" s="56">
        <v>2752.635</v>
      </c>
      <c r="AR148" s="56">
        <v>4969.111</v>
      </c>
      <c r="AS148" s="56">
        <v>7721.746</v>
      </c>
    </row>
    <row r="149" spans="1:45">
      <c r="A149" s="54">
        <v>2019</v>
      </c>
      <c r="B149" s="54">
        <v>320000</v>
      </c>
      <c r="C149" s="55" t="s">
        <v>65</v>
      </c>
      <c r="D149" s="49">
        <v>0</v>
      </c>
      <c r="E149" s="56">
        <v>1</v>
      </c>
      <c r="F149" s="49">
        <v>0</v>
      </c>
      <c r="G149" s="49">
        <v>0</v>
      </c>
      <c r="H149" s="56">
        <v>56.8</v>
      </c>
      <c r="I149" s="56">
        <v>43.2</v>
      </c>
      <c r="J149" s="56">
        <v>2.2</v>
      </c>
      <c r="K149" s="56">
        <v>13.6</v>
      </c>
      <c r="L149" s="56">
        <v>36.9</v>
      </c>
      <c r="M149" s="56">
        <v>19.6</v>
      </c>
      <c r="N149" s="56">
        <v>14.7</v>
      </c>
      <c r="O149" s="56">
        <v>11.7</v>
      </c>
      <c r="P149" s="56">
        <v>1.3</v>
      </c>
      <c r="Q149" s="50">
        <v>706.06</v>
      </c>
      <c r="R149" s="50">
        <v>1961.28</v>
      </c>
      <c r="S149" s="50">
        <v>2235.86</v>
      </c>
      <c r="T149" s="51">
        <v>4903.2</v>
      </c>
      <c r="U149" s="56">
        <v>2.7</v>
      </c>
      <c r="V149" s="56">
        <v>4</v>
      </c>
      <c r="W149" s="56">
        <v>453.7</v>
      </c>
      <c r="X149" s="56">
        <v>14.3</v>
      </c>
      <c r="Y149" s="56">
        <v>270.1</v>
      </c>
      <c r="Z149" s="56">
        <v>48.3</v>
      </c>
      <c r="AA149" s="56">
        <v>32.4</v>
      </c>
      <c r="AB149" s="56">
        <v>60.5</v>
      </c>
      <c r="AC149" s="56">
        <v>19.2</v>
      </c>
      <c r="AD149" s="56">
        <v>38.9</v>
      </c>
      <c r="AE149" s="56">
        <v>29.1</v>
      </c>
      <c r="AF149" s="56">
        <v>46.1</v>
      </c>
      <c r="AG149" s="56">
        <v>27.3</v>
      </c>
      <c r="AH149" s="56">
        <v>13.2</v>
      </c>
      <c r="AI149" s="56">
        <v>4.9</v>
      </c>
      <c r="AJ149" s="56">
        <v>110.3</v>
      </c>
      <c r="AK149" s="56">
        <v>59.4</v>
      </c>
      <c r="AL149" s="56">
        <v>9.2</v>
      </c>
      <c r="AM149" s="56">
        <v>88.5</v>
      </c>
      <c r="AN149" s="56">
        <v>3417.4</v>
      </c>
      <c r="AO149" s="56">
        <v>2336.9</v>
      </c>
      <c r="AP149" s="56">
        <v>5754.3</v>
      </c>
      <c r="AQ149" s="56">
        <v>2954.1</v>
      </c>
      <c r="AR149" s="56">
        <v>4894.8</v>
      </c>
      <c r="AS149" s="56">
        <v>7848.8</v>
      </c>
    </row>
    <row r="150" spans="1:45">
      <c r="A150" s="54">
        <v>2020</v>
      </c>
      <c r="B150" s="54">
        <v>320000</v>
      </c>
      <c r="C150" s="55" t="s">
        <v>65</v>
      </c>
      <c r="D150" s="56">
        <v>0</v>
      </c>
      <c r="E150" s="56">
        <v>1</v>
      </c>
      <c r="F150" s="56">
        <v>0</v>
      </c>
      <c r="G150" s="56">
        <v>0</v>
      </c>
      <c r="H150" s="56">
        <v>56.3</v>
      </c>
      <c r="I150" s="56">
        <v>43.7</v>
      </c>
      <c r="J150" s="56">
        <v>2.3</v>
      </c>
      <c r="K150" s="56">
        <v>13.6</v>
      </c>
      <c r="L150" s="56">
        <v>38.5</v>
      </c>
      <c r="M150" s="56">
        <v>18.8</v>
      </c>
      <c r="N150" s="56">
        <v>13.7</v>
      </c>
      <c r="O150" s="56">
        <v>11.7</v>
      </c>
      <c r="P150" s="56">
        <v>1.4</v>
      </c>
      <c r="Q150" s="50">
        <v>675</v>
      </c>
      <c r="R150" s="50">
        <v>1944</v>
      </c>
      <c r="S150" s="50">
        <v>2274</v>
      </c>
      <c r="T150" s="51">
        <v>4893</v>
      </c>
      <c r="U150" s="56">
        <v>2.3</v>
      </c>
      <c r="V150" s="56">
        <v>5.3</v>
      </c>
      <c r="W150" s="56">
        <v>454.1</v>
      </c>
      <c r="X150" s="56">
        <v>14.3</v>
      </c>
      <c r="Y150" s="56">
        <v>282.5</v>
      </c>
      <c r="Z150" s="56">
        <v>45.5</v>
      </c>
      <c r="AA150" s="56">
        <v>32.8</v>
      </c>
      <c r="AB150" s="56">
        <v>57.8</v>
      </c>
      <c r="AC150" s="56">
        <v>19.7</v>
      </c>
      <c r="AD150" s="56">
        <v>40.4</v>
      </c>
      <c r="AE150" s="56">
        <v>29.8</v>
      </c>
      <c r="AF150" s="56">
        <v>45.7</v>
      </c>
      <c r="AG150" s="56">
        <v>26.6</v>
      </c>
      <c r="AH150" s="56">
        <v>13.7</v>
      </c>
      <c r="AI150" s="56">
        <v>5.2</v>
      </c>
      <c r="AJ150" s="56">
        <v>108.8</v>
      </c>
      <c r="AK150" s="56">
        <v>59.9</v>
      </c>
      <c r="AL150" s="56">
        <v>8.9</v>
      </c>
      <c r="AM150" s="56">
        <v>89</v>
      </c>
      <c r="AN150" s="56">
        <v>3557.9</v>
      </c>
      <c r="AO150" s="56">
        <v>2400.4</v>
      </c>
      <c r="AP150" s="56">
        <v>5958.3</v>
      </c>
      <c r="AQ150" s="56">
        <v>3102.3</v>
      </c>
      <c r="AR150" s="56">
        <v>4865.5</v>
      </c>
      <c r="AS150" s="56">
        <v>7967.7</v>
      </c>
    </row>
    <row r="151" spans="1:45">
      <c r="A151" s="54">
        <v>2021</v>
      </c>
      <c r="B151" s="54">
        <v>320000</v>
      </c>
      <c r="C151" s="55" t="s">
        <v>65</v>
      </c>
      <c r="D151" s="49">
        <v>0</v>
      </c>
      <c r="E151" s="49">
        <v>1</v>
      </c>
      <c r="F151" s="49">
        <v>0</v>
      </c>
      <c r="G151" s="49">
        <v>0</v>
      </c>
      <c r="H151" s="56">
        <v>57.111</v>
      </c>
      <c r="I151" s="56">
        <v>42.889</v>
      </c>
      <c r="J151" s="56">
        <v>1.808</v>
      </c>
      <c r="K151" s="56">
        <v>11.907</v>
      </c>
      <c r="L151" s="56">
        <v>38.226</v>
      </c>
      <c r="M151" s="56">
        <v>20.338</v>
      </c>
      <c r="N151" s="56">
        <v>14.106</v>
      </c>
      <c r="O151" s="56">
        <v>12.314</v>
      </c>
      <c r="P151" s="56">
        <v>1.301</v>
      </c>
      <c r="Q151" s="50">
        <v>630</v>
      </c>
      <c r="R151" s="50">
        <v>1957</v>
      </c>
      <c r="S151" s="50">
        <v>2276</v>
      </c>
      <c r="T151" s="51">
        <v>4863</v>
      </c>
      <c r="U151" s="56">
        <v>2.5</v>
      </c>
      <c r="V151" s="56">
        <v>5.4</v>
      </c>
      <c r="W151" s="56">
        <v>461.2</v>
      </c>
      <c r="X151" s="56">
        <v>15</v>
      </c>
      <c r="Y151" s="56">
        <v>230.5</v>
      </c>
      <c r="Z151" s="56">
        <v>44.9</v>
      </c>
      <c r="AA151" s="56">
        <v>34.6</v>
      </c>
      <c r="AB151" s="56">
        <v>54.4</v>
      </c>
      <c r="AC151" s="56">
        <v>20.6</v>
      </c>
      <c r="AD151" s="56">
        <v>43.5</v>
      </c>
      <c r="AE151" s="56">
        <v>30.8</v>
      </c>
      <c r="AF151" s="56">
        <v>46</v>
      </c>
      <c r="AG151" s="56">
        <v>27.2</v>
      </c>
      <c r="AH151" s="56">
        <v>14</v>
      </c>
      <c r="AI151" s="56">
        <v>5.3</v>
      </c>
      <c r="AJ151" s="56">
        <v>112.8</v>
      </c>
      <c r="AK151" s="56">
        <v>63.2</v>
      </c>
      <c r="AL151" s="56">
        <v>8.9</v>
      </c>
      <c r="AM151" s="56">
        <v>93.2</v>
      </c>
      <c r="AN151" s="56">
        <v>3609.259</v>
      </c>
      <c r="AO151" s="56">
        <v>2355.65</v>
      </c>
      <c r="AP151" s="56">
        <v>5964.909</v>
      </c>
      <c r="AQ151" s="56">
        <v>3245.968</v>
      </c>
      <c r="AR151" s="56">
        <v>4817.844</v>
      </c>
      <c r="AS151" s="56">
        <v>8063.812</v>
      </c>
    </row>
    <row r="152" spans="1:45">
      <c r="A152" s="54">
        <v>2022</v>
      </c>
      <c r="B152" s="54">
        <v>320000</v>
      </c>
      <c r="C152" s="55" t="s">
        <v>65</v>
      </c>
      <c r="D152" s="56">
        <v>0</v>
      </c>
      <c r="E152" s="56">
        <v>1</v>
      </c>
      <c r="F152" s="56">
        <v>0</v>
      </c>
      <c r="G152" s="56">
        <v>0</v>
      </c>
      <c r="H152" s="56">
        <v>56.79</v>
      </c>
      <c r="I152" s="56">
        <v>43.21</v>
      </c>
      <c r="J152" s="56">
        <v>2.081</v>
      </c>
      <c r="K152" s="56">
        <v>15.035</v>
      </c>
      <c r="L152" s="56">
        <v>36.68</v>
      </c>
      <c r="M152" s="56">
        <v>17.869</v>
      </c>
      <c r="N152" s="56">
        <v>13.725</v>
      </c>
      <c r="O152" s="56">
        <v>13.17</v>
      </c>
      <c r="P152" s="56">
        <v>1.44</v>
      </c>
      <c r="Q152" s="50">
        <v>626</v>
      </c>
      <c r="R152" s="50">
        <v>1951</v>
      </c>
      <c r="S152" s="50">
        <v>2228</v>
      </c>
      <c r="T152" s="51">
        <v>4805</v>
      </c>
      <c r="U152" s="56">
        <v>2.4</v>
      </c>
      <c r="V152" s="56">
        <v>5.3</v>
      </c>
      <c r="W152" s="56">
        <v>444.9</v>
      </c>
      <c r="X152" s="56">
        <v>15.1</v>
      </c>
      <c r="Y152" s="56">
        <v>227.5</v>
      </c>
      <c r="Z152" s="56">
        <v>42</v>
      </c>
      <c r="AA152" s="56">
        <v>35.1</v>
      </c>
      <c r="AB152" s="56">
        <v>53.4</v>
      </c>
      <c r="AC152" s="56">
        <v>20.1</v>
      </c>
      <c r="AD152" s="56">
        <v>40.4</v>
      </c>
      <c r="AE152" s="56">
        <v>28.2</v>
      </c>
      <c r="AF152" s="56">
        <v>44.2</v>
      </c>
      <c r="AG152" s="56">
        <v>28.1</v>
      </c>
      <c r="AH152" s="56">
        <v>13.4</v>
      </c>
      <c r="AI152" s="56">
        <v>5.6</v>
      </c>
      <c r="AJ152" s="56">
        <v>112</v>
      </c>
      <c r="AK152" s="56">
        <v>62.9</v>
      </c>
      <c r="AL152" s="56">
        <v>8.7</v>
      </c>
      <c r="AM152" s="56">
        <v>93.6</v>
      </c>
      <c r="AN152" s="56">
        <v>3690.274</v>
      </c>
      <c r="AO152" s="56">
        <v>2340.66</v>
      </c>
      <c r="AP152" s="56">
        <v>6030.934</v>
      </c>
      <c r="AQ152" s="56">
        <v>3388.476</v>
      </c>
      <c r="AR152" s="56">
        <v>4730.984</v>
      </c>
      <c r="AS152" s="56">
        <v>8119.46</v>
      </c>
    </row>
    <row r="153" spans="1:45">
      <c r="A153" s="54">
        <v>2013</v>
      </c>
      <c r="B153" s="54">
        <v>360000</v>
      </c>
      <c r="C153" s="55" t="s">
        <v>66</v>
      </c>
      <c r="D153" s="49">
        <v>0</v>
      </c>
      <c r="E153" s="49">
        <v>0</v>
      </c>
      <c r="F153" s="49">
        <v>1</v>
      </c>
      <c r="G153" s="49">
        <v>0</v>
      </c>
      <c r="J153" s="56">
        <v>1.252</v>
      </c>
      <c r="K153" s="56">
        <v>18.552</v>
      </c>
      <c r="L153" s="56">
        <v>50.916</v>
      </c>
      <c r="M153" s="56">
        <v>18.518</v>
      </c>
      <c r="N153" s="56">
        <v>6.985</v>
      </c>
      <c r="O153" s="56">
        <v>3.457</v>
      </c>
      <c r="P153" s="56">
        <v>0.32</v>
      </c>
      <c r="Q153" s="50">
        <v>722.8</v>
      </c>
      <c r="R153" s="50">
        <v>741.6</v>
      </c>
      <c r="S153" s="50">
        <v>897.6</v>
      </c>
      <c r="T153" s="51">
        <v>2362</v>
      </c>
      <c r="U153" s="56">
        <v>5.6</v>
      </c>
      <c r="V153" s="56">
        <v>8.3</v>
      </c>
      <c r="W153" s="56">
        <v>125.8</v>
      </c>
      <c r="X153" s="56">
        <v>13.2</v>
      </c>
      <c r="Y153" s="56">
        <v>91.3</v>
      </c>
      <c r="Z153" s="56">
        <v>21.2</v>
      </c>
      <c r="AA153" s="56">
        <v>6.3</v>
      </c>
      <c r="AB153" s="56">
        <v>15.6</v>
      </c>
      <c r="AC153" s="56">
        <v>4.7</v>
      </c>
      <c r="AD153" s="56">
        <v>11.3</v>
      </c>
      <c r="AE153" s="56">
        <v>5.4</v>
      </c>
      <c r="AF153" s="56">
        <v>5.5</v>
      </c>
      <c r="AG153" s="56">
        <v>5.7</v>
      </c>
      <c r="AH153" s="56">
        <v>7.4</v>
      </c>
      <c r="AI153" s="56">
        <v>0.6</v>
      </c>
      <c r="AJ153" s="56">
        <v>45.8</v>
      </c>
      <c r="AK153" s="56">
        <v>19.7</v>
      </c>
      <c r="AL153" s="56">
        <v>3.3</v>
      </c>
      <c r="AM153" s="56">
        <v>48.3</v>
      </c>
      <c r="AN153" s="56">
        <v>754.184</v>
      </c>
      <c r="AO153" s="56">
        <v>1772.455</v>
      </c>
      <c r="AP153" s="56">
        <v>2526.639</v>
      </c>
      <c r="AQ153" s="56">
        <v>569.937</v>
      </c>
      <c r="AR153" s="56">
        <v>906.681</v>
      </c>
      <c r="AS153" s="56">
        <v>1476.618</v>
      </c>
    </row>
    <row r="154" spans="1:45">
      <c r="A154" s="54">
        <v>2014</v>
      </c>
      <c r="B154" s="54">
        <v>360000</v>
      </c>
      <c r="C154" s="55" t="s">
        <v>66</v>
      </c>
      <c r="D154" s="56">
        <v>0</v>
      </c>
      <c r="E154" s="56">
        <v>0</v>
      </c>
      <c r="F154" s="56">
        <v>1</v>
      </c>
      <c r="G154" s="56">
        <v>0</v>
      </c>
      <c r="H154" s="56">
        <v>54.8</v>
      </c>
      <c r="I154" s="56">
        <v>45.2</v>
      </c>
      <c r="J154" s="56">
        <v>1.3</v>
      </c>
      <c r="K154" s="56">
        <v>19.6</v>
      </c>
      <c r="L154" s="56">
        <v>51.2</v>
      </c>
      <c r="M154" s="56">
        <v>17</v>
      </c>
      <c r="N154" s="56">
        <v>6.8</v>
      </c>
      <c r="O154" s="56">
        <v>3.9</v>
      </c>
      <c r="P154" s="56">
        <v>0.2</v>
      </c>
      <c r="Q154" s="50">
        <v>680.9</v>
      </c>
      <c r="R154" s="50">
        <v>749</v>
      </c>
      <c r="S154" s="50">
        <v>918.1</v>
      </c>
      <c r="T154" s="51">
        <v>2348</v>
      </c>
      <c r="U154" s="56">
        <v>5.2</v>
      </c>
      <c r="V154" s="56">
        <v>7.8</v>
      </c>
      <c r="W154" s="56">
        <v>133.5</v>
      </c>
      <c r="X154" s="56">
        <v>14.3</v>
      </c>
      <c r="Y154" s="56">
        <v>94.4</v>
      </c>
      <c r="Z154" s="56">
        <v>20.8</v>
      </c>
      <c r="AA154" s="56">
        <v>7.2</v>
      </c>
      <c r="AB154" s="56">
        <v>17.6</v>
      </c>
      <c r="AC154" s="56">
        <v>4.1</v>
      </c>
      <c r="AD154" s="56">
        <v>12.2</v>
      </c>
      <c r="AE154" s="56">
        <v>5.7</v>
      </c>
      <c r="AF154" s="56">
        <v>4.7</v>
      </c>
      <c r="AG154" s="56">
        <v>5.5</v>
      </c>
      <c r="AH154" s="56">
        <v>7.1</v>
      </c>
      <c r="AI154" s="56">
        <v>0.8</v>
      </c>
      <c r="AJ154" s="56">
        <v>50.9</v>
      </c>
      <c r="AK154" s="56">
        <v>21.5</v>
      </c>
      <c r="AL154" s="56">
        <v>3</v>
      </c>
      <c r="AM154" s="56">
        <v>49</v>
      </c>
      <c r="AN154" s="56">
        <v>783.9</v>
      </c>
      <c r="AO154" s="56">
        <v>1798.1</v>
      </c>
      <c r="AP154" s="56">
        <v>2582</v>
      </c>
      <c r="AQ154" s="56">
        <v>579.2</v>
      </c>
      <c r="AR154" s="56">
        <v>915</v>
      </c>
      <c r="AS154" s="56">
        <v>1494.2</v>
      </c>
    </row>
    <row r="155" spans="1:45">
      <c r="A155" s="54">
        <v>2015</v>
      </c>
      <c r="B155" s="54">
        <v>360000</v>
      </c>
      <c r="C155" s="55" t="s">
        <v>66</v>
      </c>
      <c r="D155" s="49">
        <v>0</v>
      </c>
      <c r="E155" s="49">
        <v>0</v>
      </c>
      <c r="F155" s="56">
        <v>1</v>
      </c>
      <c r="G155" s="49">
        <v>0</v>
      </c>
      <c r="H155" s="56">
        <v>58.861</v>
      </c>
      <c r="I155" s="56">
        <v>41.139</v>
      </c>
      <c r="J155" s="56">
        <v>2.664</v>
      </c>
      <c r="K155" s="56">
        <v>20.623</v>
      </c>
      <c r="L155" s="56">
        <v>44.799</v>
      </c>
      <c r="M155" s="56">
        <v>14.063</v>
      </c>
      <c r="N155" s="56">
        <v>7.186</v>
      </c>
      <c r="O155" s="56">
        <v>4.956</v>
      </c>
      <c r="P155" s="56">
        <v>0.371</v>
      </c>
      <c r="Q155" s="50">
        <v>645.3</v>
      </c>
      <c r="R155" s="50">
        <v>757.5</v>
      </c>
      <c r="S155" s="50">
        <v>935.2</v>
      </c>
      <c r="T155" s="51">
        <v>2338</v>
      </c>
      <c r="U155" s="56">
        <v>4.9</v>
      </c>
      <c r="V155" s="56">
        <v>7.2</v>
      </c>
      <c r="W155" s="56">
        <v>138.2</v>
      </c>
      <c r="X155" s="56">
        <v>14.1</v>
      </c>
      <c r="Y155" s="56">
        <v>91.9</v>
      </c>
      <c r="Z155" s="56">
        <v>21.2</v>
      </c>
      <c r="AA155" s="56">
        <v>6.7</v>
      </c>
      <c r="AB155" s="56">
        <v>18.1</v>
      </c>
      <c r="AC155" s="56">
        <v>4.4</v>
      </c>
      <c r="AD155" s="56">
        <v>12.6</v>
      </c>
      <c r="AE155" s="56">
        <v>6.4</v>
      </c>
      <c r="AF155" s="56">
        <v>5.2</v>
      </c>
      <c r="AG155" s="56">
        <v>5.7</v>
      </c>
      <c r="AH155" s="56">
        <v>7.7</v>
      </c>
      <c r="AI155" s="56">
        <v>1</v>
      </c>
      <c r="AJ155" s="56">
        <v>55.8</v>
      </c>
      <c r="AK155" s="56">
        <v>24.5</v>
      </c>
      <c r="AL155" s="56">
        <v>3.8</v>
      </c>
      <c r="AM155" s="56">
        <v>51.1</v>
      </c>
      <c r="AN155" s="56">
        <v>823.096</v>
      </c>
      <c r="AO155" s="56">
        <v>1829.945</v>
      </c>
      <c r="AP155" s="56">
        <v>2653.041</v>
      </c>
      <c r="AQ155" s="56">
        <v>584.974</v>
      </c>
      <c r="AR155" s="56">
        <v>945.465</v>
      </c>
      <c r="AS155" s="56">
        <v>1530.439</v>
      </c>
    </row>
    <row r="156" spans="1:45">
      <c r="A156" s="54">
        <v>2016</v>
      </c>
      <c r="B156" s="54">
        <v>360000</v>
      </c>
      <c r="C156" s="55" t="s">
        <v>66</v>
      </c>
      <c r="D156" s="56">
        <v>0</v>
      </c>
      <c r="E156" s="56">
        <v>0</v>
      </c>
      <c r="F156" s="56">
        <v>1</v>
      </c>
      <c r="G156" s="56">
        <v>0</v>
      </c>
      <c r="H156" s="56">
        <v>56.865</v>
      </c>
      <c r="I156" s="56">
        <v>43.135</v>
      </c>
      <c r="J156" s="56">
        <v>2.314</v>
      </c>
      <c r="K156" s="56">
        <v>20.496</v>
      </c>
      <c r="L156" s="56">
        <v>46.286</v>
      </c>
      <c r="M156" s="56">
        <v>13.657</v>
      </c>
      <c r="N156" s="56">
        <v>7.135</v>
      </c>
      <c r="O156" s="56">
        <v>4.515</v>
      </c>
      <c r="P156" s="56">
        <v>0.32</v>
      </c>
      <c r="Q156" s="50">
        <v>608.7</v>
      </c>
      <c r="R156" s="50">
        <v>760.2</v>
      </c>
      <c r="S156" s="50">
        <v>963.1</v>
      </c>
      <c r="T156" s="51">
        <v>2332</v>
      </c>
      <c r="U156" s="56">
        <v>4.5</v>
      </c>
      <c r="V156" s="56">
        <v>5.8</v>
      </c>
      <c r="W156" s="56">
        <v>141.8</v>
      </c>
      <c r="X156" s="56">
        <v>9.3</v>
      </c>
      <c r="Y156" s="56">
        <v>90.4</v>
      </c>
      <c r="Z156" s="56">
        <v>20.3</v>
      </c>
      <c r="AA156" s="56">
        <v>5.6</v>
      </c>
      <c r="AB156" s="56">
        <v>17.3</v>
      </c>
      <c r="AC156" s="56">
        <v>4.3</v>
      </c>
      <c r="AD156" s="56">
        <v>13</v>
      </c>
      <c r="AE156" s="56">
        <v>6.7</v>
      </c>
      <c r="AF156" s="56">
        <v>5.4</v>
      </c>
      <c r="AG156" s="56">
        <v>6.2</v>
      </c>
      <c r="AH156" s="56">
        <v>7.1</v>
      </c>
      <c r="AI156" s="56">
        <v>1</v>
      </c>
      <c r="AJ156" s="56">
        <v>52</v>
      </c>
      <c r="AK156" s="56">
        <v>24.8</v>
      </c>
      <c r="AL156" s="56">
        <v>4.2</v>
      </c>
      <c r="AM156" s="56">
        <v>52</v>
      </c>
      <c r="AN156" s="56">
        <v>957.304</v>
      </c>
      <c r="AO156" s="56">
        <v>1844.133</v>
      </c>
      <c r="AP156" s="56">
        <v>2801.437</v>
      </c>
      <c r="AQ156" s="56">
        <v>591.618</v>
      </c>
      <c r="AR156" s="56">
        <v>1215.422</v>
      </c>
      <c r="AS156" s="56">
        <v>1807.04</v>
      </c>
    </row>
    <row r="157" spans="1:45">
      <c r="A157" s="54">
        <v>2017</v>
      </c>
      <c r="B157" s="54">
        <v>360000</v>
      </c>
      <c r="C157" s="55" t="s">
        <v>66</v>
      </c>
      <c r="D157" s="49">
        <v>0</v>
      </c>
      <c r="E157" s="49">
        <v>0</v>
      </c>
      <c r="F157" s="49">
        <v>1</v>
      </c>
      <c r="G157" s="49">
        <v>0</v>
      </c>
      <c r="H157" s="56">
        <v>56.362</v>
      </c>
      <c r="I157" s="56">
        <v>43.638</v>
      </c>
      <c r="J157" s="56">
        <v>1.948</v>
      </c>
      <c r="K157" s="56">
        <v>19.865</v>
      </c>
      <c r="L157" s="56">
        <v>47.656</v>
      </c>
      <c r="M157" s="56">
        <v>14.044</v>
      </c>
      <c r="N157" s="56">
        <v>6.373</v>
      </c>
      <c r="O157" s="56">
        <v>4.723</v>
      </c>
      <c r="P157" s="56">
        <v>0.26</v>
      </c>
      <c r="Q157" s="50">
        <v>572.3</v>
      </c>
      <c r="R157" s="50">
        <v>762.3</v>
      </c>
      <c r="S157" s="50">
        <v>982.4</v>
      </c>
      <c r="T157" s="51">
        <v>2317</v>
      </c>
      <c r="U157" s="56">
        <v>4.3</v>
      </c>
      <c r="V157" s="56">
        <v>4.6</v>
      </c>
      <c r="W157" s="56">
        <v>131</v>
      </c>
      <c r="X157" s="56">
        <v>9.2</v>
      </c>
      <c r="Y157" s="56">
        <v>87.7</v>
      </c>
      <c r="Z157" s="56">
        <v>20.5</v>
      </c>
      <c r="AA157" s="56">
        <v>6.3</v>
      </c>
      <c r="AB157" s="56">
        <v>17.8</v>
      </c>
      <c r="AC157" s="56">
        <v>4.2</v>
      </c>
      <c r="AD157" s="56">
        <v>13.3</v>
      </c>
      <c r="AE157" s="56">
        <v>7.1</v>
      </c>
      <c r="AF157" s="56">
        <v>6.5</v>
      </c>
      <c r="AG157" s="56">
        <v>6.2</v>
      </c>
      <c r="AH157" s="56">
        <v>7.7</v>
      </c>
      <c r="AI157" s="56">
        <v>1.1</v>
      </c>
      <c r="AJ157" s="56">
        <v>53.4</v>
      </c>
      <c r="AK157" s="56">
        <v>25.9</v>
      </c>
      <c r="AL157" s="56">
        <v>3.4</v>
      </c>
      <c r="AM157" s="56">
        <v>53.4</v>
      </c>
      <c r="AN157" s="56">
        <v>1005.245</v>
      </c>
      <c r="AO157" s="56">
        <v>1870.049</v>
      </c>
      <c r="AP157" s="56">
        <v>2875.294</v>
      </c>
      <c r="AQ157" s="56">
        <v>558.701</v>
      </c>
      <c r="AR157" s="56">
        <v>4203.686</v>
      </c>
      <c r="AS157" s="56">
        <v>4762.387</v>
      </c>
    </row>
    <row r="158" spans="1:45">
      <c r="A158" s="54">
        <v>2018</v>
      </c>
      <c r="B158" s="54">
        <v>360000</v>
      </c>
      <c r="C158" s="55" t="s">
        <v>66</v>
      </c>
      <c r="D158" s="56">
        <v>0</v>
      </c>
      <c r="E158" s="56">
        <v>0</v>
      </c>
      <c r="F158" s="56">
        <v>1</v>
      </c>
      <c r="G158" s="56">
        <v>0</v>
      </c>
      <c r="H158" s="56">
        <v>56.115</v>
      </c>
      <c r="I158" s="56">
        <v>43.885</v>
      </c>
      <c r="J158" s="56">
        <v>1.941</v>
      </c>
      <c r="K158" s="56">
        <v>18.825</v>
      </c>
      <c r="L158" s="56">
        <v>46.94</v>
      </c>
      <c r="M158" s="56">
        <v>14.267</v>
      </c>
      <c r="N158" s="56">
        <v>6.906</v>
      </c>
      <c r="O158" s="56">
        <v>5.385</v>
      </c>
      <c r="P158" s="56">
        <v>0.392</v>
      </c>
      <c r="Q158" s="50">
        <v>527.9</v>
      </c>
      <c r="R158" s="50">
        <v>764.2</v>
      </c>
      <c r="S158" s="50">
        <v>1002.9</v>
      </c>
      <c r="T158" s="51">
        <v>2295</v>
      </c>
      <c r="U158" s="56">
        <v>3.8</v>
      </c>
      <c r="V158" s="56">
        <v>3.1</v>
      </c>
      <c r="W158" s="56">
        <v>106.5</v>
      </c>
      <c r="X158" s="56">
        <v>9</v>
      </c>
      <c r="Y158" s="56">
        <v>87</v>
      </c>
      <c r="Z158" s="56">
        <v>19</v>
      </c>
      <c r="AA158" s="56">
        <v>5.5</v>
      </c>
      <c r="AB158" s="56">
        <v>15.2</v>
      </c>
      <c r="AC158" s="56">
        <v>3.3</v>
      </c>
      <c r="AD158" s="56">
        <v>14.4</v>
      </c>
      <c r="AE158" s="56">
        <v>8</v>
      </c>
      <c r="AF158" s="56">
        <v>5.8</v>
      </c>
      <c r="AG158" s="56">
        <v>6.1</v>
      </c>
      <c r="AH158" s="56">
        <v>5.8</v>
      </c>
      <c r="AI158" s="56">
        <v>0.7</v>
      </c>
      <c r="AJ158" s="56">
        <v>55.6</v>
      </c>
      <c r="AK158" s="56">
        <v>26.1</v>
      </c>
      <c r="AL158" s="56">
        <v>2.9</v>
      </c>
      <c r="AM158" s="56">
        <v>57.9</v>
      </c>
      <c r="AN158" s="56">
        <v>1052.821</v>
      </c>
      <c r="AO158" s="56">
        <v>1884.127</v>
      </c>
      <c r="AP158" s="56">
        <v>2936.948</v>
      </c>
      <c r="AQ158" s="56">
        <v>573.731</v>
      </c>
      <c r="AR158" s="56">
        <v>4223.742</v>
      </c>
      <c r="AS158" s="56">
        <v>4797.473</v>
      </c>
    </row>
    <row r="159" spans="1:45">
      <c r="A159" s="54">
        <v>2019</v>
      </c>
      <c r="B159" s="54">
        <v>360000</v>
      </c>
      <c r="C159" s="55" t="s">
        <v>66</v>
      </c>
      <c r="D159" s="49">
        <v>0</v>
      </c>
      <c r="E159" s="49">
        <v>0</v>
      </c>
      <c r="F159" s="56">
        <v>1</v>
      </c>
      <c r="G159" s="49">
        <v>0</v>
      </c>
      <c r="H159" s="56">
        <v>56.8</v>
      </c>
      <c r="I159" s="56">
        <v>43.2</v>
      </c>
      <c r="J159" s="56">
        <v>1.9</v>
      </c>
      <c r="K159" s="56">
        <v>18.6</v>
      </c>
      <c r="L159" s="56">
        <v>45.2</v>
      </c>
      <c r="M159" s="56">
        <v>18</v>
      </c>
      <c r="N159" s="56">
        <v>9.6</v>
      </c>
      <c r="O159" s="56">
        <v>6.2</v>
      </c>
      <c r="P159" s="56">
        <v>0.5</v>
      </c>
      <c r="Q159" s="50">
        <v>489.8</v>
      </c>
      <c r="R159" s="50">
        <v>765.4</v>
      </c>
      <c r="S159" s="50">
        <v>1022.8</v>
      </c>
      <c r="T159" s="51">
        <v>2278</v>
      </c>
      <c r="U159" s="56">
        <v>2.1</v>
      </c>
      <c r="V159" s="56">
        <v>3</v>
      </c>
      <c r="W159" s="56">
        <v>107.5</v>
      </c>
      <c r="X159" s="56">
        <v>9.4</v>
      </c>
      <c r="Y159" s="56">
        <v>83.4</v>
      </c>
      <c r="Z159" s="56">
        <v>18.3</v>
      </c>
      <c r="AA159" s="56">
        <v>5.5</v>
      </c>
      <c r="AB159" s="56">
        <v>16</v>
      </c>
      <c r="AC159" s="56">
        <v>3.6</v>
      </c>
      <c r="AD159" s="56">
        <v>20.2</v>
      </c>
      <c r="AE159" s="56">
        <v>9.4</v>
      </c>
      <c r="AF159" s="56">
        <v>7.3</v>
      </c>
      <c r="AG159" s="56">
        <v>6.4</v>
      </c>
      <c r="AH159" s="56">
        <v>5.1</v>
      </c>
      <c r="AI159" s="56">
        <v>0.9</v>
      </c>
      <c r="AJ159" s="56">
        <v>60.1</v>
      </c>
      <c r="AK159" s="56">
        <v>28</v>
      </c>
      <c r="AL159" s="56">
        <v>3</v>
      </c>
      <c r="AM159" s="56">
        <v>62.6</v>
      </c>
      <c r="AN159" s="56">
        <v>1096.9</v>
      </c>
      <c r="AO159" s="56">
        <v>1888.9</v>
      </c>
      <c r="AP159" s="56">
        <v>2985.8</v>
      </c>
      <c r="AQ159" s="56">
        <v>579</v>
      </c>
      <c r="AR159" s="56">
        <v>4203.4</v>
      </c>
      <c r="AS159" s="56">
        <v>4782.4</v>
      </c>
    </row>
    <row r="160" spans="1:45">
      <c r="A160" s="54">
        <v>2020</v>
      </c>
      <c r="B160" s="54">
        <v>360000</v>
      </c>
      <c r="C160" s="55" t="s">
        <v>66</v>
      </c>
      <c r="D160" s="56">
        <v>0</v>
      </c>
      <c r="E160" s="56">
        <v>0</v>
      </c>
      <c r="F160" s="56">
        <v>1</v>
      </c>
      <c r="G160" s="56">
        <v>0</v>
      </c>
      <c r="H160" s="56">
        <v>56.3</v>
      </c>
      <c r="I160" s="56">
        <v>43.7</v>
      </c>
      <c r="J160" s="56">
        <v>2.2</v>
      </c>
      <c r="K160" s="56">
        <v>20.5</v>
      </c>
      <c r="L160" s="56">
        <v>44.5</v>
      </c>
      <c r="M160" s="56">
        <v>16.1</v>
      </c>
      <c r="N160" s="56">
        <v>9.1</v>
      </c>
      <c r="O160" s="56">
        <v>7</v>
      </c>
      <c r="P160" s="56">
        <v>0.5</v>
      </c>
      <c r="Q160" s="50">
        <v>455</v>
      </c>
      <c r="R160" s="50">
        <v>767</v>
      </c>
      <c r="S160" s="50">
        <v>1042</v>
      </c>
      <c r="T160" s="51">
        <v>2264</v>
      </c>
      <c r="U160" s="56">
        <v>2.5</v>
      </c>
      <c r="V160" s="56">
        <v>2.9</v>
      </c>
      <c r="W160" s="56">
        <v>108.7</v>
      </c>
      <c r="X160" s="56">
        <v>9.6</v>
      </c>
      <c r="Y160" s="56">
        <v>79.5</v>
      </c>
      <c r="Z160" s="56">
        <v>18.6</v>
      </c>
      <c r="AA160" s="56">
        <v>5.5</v>
      </c>
      <c r="AB160" s="56">
        <v>16</v>
      </c>
      <c r="AC160" s="56">
        <v>3.7</v>
      </c>
      <c r="AD160" s="56">
        <v>18</v>
      </c>
      <c r="AE160" s="56">
        <v>9.9</v>
      </c>
      <c r="AF160" s="56">
        <v>7.4</v>
      </c>
      <c r="AG160" s="56">
        <v>7.1</v>
      </c>
      <c r="AH160" s="56">
        <v>5.7</v>
      </c>
      <c r="AI160" s="56">
        <v>1</v>
      </c>
      <c r="AJ160" s="56">
        <v>61.6</v>
      </c>
      <c r="AK160" s="56">
        <v>28.4</v>
      </c>
      <c r="AL160" s="56">
        <v>3.3</v>
      </c>
      <c r="AM160" s="56">
        <v>62.2</v>
      </c>
      <c r="AN160" s="56">
        <v>1167.4</v>
      </c>
      <c r="AO160" s="56">
        <v>2078</v>
      </c>
      <c r="AP160" s="56">
        <v>3245.4</v>
      </c>
      <c r="AQ160" s="56">
        <v>599</v>
      </c>
      <c r="AR160" s="56">
        <v>4180.9</v>
      </c>
      <c r="AS160" s="56">
        <v>4780</v>
      </c>
    </row>
    <row r="161" spans="1:45">
      <c r="A161" s="54">
        <v>2021</v>
      </c>
      <c r="B161" s="54">
        <v>360000</v>
      </c>
      <c r="C161" s="55" t="s">
        <v>66</v>
      </c>
      <c r="D161" s="49">
        <v>0</v>
      </c>
      <c r="E161" s="49">
        <v>0</v>
      </c>
      <c r="F161" s="49">
        <v>1</v>
      </c>
      <c r="G161" s="49">
        <v>0</v>
      </c>
      <c r="H161" s="56">
        <v>56.955</v>
      </c>
      <c r="I161" s="56">
        <v>43.045</v>
      </c>
      <c r="J161" s="56">
        <v>1.918</v>
      </c>
      <c r="K161" s="56">
        <v>18.698</v>
      </c>
      <c r="L161" s="56">
        <v>43.267</v>
      </c>
      <c r="M161" s="56">
        <v>18.199</v>
      </c>
      <c r="N161" s="56">
        <v>9.562</v>
      </c>
      <c r="O161" s="56">
        <v>7.645</v>
      </c>
      <c r="P161" s="56">
        <v>0.712</v>
      </c>
      <c r="Q161" s="50">
        <v>424</v>
      </c>
      <c r="R161" s="50">
        <v>773</v>
      </c>
      <c r="S161" s="50">
        <v>1045</v>
      </c>
      <c r="T161" s="51">
        <v>2242</v>
      </c>
      <c r="U161" s="56">
        <v>2.8</v>
      </c>
      <c r="V161" s="56">
        <v>2.5</v>
      </c>
      <c r="W161" s="56">
        <v>101.2</v>
      </c>
      <c r="X161" s="56">
        <v>9.5</v>
      </c>
      <c r="Y161" s="56">
        <v>79.4</v>
      </c>
      <c r="Z161" s="56">
        <v>17.9</v>
      </c>
      <c r="AA161" s="56">
        <v>5.7</v>
      </c>
      <c r="AB161" s="56">
        <v>17.5</v>
      </c>
      <c r="AC161" s="56">
        <v>4.2</v>
      </c>
      <c r="AD161" s="56">
        <v>16.8</v>
      </c>
      <c r="AE161" s="56">
        <v>9.5</v>
      </c>
      <c r="AF161" s="56">
        <v>8.3</v>
      </c>
      <c r="AG161" s="56">
        <v>7.1</v>
      </c>
      <c r="AH161" s="56">
        <v>5.9</v>
      </c>
      <c r="AI161" s="56">
        <v>1.2</v>
      </c>
      <c r="AJ161" s="56">
        <v>62.8</v>
      </c>
      <c r="AK161" s="56">
        <v>29.5</v>
      </c>
      <c r="AL161" s="56">
        <v>3.2</v>
      </c>
      <c r="AM161" s="56">
        <v>63.1</v>
      </c>
      <c r="AN161" s="56">
        <v>1246.898</v>
      </c>
      <c r="AO161" s="56">
        <v>2074.311</v>
      </c>
      <c r="AP161" s="56">
        <v>3321.209</v>
      </c>
      <c r="AQ161" s="56">
        <v>610.142</v>
      </c>
      <c r="AR161" s="56">
        <v>4079.002</v>
      </c>
      <c r="AS161" s="56">
        <v>4689.144</v>
      </c>
    </row>
    <row r="162" spans="1:45">
      <c r="A162" s="54">
        <v>2022</v>
      </c>
      <c r="B162" s="54">
        <v>360000</v>
      </c>
      <c r="C162" s="55" t="s">
        <v>66</v>
      </c>
      <c r="D162" s="56">
        <v>0</v>
      </c>
      <c r="E162" s="56">
        <v>0</v>
      </c>
      <c r="F162" s="56">
        <v>1</v>
      </c>
      <c r="G162" s="56">
        <v>0</v>
      </c>
      <c r="H162" s="56">
        <v>56.835</v>
      </c>
      <c r="I162" s="56">
        <v>43.165</v>
      </c>
      <c r="J162" s="56">
        <v>1.893</v>
      </c>
      <c r="K162" s="56">
        <v>21.601</v>
      </c>
      <c r="L162" s="56">
        <v>41.178</v>
      </c>
      <c r="M162" s="56">
        <v>16.768</v>
      </c>
      <c r="N162" s="56">
        <v>9.67</v>
      </c>
      <c r="O162" s="56">
        <v>8.249</v>
      </c>
      <c r="P162" s="56">
        <v>0.642</v>
      </c>
      <c r="Q162" s="50">
        <v>403</v>
      </c>
      <c r="R162" s="50">
        <v>761</v>
      </c>
      <c r="S162" s="50">
        <v>1029</v>
      </c>
      <c r="T162" s="51">
        <v>2193</v>
      </c>
      <c r="U162" s="56">
        <v>1.6</v>
      </c>
      <c r="V162" s="56">
        <v>2.6</v>
      </c>
      <c r="W162" s="56">
        <v>100.2</v>
      </c>
      <c r="X162" s="56">
        <v>9.6</v>
      </c>
      <c r="Y162" s="56">
        <v>69.3</v>
      </c>
      <c r="Z162" s="56">
        <v>17.2</v>
      </c>
      <c r="AA162" s="56">
        <v>5.7</v>
      </c>
      <c r="AB162" s="56">
        <v>17.5</v>
      </c>
      <c r="AC162" s="56">
        <v>4.4</v>
      </c>
      <c r="AD162" s="56">
        <v>15.7</v>
      </c>
      <c r="AE162" s="56">
        <v>9</v>
      </c>
      <c r="AF162" s="56">
        <v>8.2</v>
      </c>
      <c r="AG162" s="56">
        <v>7.4</v>
      </c>
      <c r="AH162" s="56">
        <v>7</v>
      </c>
      <c r="AI162" s="56">
        <v>1.3</v>
      </c>
      <c r="AJ162" s="56">
        <v>64</v>
      </c>
      <c r="AK162" s="56">
        <v>29.5</v>
      </c>
      <c r="AL162" s="56">
        <v>3.2</v>
      </c>
      <c r="AM162" s="56">
        <v>63.4</v>
      </c>
      <c r="AN162" s="56">
        <v>1361.98</v>
      </c>
      <c r="AO162" s="56">
        <v>2081.047</v>
      </c>
      <c r="AP162" s="56">
        <v>3443.027</v>
      </c>
      <c r="AQ162" s="56">
        <v>646.055</v>
      </c>
      <c r="AR162" s="56">
        <v>4002.174</v>
      </c>
      <c r="AS162" s="56">
        <v>4648.229</v>
      </c>
    </row>
    <row r="163" spans="1:45">
      <c r="A163" s="54">
        <v>2013</v>
      </c>
      <c r="B163" s="54">
        <v>210000</v>
      </c>
      <c r="C163" s="55" t="s">
        <v>67</v>
      </c>
      <c r="D163" s="49">
        <v>0</v>
      </c>
      <c r="E163" s="49">
        <v>0</v>
      </c>
      <c r="F163" s="49">
        <v>0</v>
      </c>
      <c r="G163" s="56">
        <v>1</v>
      </c>
      <c r="J163" s="56">
        <v>0.307</v>
      </c>
      <c r="K163" s="56">
        <v>13.526</v>
      </c>
      <c r="L163" s="56">
        <v>55.965</v>
      </c>
      <c r="M163" s="56">
        <v>14.672</v>
      </c>
      <c r="N163" s="56">
        <v>9.254</v>
      </c>
      <c r="O163" s="56">
        <v>5.96</v>
      </c>
      <c r="P163" s="56">
        <v>0.316</v>
      </c>
      <c r="Q163" s="50">
        <v>683.8023</v>
      </c>
      <c r="R163" s="50">
        <v>724.1884</v>
      </c>
      <c r="S163" s="50">
        <v>1110.8849</v>
      </c>
      <c r="T163" s="51">
        <v>2518.8756</v>
      </c>
      <c r="U163" s="56">
        <v>23.3</v>
      </c>
      <c r="V163" s="56">
        <v>34</v>
      </c>
      <c r="W163" s="56">
        <v>179.5</v>
      </c>
      <c r="X163" s="56">
        <v>16.5</v>
      </c>
      <c r="Y163" s="56">
        <v>112.1</v>
      </c>
      <c r="Z163" s="56">
        <v>37.7</v>
      </c>
      <c r="AA163" s="56">
        <v>12.7</v>
      </c>
      <c r="AB163" s="56">
        <v>27.7</v>
      </c>
      <c r="AC163" s="56">
        <v>8.1</v>
      </c>
      <c r="AD163" s="56">
        <v>23.2</v>
      </c>
      <c r="AE163" s="56">
        <v>14</v>
      </c>
      <c r="AF163" s="56">
        <v>13.3</v>
      </c>
      <c r="AG163" s="56">
        <v>16.9</v>
      </c>
      <c r="AH163" s="56">
        <v>15.9</v>
      </c>
      <c r="AI163" s="56">
        <v>2.8</v>
      </c>
      <c r="AJ163" s="56">
        <v>59.1</v>
      </c>
      <c r="AK163" s="56">
        <v>33.4</v>
      </c>
      <c r="AL163" s="56">
        <v>5.5</v>
      </c>
      <c r="AM163" s="56">
        <v>53.5</v>
      </c>
      <c r="AN163" s="56">
        <v>1729.471</v>
      </c>
      <c r="AO163" s="56">
        <v>1046.853</v>
      </c>
      <c r="AP163" s="56">
        <v>2776.324</v>
      </c>
      <c r="AQ163" s="56">
        <v>1624.792</v>
      </c>
      <c r="AR163" s="56">
        <v>708.464</v>
      </c>
      <c r="AS163" s="56">
        <v>2333.256</v>
      </c>
    </row>
    <row r="164" spans="1:45">
      <c r="A164" s="54">
        <v>2014</v>
      </c>
      <c r="B164" s="54">
        <v>210000</v>
      </c>
      <c r="C164" s="55" t="s">
        <v>67</v>
      </c>
      <c r="D164" s="56">
        <v>0</v>
      </c>
      <c r="E164" s="56">
        <v>0</v>
      </c>
      <c r="F164" s="56">
        <v>0</v>
      </c>
      <c r="G164" s="49">
        <v>1</v>
      </c>
      <c r="H164" s="56">
        <v>55.9</v>
      </c>
      <c r="I164" s="56">
        <v>44.1</v>
      </c>
      <c r="J164" s="56">
        <v>0.4</v>
      </c>
      <c r="K164" s="56">
        <v>12.5</v>
      </c>
      <c r="L164" s="56">
        <v>55.5</v>
      </c>
      <c r="M164" s="56">
        <v>14.9</v>
      </c>
      <c r="N164" s="56">
        <v>9.2</v>
      </c>
      <c r="O164" s="56">
        <v>7</v>
      </c>
      <c r="P164" s="56">
        <v>0.5</v>
      </c>
      <c r="Q164" s="50">
        <v>687.8636</v>
      </c>
      <c r="R164" s="50">
        <v>710.509</v>
      </c>
      <c r="S164" s="50">
        <v>1163.8611</v>
      </c>
      <c r="T164" s="51">
        <v>2562.2337</v>
      </c>
      <c r="U164" s="56">
        <v>23.1</v>
      </c>
      <c r="V164" s="56">
        <v>31.3</v>
      </c>
      <c r="W164" s="56">
        <v>166.9</v>
      </c>
      <c r="X164" s="56">
        <v>15.9</v>
      </c>
      <c r="Y164" s="56">
        <v>102.3</v>
      </c>
      <c r="Z164" s="56">
        <v>37.6</v>
      </c>
      <c r="AA164" s="56">
        <v>13</v>
      </c>
      <c r="AB164" s="56">
        <v>26.7</v>
      </c>
      <c r="AC164" s="56">
        <v>7.4</v>
      </c>
      <c r="AD164" s="56">
        <v>24.4</v>
      </c>
      <c r="AE164" s="56">
        <v>14.5</v>
      </c>
      <c r="AF164" s="56">
        <v>12.8</v>
      </c>
      <c r="AG164" s="56">
        <v>16.9</v>
      </c>
      <c r="AH164" s="56">
        <v>16.1</v>
      </c>
      <c r="AI164" s="56">
        <v>2.8</v>
      </c>
      <c r="AJ164" s="56">
        <v>59.9</v>
      </c>
      <c r="AK164" s="56">
        <v>34.5</v>
      </c>
      <c r="AL164" s="56">
        <v>5.3</v>
      </c>
      <c r="AM164" s="56">
        <v>53.8</v>
      </c>
      <c r="AN164" s="56">
        <v>1769.2</v>
      </c>
      <c r="AO164" s="56">
        <v>1032</v>
      </c>
      <c r="AP164" s="56">
        <v>2801.2</v>
      </c>
      <c r="AQ164" s="56">
        <v>1649.2</v>
      </c>
      <c r="AR164" s="56">
        <v>738</v>
      </c>
      <c r="AS164" s="56">
        <v>2387.2</v>
      </c>
    </row>
    <row r="165" spans="1:45">
      <c r="A165" s="54">
        <v>2015</v>
      </c>
      <c r="B165" s="54">
        <v>210000</v>
      </c>
      <c r="C165" s="55" t="s">
        <v>67</v>
      </c>
      <c r="D165" s="49">
        <v>0</v>
      </c>
      <c r="E165" s="49">
        <v>0</v>
      </c>
      <c r="F165" s="49">
        <v>0</v>
      </c>
      <c r="G165" s="56">
        <v>1</v>
      </c>
      <c r="H165" s="56">
        <v>58.125</v>
      </c>
      <c r="I165" s="56">
        <v>41.875</v>
      </c>
      <c r="J165" s="56">
        <v>0.527</v>
      </c>
      <c r="K165" s="56">
        <v>12.705</v>
      </c>
      <c r="L165" s="56">
        <v>50.253</v>
      </c>
      <c r="M165" s="56">
        <v>10.143</v>
      </c>
      <c r="N165" s="56">
        <v>9.769</v>
      </c>
      <c r="O165" s="56">
        <v>9.29</v>
      </c>
      <c r="P165" s="56">
        <v>0.852</v>
      </c>
      <c r="Q165" s="50">
        <v>689.4195</v>
      </c>
      <c r="R165" s="50">
        <v>635.1816</v>
      </c>
      <c r="S165" s="50">
        <v>1085.2938</v>
      </c>
      <c r="T165" s="51">
        <v>2409.8949</v>
      </c>
      <c r="U165" s="56">
        <v>22.5</v>
      </c>
      <c r="V165" s="56">
        <v>28.7</v>
      </c>
      <c r="W165" s="56">
        <v>150.6</v>
      </c>
      <c r="X165" s="56">
        <v>14.6</v>
      </c>
      <c r="Y165" s="56">
        <v>83.7</v>
      </c>
      <c r="Z165" s="56">
        <v>36.1</v>
      </c>
      <c r="AA165" s="56">
        <v>13.3</v>
      </c>
      <c r="AB165" s="56">
        <v>25.8</v>
      </c>
      <c r="AC165" s="56">
        <v>6.8</v>
      </c>
      <c r="AD165" s="56">
        <v>26</v>
      </c>
      <c r="AE165" s="56">
        <v>13.3</v>
      </c>
      <c r="AF165" s="56">
        <v>11.8</v>
      </c>
      <c r="AG165" s="56">
        <v>15.9</v>
      </c>
      <c r="AH165" s="56">
        <v>15.9</v>
      </c>
      <c r="AI165" s="56">
        <v>2.6</v>
      </c>
      <c r="AJ165" s="56">
        <v>58</v>
      </c>
      <c r="AK165" s="56">
        <v>33.7</v>
      </c>
      <c r="AL165" s="56">
        <v>5.1</v>
      </c>
      <c r="AM165" s="56">
        <v>54.1</v>
      </c>
      <c r="AN165" s="56">
        <v>1780.16</v>
      </c>
      <c r="AO165" s="56">
        <v>1034.673</v>
      </c>
      <c r="AP165" s="56">
        <v>2814.833</v>
      </c>
      <c r="AQ165" s="56">
        <v>1651.409</v>
      </c>
      <c r="AR165" s="56">
        <v>744.829</v>
      </c>
      <c r="AS165" s="56">
        <v>2396.238</v>
      </c>
    </row>
    <row r="166" spans="1:45">
      <c r="A166" s="54">
        <v>2016</v>
      </c>
      <c r="B166" s="54">
        <v>210000</v>
      </c>
      <c r="C166" s="55" t="s">
        <v>67</v>
      </c>
      <c r="D166" s="56">
        <v>0</v>
      </c>
      <c r="E166" s="56">
        <v>0</v>
      </c>
      <c r="F166" s="56">
        <v>0</v>
      </c>
      <c r="G166" s="56">
        <v>1</v>
      </c>
      <c r="H166" s="56">
        <v>57.429</v>
      </c>
      <c r="I166" s="56">
        <v>42.571</v>
      </c>
      <c r="J166" s="56">
        <v>0.511</v>
      </c>
      <c r="K166" s="56">
        <v>12.6</v>
      </c>
      <c r="L166" s="56">
        <v>49.744</v>
      </c>
      <c r="M166" s="56">
        <v>9.589</v>
      </c>
      <c r="N166" s="56">
        <v>10.372</v>
      </c>
      <c r="O166" s="56">
        <v>9.516</v>
      </c>
      <c r="P166" s="56">
        <v>0.766</v>
      </c>
      <c r="Q166" s="50">
        <v>705.4145</v>
      </c>
      <c r="R166" s="50">
        <v>572.6306</v>
      </c>
      <c r="S166" s="50">
        <v>1023.1107</v>
      </c>
      <c r="T166" s="51">
        <v>2301.1558</v>
      </c>
      <c r="U166" s="56">
        <v>22.7</v>
      </c>
      <c r="V166" s="56">
        <v>24.7</v>
      </c>
      <c r="W166" s="56">
        <v>131.7</v>
      </c>
      <c r="X166" s="56">
        <v>14.7</v>
      </c>
      <c r="Y166" s="56">
        <v>64.6</v>
      </c>
      <c r="Z166" s="56">
        <v>35.2</v>
      </c>
      <c r="AA166" s="56">
        <v>12.6</v>
      </c>
      <c r="AB166" s="56">
        <v>22.6</v>
      </c>
      <c r="AC166" s="56">
        <v>6.2</v>
      </c>
      <c r="AD166" s="56">
        <v>27</v>
      </c>
      <c r="AE166" s="56">
        <v>12</v>
      </c>
      <c r="AF166" s="56">
        <v>11.9</v>
      </c>
      <c r="AG166" s="56">
        <v>13.8</v>
      </c>
      <c r="AH166" s="56">
        <v>14.4</v>
      </c>
      <c r="AI166" s="56">
        <v>2.4</v>
      </c>
      <c r="AJ166" s="56">
        <v>53.7</v>
      </c>
      <c r="AK166" s="56">
        <v>31.3</v>
      </c>
      <c r="AL166" s="56">
        <v>5</v>
      </c>
      <c r="AM166" s="56">
        <v>53.8</v>
      </c>
      <c r="AN166" s="56">
        <v>1800.298</v>
      </c>
      <c r="AO166" s="56">
        <v>1039.636</v>
      </c>
      <c r="AP166" s="56">
        <v>2839.934</v>
      </c>
      <c r="AQ166" s="56">
        <v>1635.625</v>
      </c>
      <c r="AR166" s="56">
        <v>740.386</v>
      </c>
      <c r="AS166" s="56">
        <v>2376.011</v>
      </c>
    </row>
    <row r="167" spans="1:45">
      <c r="A167" s="54">
        <v>2017</v>
      </c>
      <c r="B167" s="54">
        <v>210000</v>
      </c>
      <c r="C167" s="55" t="s">
        <v>67</v>
      </c>
      <c r="D167" s="49">
        <v>0</v>
      </c>
      <c r="E167" s="49">
        <v>0</v>
      </c>
      <c r="F167" s="49">
        <v>0</v>
      </c>
      <c r="G167" s="49">
        <v>1</v>
      </c>
      <c r="H167" s="56">
        <v>55.862</v>
      </c>
      <c r="I167" s="56">
        <v>44.138</v>
      </c>
      <c r="J167" s="56">
        <v>0.429</v>
      </c>
      <c r="K167" s="56">
        <v>11.201</v>
      </c>
      <c r="L167" s="56">
        <v>51.328</v>
      </c>
      <c r="M167" s="56">
        <v>9.916</v>
      </c>
      <c r="N167" s="56">
        <v>9.99</v>
      </c>
      <c r="O167" s="56">
        <v>9.889</v>
      </c>
      <c r="P167" s="56">
        <v>0.91</v>
      </c>
      <c r="Q167" s="50">
        <v>714.751</v>
      </c>
      <c r="R167" s="50">
        <v>560.1292</v>
      </c>
      <c r="S167" s="50">
        <v>1009.7751</v>
      </c>
      <c r="T167" s="51">
        <v>2284.6553</v>
      </c>
      <c r="U167" s="56">
        <v>21.5</v>
      </c>
      <c r="V167" s="56">
        <v>23.7</v>
      </c>
      <c r="W167" s="56">
        <v>117.8</v>
      </c>
      <c r="X167" s="56">
        <v>14</v>
      </c>
      <c r="Y167" s="56">
        <v>50.2</v>
      </c>
      <c r="Z167" s="56">
        <v>35.6</v>
      </c>
      <c r="AA167" s="56">
        <v>12.9</v>
      </c>
      <c r="AB167" s="56">
        <v>20.4</v>
      </c>
      <c r="AC167" s="56">
        <v>5.8</v>
      </c>
      <c r="AD167" s="56">
        <v>28.3</v>
      </c>
      <c r="AE167" s="56">
        <v>10.4</v>
      </c>
      <c r="AF167" s="56">
        <v>11.5</v>
      </c>
      <c r="AG167" s="56">
        <v>12.1</v>
      </c>
      <c r="AH167" s="56">
        <v>13.2</v>
      </c>
      <c r="AI167" s="56">
        <v>2.3</v>
      </c>
      <c r="AJ167" s="56">
        <v>50.3</v>
      </c>
      <c r="AK167" s="56">
        <v>30.7</v>
      </c>
      <c r="AL167" s="56">
        <v>4.7</v>
      </c>
      <c r="AM167" s="56">
        <v>54.3</v>
      </c>
      <c r="AN167" s="56">
        <v>1949.807</v>
      </c>
      <c r="AO167" s="56">
        <v>1036.176</v>
      </c>
      <c r="AP167" s="56">
        <v>2985.982</v>
      </c>
      <c r="AQ167" s="56">
        <v>1575.911</v>
      </c>
      <c r="AR167" s="56">
        <v>701.6</v>
      </c>
      <c r="AS167" s="56">
        <v>2277.511</v>
      </c>
    </row>
    <row r="168" spans="1:45">
      <c r="A168" s="54">
        <v>2018</v>
      </c>
      <c r="B168" s="54">
        <v>210000</v>
      </c>
      <c r="C168" s="55" t="s">
        <v>67</v>
      </c>
      <c r="D168" s="56">
        <v>0</v>
      </c>
      <c r="E168" s="56">
        <v>0</v>
      </c>
      <c r="F168" s="56">
        <v>0</v>
      </c>
      <c r="G168" s="56">
        <v>1</v>
      </c>
      <c r="H168" s="56">
        <v>55.469</v>
      </c>
      <c r="I168" s="56">
        <v>44.531</v>
      </c>
      <c r="J168" s="56">
        <v>0.486</v>
      </c>
      <c r="K168" s="56">
        <v>11.459</v>
      </c>
      <c r="L168" s="56">
        <v>52.046</v>
      </c>
      <c r="M168" s="56">
        <v>9.356</v>
      </c>
      <c r="N168" s="56">
        <v>9.844</v>
      </c>
      <c r="O168" s="56">
        <v>9.623</v>
      </c>
      <c r="P168" s="56">
        <v>0.927</v>
      </c>
      <c r="Q168" s="50">
        <v>711.8</v>
      </c>
      <c r="R168" s="50">
        <v>534</v>
      </c>
      <c r="S168" s="50">
        <v>1014.8</v>
      </c>
      <c r="T168" s="51">
        <v>2260.6</v>
      </c>
      <c r="U168" s="56">
        <v>19.5</v>
      </c>
      <c r="V168" s="56">
        <v>21.6</v>
      </c>
      <c r="W168" s="56">
        <v>112.1</v>
      </c>
      <c r="X168" s="56">
        <v>16.3</v>
      </c>
      <c r="Y168" s="56">
        <v>37.8</v>
      </c>
      <c r="Z168" s="56">
        <v>33</v>
      </c>
      <c r="AA168" s="56">
        <v>12.8</v>
      </c>
      <c r="AB168" s="56">
        <v>20.2</v>
      </c>
      <c r="AC168" s="56">
        <v>5.6</v>
      </c>
      <c r="AD168" s="56">
        <v>28.5</v>
      </c>
      <c r="AE168" s="56">
        <v>10.5</v>
      </c>
      <c r="AF168" s="56">
        <v>12</v>
      </c>
      <c r="AG168" s="56">
        <v>10.4</v>
      </c>
      <c r="AH168" s="56">
        <v>10</v>
      </c>
      <c r="AI168" s="56">
        <v>3.3</v>
      </c>
      <c r="AJ168" s="56">
        <v>49</v>
      </c>
      <c r="AK168" s="56">
        <v>31.1</v>
      </c>
      <c r="AL168" s="56">
        <v>4.1</v>
      </c>
      <c r="AM168" s="56">
        <v>63.8</v>
      </c>
      <c r="AN168" s="56">
        <v>1994.793</v>
      </c>
      <c r="AO168" s="56">
        <v>1040.781</v>
      </c>
      <c r="AP168" s="56">
        <v>3035.574</v>
      </c>
      <c r="AQ168" s="56">
        <v>1567.881</v>
      </c>
      <c r="AR168" s="56">
        <v>2400.947</v>
      </c>
      <c r="AS168" s="56">
        <v>3968.828</v>
      </c>
    </row>
    <row r="169" spans="1:45">
      <c r="A169" s="54">
        <v>2019</v>
      </c>
      <c r="B169" s="54">
        <v>210000</v>
      </c>
      <c r="C169" s="55" t="s">
        <v>67</v>
      </c>
      <c r="D169" s="49">
        <v>0</v>
      </c>
      <c r="E169" s="49">
        <v>0</v>
      </c>
      <c r="F169" s="49">
        <v>0</v>
      </c>
      <c r="G169" s="56">
        <v>1</v>
      </c>
      <c r="H169" s="56">
        <v>56.4</v>
      </c>
      <c r="I169" s="56">
        <v>43.6</v>
      </c>
      <c r="J169" s="56">
        <v>0.4</v>
      </c>
      <c r="K169" s="56">
        <v>11.5</v>
      </c>
      <c r="L169" s="56">
        <v>48.3</v>
      </c>
      <c r="M169" s="56">
        <v>16.3</v>
      </c>
      <c r="N169" s="56">
        <v>11.2</v>
      </c>
      <c r="O169" s="56">
        <v>11.3</v>
      </c>
      <c r="P169" s="56">
        <v>1.1</v>
      </c>
      <c r="Q169" s="62"/>
      <c r="R169" s="62"/>
      <c r="S169" s="62"/>
      <c r="T169" s="63">
        <v>2238.43216</v>
      </c>
      <c r="U169" s="56">
        <v>17.2</v>
      </c>
      <c r="V169" s="56">
        <v>19.6</v>
      </c>
      <c r="W169" s="56">
        <v>110.4</v>
      </c>
      <c r="X169" s="56">
        <v>15.8</v>
      </c>
      <c r="Y169" s="56">
        <v>32.4</v>
      </c>
      <c r="Z169" s="56">
        <v>32.9</v>
      </c>
      <c r="AA169" s="56">
        <v>13.7</v>
      </c>
      <c r="AB169" s="56">
        <v>18.8</v>
      </c>
      <c r="AC169" s="56">
        <v>5.1</v>
      </c>
      <c r="AD169" s="56">
        <v>33.5</v>
      </c>
      <c r="AE169" s="56">
        <v>10.7</v>
      </c>
      <c r="AF169" s="56">
        <v>13.4</v>
      </c>
      <c r="AG169" s="56">
        <v>9.8</v>
      </c>
      <c r="AH169" s="56">
        <v>7.4</v>
      </c>
      <c r="AI169" s="56">
        <v>2.3</v>
      </c>
      <c r="AJ169" s="56">
        <v>51</v>
      </c>
      <c r="AK169" s="56">
        <v>31.5</v>
      </c>
      <c r="AL169" s="56">
        <v>4.5</v>
      </c>
      <c r="AM169" s="56">
        <v>69.9</v>
      </c>
      <c r="AN169" s="56">
        <v>2026.2</v>
      </c>
      <c r="AO169" s="56">
        <v>1057.7</v>
      </c>
      <c r="AP169" s="56">
        <v>3083.9</v>
      </c>
      <c r="AQ169" s="56">
        <v>1552.1</v>
      </c>
      <c r="AR169" s="56">
        <v>2342.6</v>
      </c>
      <c r="AS169" s="56">
        <v>3894.7</v>
      </c>
    </row>
    <row r="170" spans="1:45">
      <c r="A170" s="54">
        <v>2020</v>
      </c>
      <c r="B170" s="54">
        <v>210000</v>
      </c>
      <c r="C170" s="55" t="s">
        <v>67</v>
      </c>
      <c r="D170" s="56">
        <v>0</v>
      </c>
      <c r="E170" s="56">
        <v>0</v>
      </c>
      <c r="F170" s="56">
        <v>0</v>
      </c>
      <c r="G170" s="49">
        <v>1</v>
      </c>
      <c r="H170" s="56">
        <v>56.4</v>
      </c>
      <c r="I170" s="56">
        <v>43.6</v>
      </c>
      <c r="J170" s="56">
        <v>0.5</v>
      </c>
      <c r="K170" s="56">
        <v>12.4</v>
      </c>
      <c r="L170" s="56">
        <v>49.5</v>
      </c>
      <c r="M170" s="56">
        <v>14.3</v>
      </c>
      <c r="N170" s="56">
        <v>10.7</v>
      </c>
      <c r="O170" s="56">
        <v>11.6</v>
      </c>
      <c r="P170" s="56">
        <v>1</v>
      </c>
      <c r="Q170" s="50">
        <v>631</v>
      </c>
      <c r="R170" s="50">
        <v>496</v>
      </c>
      <c r="S170" s="50">
        <v>1104</v>
      </c>
      <c r="T170" s="51">
        <v>2231</v>
      </c>
      <c r="U170" s="56">
        <v>7.7</v>
      </c>
      <c r="V170" s="56">
        <v>18.6</v>
      </c>
      <c r="W170" s="56">
        <v>102.4</v>
      </c>
      <c r="X170" s="56">
        <v>15.3</v>
      </c>
      <c r="Y170" s="56">
        <v>28.3</v>
      </c>
      <c r="Z170" s="56">
        <v>30.6</v>
      </c>
      <c r="AA170" s="56">
        <v>13.9</v>
      </c>
      <c r="AB170" s="56">
        <v>17.7</v>
      </c>
      <c r="AC170" s="56">
        <v>4.9</v>
      </c>
      <c r="AD170" s="56">
        <v>32.2</v>
      </c>
      <c r="AE170" s="56">
        <v>12</v>
      </c>
      <c r="AF170" s="56">
        <v>14.5</v>
      </c>
      <c r="AG170" s="56">
        <v>10.5</v>
      </c>
      <c r="AH170" s="56">
        <v>8.3</v>
      </c>
      <c r="AI170" s="56">
        <v>1.6</v>
      </c>
      <c r="AJ170" s="56">
        <v>52.7</v>
      </c>
      <c r="AK170" s="56">
        <v>33.3</v>
      </c>
      <c r="AL170" s="56">
        <v>4.4</v>
      </c>
      <c r="AM170" s="56">
        <v>67.9</v>
      </c>
      <c r="AN170" s="56">
        <v>2049</v>
      </c>
      <c r="AO170" s="56">
        <v>1058.4</v>
      </c>
      <c r="AP170" s="56">
        <v>3107.3</v>
      </c>
      <c r="AQ170" s="56">
        <v>1588.4</v>
      </c>
      <c r="AR170" s="56">
        <v>2279.1</v>
      </c>
      <c r="AS170" s="56">
        <v>3867.5</v>
      </c>
    </row>
    <row r="171" spans="1:45">
      <c r="A171" s="54">
        <v>2021</v>
      </c>
      <c r="B171" s="54">
        <v>210000</v>
      </c>
      <c r="C171" s="55" t="s">
        <v>67</v>
      </c>
      <c r="D171" s="49">
        <v>0</v>
      </c>
      <c r="E171" s="49">
        <v>0</v>
      </c>
      <c r="F171" s="49">
        <v>0</v>
      </c>
      <c r="G171" s="56">
        <v>1</v>
      </c>
      <c r="H171" s="56">
        <v>55.616</v>
      </c>
      <c r="I171" s="56">
        <v>44.384</v>
      </c>
      <c r="J171" s="56">
        <v>0.537</v>
      </c>
      <c r="K171" s="56">
        <v>12.271</v>
      </c>
      <c r="L171" s="56">
        <v>46.63</v>
      </c>
      <c r="M171" s="56">
        <v>14.235</v>
      </c>
      <c r="N171" s="56">
        <v>11.995</v>
      </c>
      <c r="O171" s="56">
        <v>12.706</v>
      </c>
      <c r="P171" s="56">
        <v>1.626</v>
      </c>
      <c r="Q171" s="50">
        <v>600</v>
      </c>
      <c r="R171" s="50">
        <v>493</v>
      </c>
      <c r="S171" s="50">
        <v>1097</v>
      </c>
      <c r="T171" s="51">
        <v>2190</v>
      </c>
      <c r="U171" s="56">
        <v>7.2</v>
      </c>
      <c r="V171" s="56">
        <v>18.5</v>
      </c>
      <c r="W171" s="56">
        <v>95.1</v>
      </c>
      <c r="X171" s="56">
        <v>14.7</v>
      </c>
      <c r="Y171" s="56">
        <v>27.1</v>
      </c>
      <c r="Z171" s="56">
        <v>30.2</v>
      </c>
      <c r="AA171" s="56">
        <v>13.9</v>
      </c>
      <c r="AB171" s="56">
        <v>16.6</v>
      </c>
      <c r="AC171" s="56">
        <v>4.6</v>
      </c>
      <c r="AD171" s="56">
        <v>27</v>
      </c>
      <c r="AE171" s="56">
        <v>11.4</v>
      </c>
      <c r="AF171" s="56">
        <v>13.8</v>
      </c>
      <c r="AG171" s="56">
        <v>10.7</v>
      </c>
      <c r="AH171" s="56">
        <v>8.4</v>
      </c>
      <c r="AI171" s="56">
        <v>1.6</v>
      </c>
      <c r="AJ171" s="56">
        <v>54.1</v>
      </c>
      <c r="AK171" s="56">
        <v>34.6</v>
      </c>
      <c r="AL171" s="56">
        <v>4.3</v>
      </c>
      <c r="AM171" s="56">
        <v>64.1</v>
      </c>
      <c r="AN171" s="56">
        <v>2084.579</v>
      </c>
      <c r="AO171" s="56">
        <v>1040.889</v>
      </c>
      <c r="AP171" s="56">
        <v>3125.468</v>
      </c>
      <c r="AQ171" s="56">
        <v>1571.012</v>
      </c>
      <c r="AR171" s="56">
        <v>2237.3</v>
      </c>
      <c r="AS171" s="56">
        <v>3808.312</v>
      </c>
    </row>
    <row r="172" spans="1:45">
      <c r="A172" s="54">
        <v>2022</v>
      </c>
      <c r="B172" s="54">
        <v>210000</v>
      </c>
      <c r="C172" s="55" t="s">
        <v>67</v>
      </c>
      <c r="D172" s="56">
        <v>0</v>
      </c>
      <c r="E172" s="56">
        <v>0</v>
      </c>
      <c r="F172" s="56">
        <v>0</v>
      </c>
      <c r="G172" s="56">
        <v>1</v>
      </c>
      <c r="H172" s="56">
        <v>55.517</v>
      </c>
      <c r="I172" s="56">
        <v>44.483</v>
      </c>
      <c r="J172" s="56">
        <v>0.526</v>
      </c>
      <c r="K172" s="56">
        <v>13.573</v>
      </c>
      <c r="L172" s="56">
        <v>44.39</v>
      </c>
      <c r="M172" s="56">
        <v>13.799</v>
      </c>
      <c r="N172" s="56">
        <v>12.224</v>
      </c>
      <c r="O172" s="56">
        <v>13.977</v>
      </c>
      <c r="P172" s="56">
        <v>1.512</v>
      </c>
      <c r="Q172" s="50">
        <v>634</v>
      </c>
      <c r="R172" s="50">
        <v>464</v>
      </c>
      <c r="S172" s="50">
        <v>1024</v>
      </c>
      <c r="T172" s="51">
        <v>2122</v>
      </c>
      <c r="U172" s="56">
        <v>6.7</v>
      </c>
      <c r="V172" s="56">
        <v>17.2</v>
      </c>
      <c r="W172" s="56">
        <v>93</v>
      </c>
      <c r="X172" s="56">
        <v>14.8</v>
      </c>
      <c r="Y172" s="56">
        <v>24.7</v>
      </c>
      <c r="Z172" s="56">
        <v>28.9</v>
      </c>
      <c r="AA172" s="56">
        <v>13.8</v>
      </c>
      <c r="AB172" s="56">
        <v>15.9</v>
      </c>
      <c r="AC172" s="56">
        <v>4.2</v>
      </c>
      <c r="AD172" s="56">
        <v>23.8</v>
      </c>
      <c r="AE172" s="56">
        <v>11</v>
      </c>
      <c r="AF172" s="56">
        <v>12.9</v>
      </c>
      <c r="AG172" s="56">
        <v>10.1</v>
      </c>
      <c r="AH172" s="56">
        <v>8.2</v>
      </c>
      <c r="AI172" s="56">
        <v>1.6</v>
      </c>
      <c r="AJ172" s="56">
        <v>54.5</v>
      </c>
      <c r="AK172" s="56">
        <v>34.7</v>
      </c>
      <c r="AL172" s="56">
        <v>3.8</v>
      </c>
      <c r="AM172" s="56">
        <v>64.1</v>
      </c>
      <c r="AN172" s="56">
        <v>2114.405</v>
      </c>
      <c r="AO172" s="56">
        <v>1041.343</v>
      </c>
      <c r="AP172" s="56">
        <v>3155.749</v>
      </c>
      <c r="AQ172" s="56">
        <v>1580.872</v>
      </c>
      <c r="AR172" s="56">
        <v>2167.711</v>
      </c>
      <c r="AS172" s="56">
        <v>3748.583</v>
      </c>
    </row>
    <row r="173" spans="1:45">
      <c r="A173" s="54">
        <v>2013</v>
      </c>
      <c r="B173" s="54">
        <v>150000</v>
      </c>
      <c r="C173" s="55" t="s">
        <v>68</v>
      </c>
      <c r="D173" s="49">
        <v>1</v>
      </c>
      <c r="E173" s="49">
        <v>0</v>
      </c>
      <c r="F173" s="49">
        <v>0</v>
      </c>
      <c r="G173" s="49">
        <v>0</v>
      </c>
      <c r="H173" s="56"/>
      <c r="J173" s="56">
        <v>1.529</v>
      </c>
      <c r="K173" s="56">
        <v>19.01</v>
      </c>
      <c r="L173" s="56">
        <v>46.469</v>
      </c>
      <c r="M173" s="56">
        <v>15.675</v>
      </c>
      <c r="N173" s="56">
        <v>10.896</v>
      </c>
      <c r="O173" s="56">
        <v>6.071</v>
      </c>
      <c r="P173" s="56">
        <v>0.349</v>
      </c>
      <c r="Q173" s="50">
        <v>632.6</v>
      </c>
      <c r="R173" s="50">
        <v>389.7</v>
      </c>
      <c r="S173" s="50">
        <v>347.7</v>
      </c>
      <c r="T173" s="51">
        <v>1370</v>
      </c>
      <c r="U173" s="56">
        <v>24.1</v>
      </c>
      <c r="V173" s="56">
        <v>21.5</v>
      </c>
      <c r="W173" s="56">
        <v>47.5</v>
      </c>
      <c r="X173" s="56">
        <v>13.4</v>
      </c>
      <c r="Y173" s="56">
        <v>25.5</v>
      </c>
      <c r="Z173" s="56">
        <v>21.7</v>
      </c>
      <c r="AA173" s="56">
        <v>5.9</v>
      </c>
      <c r="AB173" s="56">
        <v>11.4</v>
      </c>
      <c r="AC173" s="56">
        <v>4.6</v>
      </c>
      <c r="AD173" s="56">
        <v>11.1</v>
      </c>
      <c r="AE173" s="56">
        <v>4.8</v>
      </c>
      <c r="AF173" s="56">
        <v>4.4</v>
      </c>
      <c r="AG173" s="56">
        <v>6.1</v>
      </c>
      <c r="AH173" s="56">
        <v>8.2</v>
      </c>
      <c r="AI173" s="56">
        <v>1</v>
      </c>
      <c r="AJ173" s="56">
        <v>35.1</v>
      </c>
      <c r="AK173" s="56">
        <v>13.9</v>
      </c>
      <c r="AL173" s="56">
        <v>3.5</v>
      </c>
      <c r="AM173" s="56">
        <v>40.3</v>
      </c>
      <c r="AN173" s="56">
        <v>496.481</v>
      </c>
      <c r="AO173" s="56">
        <v>780.297</v>
      </c>
      <c r="AP173" s="56">
        <v>1276.778</v>
      </c>
      <c r="AQ173" s="56">
        <v>464.496</v>
      </c>
      <c r="AR173" s="56">
        <v>521.718</v>
      </c>
      <c r="AS173" s="56">
        <v>986.214</v>
      </c>
    </row>
    <row r="174" spans="1:45">
      <c r="A174" s="54">
        <v>2014</v>
      </c>
      <c r="B174" s="54">
        <v>150000</v>
      </c>
      <c r="C174" s="55" t="s">
        <v>68</v>
      </c>
      <c r="D174" s="56">
        <v>1</v>
      </c>
      <c r="E174" s="56">
        <v>0</v>
      </c>
      <c r="F174" s="56">
        <v>0</v>
      </c>
      <c r="G174" s="56">
        <v>0</v>
      </c>
      <c r="H174" s="56">
        <v>58.6</v>
      </c>
      <c r="I174" s="56">
        <v>41.4</v>
      </c>
      <c r="J174" s="56">
        <v>1.6</v>
      </c>
      <c r="K174" s="56">
        <v>19.8</v>
      </c>
      <c r="L174" s="56">
        <v>42.9</v>
      </c>
      <c r="M174" s="56">
        <v>17.2</v>
      </c>
      <c r="N174" s="56">
        <v>11.6</v>
      </c>
      <c r="O174" s="56">
        <v>6.5</v>
      </c>
      <c r="P174" s="56">
        <v>0.4</v>
      </c>
      <c r="Q174" s="50">
        <v>609.4</v>
      </c>
      <c r="R174" s="50">
        <v>366.8</v>
      </c>
      <c r="S174" s="50">
        <v>383.8</v>
      </c>
      <c r="T174" s="51">
        <v>1360</v>
      </c>
      <c r="U174" s="56">
        <v>23.8</v>
      </c>
      <c r="V174" s="56">
        <v>20.4</v>
      </c>
      <c r="W174" s="56">
        <v>46.3</v>
      </c>
      <c r="X174" s="56">
        <v>14</v>
      </c>
      <c r="Y174" s="56">
        <v>22.9</v>
      </c>
      <c r="Z174" s="56">
        <v>21.3</v>
      </c>
      <c r="AA174" s="56">
        <v>5</v>
      </c>
      <c r="AB174" s="56">
        <v>10.5</v>
      </c>
      <c r="AC174" s="56">
        <v>4.3</v>
      </c>
      <c r="AD174" s="56">
        <v>11.3</v>
      </c>
      <c r="AE174" s="56">
        <v>5</v>
      </c>
      <c r="AF174" s="56">
        <v>4.5</v>
      </c>
      <c r="AG174" s="56">
        <v>6.2</v>
      </c>
      <c r="AH174" s="56">
        <v>8.3</v>
      </c>
      <c r="AI174" s="56">
        <v>0.9</v>
      </c>
      <c r="AJ174" s="56">
        <v>35.4</v>
      </c>
      <c r="AK174" s="56">
        <v>14.8</v>
      </c>
      <c r="AL174" s="56">
        <v>3.5</v>
      </c>
      <c r="AM174" s="56">
        <v>43</v>
      </c>
      <c r="AN174" s="56">
        <v>524.9</v>
      </c>
      <c r="AO174" s="56">
        <v>761.9</v>
      </c>
      <c r="AP174" s="56">
        <v>1286.9</v>
      </c>
      <c r="AQ174" s="56">
        <v>470.7</v>
      </c>
      <c r="AR174" s="56">
        <v>527.4</v>
      </c>
      <c r="AS174" s="56">
        <v>998.1</v>
      </c>
    </row>
    <row r="175" spans="1:45">
      <c r="A175" s="54">
        <v>2015</v>
      </c>
      <c r="B175" s="54">
        <v>150000</v>
      </c>
      <c r="C175" s="55" t="s">
        <v>68</v>
      </c>
      <c r="D175" s="56">
        <v>1</v>
      </c>
      <c r="E175" s="49">
        <v>0</v>
      </c>
      <c r="F175" s="49">
        <v>0</v>
      </c>
      <c r="G175" s="49">
        <v>0</v>
      </c>
      <c r="H175" s="56">
        <v>61.756</v>
      </c>
      <c r="I175" s="56">
        <v>38.244</v>
      </c>
      <c r="J175" s="56">
        <v>2.352</v>
      </c>
      <c r="K175" s="56">
        <v>17.714</v>
      </c>
      <c r="L175" s="56">
        <v>45.177</v>
      </c>
      <c r="M175" s="56">
        <v>12.462</v>
      </c>
      <c r="N175" s="56">
        <v>10.167</v>
      </c>
      <c r="O175" s="56">
        <v>7.581</v>
      </c>
      <c r="P175" s="56">
        <v>0.318</v>
      </c>
      <c r="Q175" s="50">
        <v>584.3</v>
      </c>
      <c r="R175" s="50">
        <v>345.2</v>
      </c>
      <c r="S175" s="50">
        <v>421.5</v>
      </c>
      <c r="T175" s="51">
        <v>1351</v>
      </c>
      <c r="U175" s="56">
        <v>23.6</v>
      </c>
      <c r="V175" s="56">
        <v>17.9</v>
      </c>
      <c r="W175" s="56">
        <v>46.7</v>
      </c>
      <c r="X175" s="56">
        <v>14.2</v>
      </c>
      <c r="Y175" s="56">
        <v>21.6</v>
      </c>
      <c r="Z175" s="56">
        <v>20.6</v>
      </c>
      <c r="AA175" s="56">
        <v>5</v>
      </c>
      <c r="AB175" s="56">
        <v>9.6</v>
      </c>
      <c r="AC175" s="56">
        <v>4.1</v>
      </c>
      <c r="AD175" s="56">
        <v>11.6</v>
      </c>
      <c r="AE175" s="56">
        <v>5.4</v>
      </c>
      <c r="AF175" s="56">
        <v>4.6</v>
      </c>
      <c r="AG175" s="56">
        <v>6.3</v>
      </c>
      <c r="AH175" s="56">
        <v>8.1</v>
      </c>
      <c r="AI175" s="56">
        <v>0.9</v>
      </c>
      <c r="AJ175" s="56">
        <v>35.1</v>
      </c>
      <c r="AK175" s="56">
        <v>15.3</v>
      </c>
      <c r="AL175" s="56">
        <v>3.5</v>
      </c>
      <c r="AM175" s="56">
        <v>44.2</v>
      </c>
      <c r="AN175" s="56">
        <v>578.956</v>
      </c>
      <c r="AO175" s="56">
        <v>734.092</v>
      </c>
      <c r="AP175" s="56">
        <v>1313.048</v>
      </c>
      <c r="AQ175" s="56">
        <v>477.445</v>
      </c>
      <c r="AR175" s="56">
        <v>530.611</v>
      </c>
      <c r="AS175" s="56">
        <v>1008.056</v>
      </c>
    </row>
    <row r="176" spans="1:45">
      <c r="A176" s="54">
        <v>2016</v>
      </c>
      <c r="B176" s="54">
        <v>150000</v>
      </c>
      <c r="C176" s="55" t="s">
        <v>68</v>
      </c>
      <c r="D176" s="49">
        <v>1</v>
      </c>
      <c r="E176" s="56">
        <v>0</v>
      </c>
      <c r="F176" s="56">
        <v>0</v>
      </c>
      <c r="G176" s="56">
        <v>0</v>
      </c>
      <c r="H176" s="56">
        <v>59.623</v>
      </c>
      <c r="I176" s="56">
        <v>40.377</v>
      </c>
      <c r="J176" s="56">
        <v>2.11</v>
      </c>
      <c r="K176" s="56">
        <v>15.962</v>
      </c>
      <c r="L176" s="56">
        <v>45.748</v>
      </c>
      <c r="M176" s="56">
        <v>11.764</v>
      </c>
      <c r="N176" s="56">
        <v>11.544</v>
      </c>
      <c r="O176" s="56">
        <v>8.036</v>
      </c>
      <c r="P176" s="56">
        <v>0.499</v>
      </c>
      <c r="Q176" s="50">
        <v>555.9</v>
      </c>
      <c r="R176" s="50">
        <v>315.5</v>
      </c>
      <c r="S176" s="50">
        <v>454.6</v>
      </c>
      <c r="T176" s="51">
        <v>1326</v>
      </c>
      <c r="U176" s="56">
        <v>22.9</v>
      </c>
      <c r="V176" s="56">
        <v>16.6</v>
      </c>
      <c r="W176" s="56">
        <v>43.9</v>
      </c>
      <c r="X176" s="56">
        <v>14.5</v>
      </c>
      <c r="Y176" s="56">
        <v>18.9</v>
      </c>
      <c r="Z176" s="56">
        <v>22.8</v>
      </c>
      <c r="AA176" s="56">
        <v>4.8</v>
      </c>
      <c r="AB176" s="56">
        <v>8.9</v>
      </c>
      <c r="AC176" s="56">
        <v>3.7</v>
      </c>
      <c r="AD176" s="56">
        <v>11.8</v>
      </c>
      <c r="AE176" s="56">
        <v>5.5</v>
      </c>
      <c r="AF176" s="56">
        <v>4.2</v>
      </c>
      <c r="AG176" s="56">
        <v>5.9</v>
      </c>
      <c r="AH176" s="56">
        <v>8.3</v>
      </c>
      <c r="AI176" s="56">
        <v>0.8</v>
      </c>
      <c r="AJ176" s="56">
        <v>35.1</v>
      </c>
      <c r="AK176" s="56">
        <v>15.7</v>
      </c>
      <c r="AL176" s="56">
        <v>3.5</v>
      </c>
      <c r="AM176" s="56">
        <v>45.4</v>
      </c>
      <c r="AN176" s="56">
        <v>655.017</v>
      </c>
      <c r="AO176" s="56">
        <v>736.139</v>
      </c>
      <c r="AP176" s="56">
        <v>1391.156</v>
      </c>
      <c r="AQ176" s="56">
        <v>488.791</v>
      </c>
      <c r="AR176" s="56">
        <v>531.019</v>
      </c>
      <c r="AS176" s="56">
        <v>1019.81</v>
      </c>
    </row>
    <row r="177" spans="1:45">
      <c r="A177" s="54">
        <v>2017</v>
      </c>
      <c r="B177" s="54">
        <v>150000</v>
      </c>
      <c r="C177" s="55" t="s">
        <v>68</v>
      </c>
      <c r="D177" s="56">
        <v>1</v>
      </c>
      <c r="E177" s="49">
        <v>0</v>
      </c>
      <c r="F177" s="49">
        <v>0</v>
      </c>
      <c r="G177" s="49">
        <v>0</v>
      </c>
      <c r="H177" s="56">
        <v>59.408</v>
      </c>
      <c r="I177" s="56">
        <v>40.592</v>
      </c>
      <c r="J177" s="56">
        <v>2</v>
      </c>
      <c r="K177" s="56">
        <v>16.006</v>
      </c>
      <c r="L177" s="56">
        <v>43.665</v>
      </c>
      <c r="M177" s="56">
        <v>12.583</v>
      </c>
      <c r="N177" s="56">
        <v>11.859</v>
      </c>
      <c r="O177" s="56">
        <v>8.949</v>
      </c>
      <c r="P177" s="56">
        <v>0.532</v>
      </c>
      <c r="Q177" s="50">
        <v>533.5</v>
      </c>
      <c r="R177" s="50">
        <v>292.2</v>
      </c>
      <c r="S177" s="50">
        <v>491.3</v>
      </c>
      <c r="T177" s="51">
        <v>1317</v>
      </c>
      <c r="U177" s="56">
        <v>22</v>
      </c>
      <c r="V177" s="56">
        <v>14.1</v>
      </c>
      <c r="W177" s="56">
        <v>36.3</v>
      </c>
      <c r="X177" s="56">
        <v>13.6</v>
      </c>
      <c r="Y177" s="56">
        <v>16.4</v>
      </c>
      <c r="Z177" s="56">
        <v>21.1</v>
      </c>
      <c r="AA177" s="56">
        <v>4.8</v>
      </c>
      <c r="AB177" s="56">
        <v>8.7</v>
      </c>
      <c r="AC177" s="56">
        <v>3.6</v>
      </c>
      <c r="AD177" s="56">
        <v>11.7</v>
      </c>
      <c r="AE177" s="56">
        <v>5.6</v>
      </c>
      <c r="AF177" s="56">
        <v>5.3</v>
      </c>
      <c r="AG177" s="56">
        <v>6</v>
      </c>
      <c r="AH177" s="56">
        <v>8.4</v>
      </c>
      <c r="AI177" s="56">
        <v>0.9</v>
      </c>
      <c r="AJ177" s="56">
        <v>35.2</v>
      </c>
      <c r="AK177" s="56">
        <v>16.3</v>
      </c>
      <c r="AL177" s="56">
        <v>3.7</v>
      </c>
      <c r="AM177" s="56">
        <v>46.7</v>
      </c>
      <c r="AN177" s="56">
        <v>694.308</v>
      </c>
      <c r="AO177" s="56">
        <v>743.442</v>
      </c>
      <c r="AP177" s="56">
        <v>1437.75</v>
      </c>
      <c r="AQ177" s="56">
        <v>495.07</v>
      </c>
      <c r="AR177" s="56">
        <v>1666.438</v>
      </c>
      <c r="AS177" s="56">
        <v>2161.508</v>
      </c>
    </row>
    <row r="178" spans="1:45">
      <c r="A178" s="54">
        <v>2018</v>
      </c>
      <c r="B178" s="54">
        <v>150000</v>
      </c>
      <c r="C178" s="55" t="s">
        <v>68</v>
      </c>
      <c r="D178" s="56">
        <v>1</v>
      </c>
      <c r="E178" s="56">
        <v>0</v>
      </c>
      <c r="F178" s="56">
        <v>0</v>
      </c>
      <c r="G178" s="56">
        <v>0</v>
      </c>
      <c r="H178" s="56">
        <v>58.379</v>
      </c>
      <c r="I178" s="56">
        <v>41.621</v>
      </c>
      <c r="J178" s="56">
        <v>1.808</v>
      </c>
      <c r="K178" s="56">
        <v>15.936</v>
      </c>
      <c r="L178" s="56">
        <v>42.918</v>
      </c>
      <c r="M178" s="56">
        <v>12.752</v>
      </c>
      <c r="N178" s="56">
        <v>12.132</v>
      </c>
      <c r="O178" s="56">
        <v>8.983</v>
      </c>
      <c r="P178" s="56">
        <v>0.545</v>
      </c>
      <c r="Q178" s="50">
        <v>507.3</v>
      </c>
      <c r="R178" s="50">
        <v>269.5</v>
      </c>
      <c r="S178" s="50">
        <v>527.2</v>
      </c>
      <c r="T178" s="51">
        <v>1304</v>
      </c>
      <c r="U178" s="56">
        <v>18.2</v>
      </c>
      <c r="V178" s="56">
        <v>13.6</v>
      </c>
      <c r="W178" s="56">
        <v>32.5</v>
      </c>
      <c r="X178" s="56">
        <v>14</v>
      </c>
      <c r="Y178" s="56">
        <v>13.4</v>
      </c>
      <c r="Z178" s="56">
        <v>20.1</v>
      </c>
      <c r="AA178" s="56">
        <v>4.9</v>
      </c>
      <c r="AB178" s="56">
        <v>8.3</v>
      </c>
      <c r="AC178" s="56">
        <v>3.1</v>
      </c>
      <c r="AD178" s="56">
        <v>14.5</v>
      </c>
      <c r="AE178" s="56">
        <v>5</v>
      </c>
      <c r="AF178" s="56">
        <v>5</v>
      </c>
      <c r="AG178" s="56">
        <v>5.6</v>
      </c>
      <c r="AH178" s="56">
        <v>8.2</v>
      </c>
      <c r="AI178" s="56">
        <v>0.7</v>
      </c>
      <c r="AJ178" s="56">
        <v>34.2</v>
      </c>
      <c r="AK178" s="56">
        <v>17.8</v>
      </c>
      <c r="AL178" s="56">
        <v>3.3</v>
      </c>
      <c r="AM178" s="56">
        <v>49.8</v>
      </c>
      <c r="AN178" s="56">
        <v>733.529</v>
      </c>
      <c r="AO178" s="56">
        <v>749.904</v>
      </c>
      <c r="AP178" s="56">
        <v>1483.433</v>
      </c>
      <c r="AQ178" s="56">
        <v>505.325</v>
      </c>
      <c r="AR178" s="56">
        <v>1659.047</v>
      </c>
      <c r="AS178" s="56">
        <v>2164.372</v>
      </c>
    </row>
    <row r="179" spans="1:45">
      <c r="A179" s="54">
        <v>2019</v>
      </c>
      <c r="B179" s="54">
        <v>150000</v>
      </c>
      <c r="C179" s="55" t="s">
        <v>68</v>
      </c>
      <c r="D179" s="49">
        <v>1</v>
      </c>
      <c r="E179" s="49">
        <v>0</v>
      </c>
      <c r="F179" s="49">
        <v>0</v>
      </c>
      <c r="G179" s="49">
        <v>0</v>
      </c>
      <c r="H179" s="56">
        <v>57.6</v>
      </c>
      <c r="I179" s="56">
        <v>42.4</v>
      </c>
      <c r="J179" s="56">
        <v>1.7</v>
      </c>
      <c r="K179" s="56">
        <v>15.3</v>
      </c>
      <c r="L179" s="56">
        <v>40.1</v>
      </c>
      <c r="M179" s="56">
        <v>17.5</v>
      </c>
      <c r="N179" s="56">
        <v>13.7</v>
      </c>
      <c r="O179" s="56">
        <v>11</v>
      </c>
      <c r="P179" s="56">
        <v>0.7</v>
      </c>
      <c r="Q179" s="50">
        <v>475.2</v>
      </c>
      <c r="R179" s="50">
        <v>239.2</v>
      </c>
      <c r="S179" s="50">
        <v>557.6</v>
      </c>
      <c r="T179" s="51">
        <v>1272</v>
      </c>
      <c r="U179" s="56">
        <v>8.6</v>
      </c>
      <c r="V179" s="56">
        <v>14.5</v>
      </c>
      <c r="W179" s="56">
        <v>30.8</v>
      </c>
      <c r="X179" s="56">
        <v>14.6</v>
      </c>
      <c r="Y179" s="56">
        <v>12.9</v>
      </c>
      <c r="Z179" s="56">
        <v>19.9</v>
      </c>
      <c r="AA179" s="56">
        <v>4.7</v>
      </c>
      <c r="AB179" s="56">
        <v>8.3</v>
      </c>
      <c r="AC179" s="56">
        <v>2.9</v>
      </c>
      <c r="AD179" s="56">
        <v>20.7</v>
      </c>
      <c r="AE179" s="56">
        <v>5.7</v>
      </c>
      <c r="AF179" s="56">
        <v>7.1</v>
      </c>
      <c r="AG179" s="56">
        <v>7</v>
      </c>
      <c r="AH179" s="56">
        <v>3.9</v>
      </c>
      <c r="AI179" s="56">
        <v>0.8</v>
      </c>
      <c r="AJ179" s="56">
        <v>37.9</v>
      </c>
      <c r="AK179" s="56">
        <v>19.2</v>
      </c>
      <c r="AL179" s="56">
        <v>3.2</v>
      </c>
      <c r="AM179" s="56">
        <v>58.4</v>
      </c>
      <c r="AN179" s="56">
        <v>763.4</v>
      </c>
      <c r="AO179" s="56">
        <v>768.2</v>
      </c>
      <c r="AP179" s="56">
        <v>1531.6</v>
      </c>
      <c r="AQ179" s="56">
        <v>530.7</v>
      </c>
      <c r="AR179" s="56">
        <v>1647.7</v>
      </c>
      <c r="AS179" s="56">
        <v>2178.4</v>
      </c>
    </row>
    <row r="180" spans="1:45">
      <c r="A180" s="54">
        <v>2020</v>
      </c>
      <c r="B180" s="54">
        <v>150000</v>
      </c>
      <c r="C180" s="55" t="s">
        <v>68</v>
      </c>
      <c r="D180" s="56">
        <v>1</v>
      </c>
      <c r="E180" s="56">
        <v>0</v>
      </c>
      <c r="F180" s="56">
        <v>0</v>
      </c>
      <c r="G180" s="56">
        <v>0</v>
      </c>
      <c r="H180" s="56">
        <v>58.6</v>
      </c>
      <c r="I180" s="56">
        <v>41.4</v>
      </c>
      <c r="J180" s="56">
        <v>1.7</v>
      </c>
      <c r="K180" s="56">
        <v>16.4</v>
      </c>
      <c r="L180" s="56">
        <v>41.5</v>
      </c>
      <c r="M180" s="56">
        <v>15.2</v>
      </c>
      <c r="N180" s="56">
        <v>13.6</v>
      </c>
      <c r="O180" s="56">
        <v>11</v>
      </c>
      <c r="P180" s="56">
        <v>0.7</v>
      </c>
      <c r="Q180" s="50">
        <v>443</v>
      </c>
      <c r="R180" s="50">
        <v>211</v>
      </c>
      <c r="S180" s="50">
        <v>588</v>
      </c>
      <c r="T180" s="51">
        <v>1242</v>
      </c>
      <c r="U180" s="56">
        <v>7.5</v>
      </c>
      <c r="V180" s="56">
        <v>11.3</v>
      </c>
      <c r="W180" s="56">
        <v>31.2</v>
      </c>
      <c r="X180" s="56">
        <v>16</v>
      </c>
      <c r="Y180" s="56">
        <v>10.2</v>
      </c>
      <c r="Z180" s="56">
        <v>19.7</v>
      </c>
      <c r="AA180" s="56">
        <v>4.6</v>
      </c>
      <c r="AB180" s="56">
        <v>7.8</v>
      </c>
      <c r="AC180" s="56">
        <v>2.4</v>
      </c>
      <c r="AD180" s="56">
        <v>21.2</v>
      </c>
      <c r="AE180" s="56">
        <v>5.3</v>
      </c>
      <c r="AF180" s="56">
        <v>5.4</v>
      </c>
      <c r="AG180" s="56">
        <v>6.3</v>
      </c>
      <c r="AH180" s="56">
        <v>4.2</v>
      </c>
      <c r="AI180" s="56">
        <v>0.6</v>
      </c>
      <c r="AJ180" s="56">
        <v>36</v>
      </c>
      <c r="AK180" s="56">
        <v>19.5</v>
      </c>
      <c r="AL180" s="56">
        <v>3.2</v>
      </c>
      <c r="AM180" s="56">
        <v>58.2</v>
      </c>
      <c r="AN180" s="56">
        <v>785.9</v>
      </c>
      <c r="AO180" s="56">
        <v>784.7</v>
      </c>
      <c r="AP180" s="56">
        <v>1570.6</v>
      </c>
      <c r="AQ180" s="56">
        <v>553</v>
      </c>
      <c r="AR180" s="56">
        <v>1630.9</v>
      </c>
      <c r="AS180" s="56">
        <v>2183.9</v>
      </c>
    </row>
    <row r="181" spans="1:45">
      <c r="A181" s="54">
        <v>2021</v>
      </c>
      <c r="B181" s="54">
        <v>150000</v>
      </c>
      <c r="C181" s="55" t="s">
        <v>68</v>
      </c>
      <c r="D181" s="56">
        <v>1</v>
      </c>
      <c r="E181" s="49">
        <v>0</v>
      </c>
      <c r="F181" s="49">
        <v>0</v>
      </c>
      <c r="G181" s="49">
        <v>0</v>
      </c>
      <c r="H181" s="56">
        <v>58.293</v>
      </c>
      <c r="I181" s="56">
        <v>41.707</v>
      </c>
      <c r="J181" s="56">
        <v>2.533</v>
      </c>
      <c r="K181" s="56">
        <v>15.946</v>
      </c>
      <c r="L181" s="56">
        <v>38.787</v>
      </c>
      <c r="M181" s="56">
        <v>15.85</v>
      </c>
      <c r="N181" s="56">
        <v>13.319</v>
      </c>
      <c r="O181" s="56">
        <v>12.404</v>
      </c>
      <c r="P181" s="56">
        <v>1.163</v>
      </c>
      <c r="Q181" s="50">
        <v>422</v>
      </c>
      <c r="R181" s="50">
        <v>210</v>
      </c>
      <c r="S181" s="50">
        <v>586</v>
      </c>
      <c r="T181" s="51">
        <v>1218</v>
      </c>
      <c r="U181" s="56">
        <v>7.6</v>
      </c>
      <c r="V181" s="56">
        <v>10.3</v>
      </c>
      <c r="W181" s="56">
        <v>33.5</v>
      </c>
      <c r="X181" s="56">
        <v>15.6</v>
      </c>
      <c r="Y181" s="56">
        <v>9.1</v>
      </c>
      <c r="Z181" s="56">
        <v>19.7</v>
      </c>
      <c r="AA181" s="56">
        <v>4.6</v>
      </c>
      <c r="AB181" s="56">
        <v>7.9</v>
      </c>
      <c r="AC181" s="56">
        <v>2.4</v>
      </c>
      <c r="AD181" s="56">
        <v>18.2</v>
      </c>
      <c r="AE181" s="56">
        <v>5.3</v>
      </c>
      <c r="AF181" s="56">
        <v>5.2</v>
      </c>
      <c r="AG181" s="56">
        <v>5.9</v>
      </c>
      <c r="AH181" s="56">
        <v>4.7</v>
      </c>
      <c r="AI181" s="56">
        <v>0.6</v>
      </c>
      <c r="AJ181" s="56">
        <v>37</v>
      </c>
      <c r="AK181" s="56">
        <v>20.3</v>
      </c>
      <c r="AL181" s="56">
        <v>3.1</v>
      </c>
      <c r="AM181" s="56">
        <v>56.5</v>
      </c>
      <c r="AN181" s="56">
        <v>823.078</v>
      </c>
      <c r="AO181" s="56">
        <v>791.711</v>
      </c>
      <c r="AP181" s="56">
        <v>1614.789</v>
      </c>
      <c r="AQ181" s="56">
        <v>564.701</v>
      </c>
      <c r="AR181" s="56">
        <v>1627.498</v>
      </c>
      <c r="AS181" s="56">
        <v>2192.199</v>
      </c>
    </row>
    <row r="182" spans="1:45">
      <c r="A182" s="54">
        <v>2022</v>
      </c>
      <c r="B182" s="54">
        <v>150000</v>
      </c>
      <c r="C182" s="55" t="s">
        <v>68</v>
      </c>
      <c r="D182" s="49">
        <v>1</v>
      </c>
      <c r="E182" s="56">
        <v>0</v>
      </c>
      <c r="F182" s="56">
        <v>0</v>
      </c>
      <c r="G182" s="56">
        <v>0</v>
      </c>
      <c r="H182" s="56">
        <v>58.787</v>
      </c>
      <c r="I182" s="56">
        <v>41.213</v>
      </c>
      <c r="J182" s="56">
        <v>2.216</v>
      </c>
      <c r="K182" s="56">
        <v>17.8</v>
      </c>
      <c r="L182" s="56">
        <v>37.21</v>
      </c>
      <c r="M182" s="56">
        <v>13.753</v>
      </c>
      <c r="N182" s="56">
        <v>14.143</v>
      </c>
      <c r="O182" s="56">
        <v>13.686</v>
      </c>
      <c r="P182" s="56">
        <v>1.191</v>
      </c>
      <c r="Q182" s="50">
        <v>439</v>
      </c>
      <c r="R182" s="50">
        <v>206</v>
      </c>
      <c r="S182" s="50">
        <v>545</v>
      </c>
      <c r="T182" s="51">
        <v>1190</v>
      </c>
      <c r="U182" s="56">
        <v>7</v>
      </c>
      <c r="V182" s="56">
        <v>11</v>
      </c>
      <c r="W182" s="56">
        <v>37.5</v>
      </c>
      <c r="X182" s="56">
        <v>14.3</v>
      </c>
      <c r="Y182" s="56">
        <v>8.3</v>
      </c>
      <c r="Z182" s="56">
        <v>19.6</v>
      </c>
      <c r="AA182" s="56">
        <v>4.5</v>
      </c>
      <c r="AB182" s="56">
        <v>7.9</v>
      </c>
      <c r="AC182" s="56">
        <v>2.2</v>
      </c>
      <c r="AD182" s="56">
        <v>16.4</v>
      </c>
      <c r="AE182" s="56">
        <v>5.4</v>
      </c>
      <c r="AF182" s="56">
        <v>4.8</v>
      </c>
      <c r="AG182" s="56">
        <v>5.6</v>
      </c>
      <c r="AH182" s="56">
        <v>4.7</v>
      </c>
      <c r="AI182" s="56">
        <v>0.6</v>
      </c>
      <c r="AJ182" s="56">
        <v>36.5</v>
      </c>
      <c r="AK182" s="56">
        <v>20.7</v>
      </c>
      <c r="AL182" s="56">
        <v>2.9</v>
      </c>
      <c r="AM182" s="56">
        <v>55.4</v>
      </c>
      <c r="AN182" s="56"/>
      <c r="AO182" s="56">
        <v>798.659</v>
      </c>
      <c r="AP182" s="56"/>
      <c r="AQ182" s="56">
        <v>586.832</v>
      </c>
      <c r="AR182" s="56">
        <v>1583.107</v>
      </c>
      <c r="AS182" s="56">
        <v>2169.939</v>
      </c>
    </row>
    <row r="183" spans="1:45">
      <c r="A183" s="54">
        <v>2013</v>
      </c>
      <c r="B183" s="54">
        <v>640000</v>
      </c>
      <c r="C183" s="55" t="s">
        <v>69</v>
      </c>
      <c r="D183" s="56">
        <v>1</v>
      </c>
      <c r="E183" s="49">
        <v>0</v>
      </c>
      <c r="F183" s="49">
        <v>0</v>
      </c>
      <c r="G183" s="49">
        <v>0</v>
      </c>
      <c r="J183" s="56">
        <v>5.756</v>
      </c>
      <c r="K183" s="56">
        <v>24.996</v>
      </c>
      <c r="L183" s="56">
        <v>41.513</v>
      </c>
      <c r="M183" s="56">
        <v>13.66</v>
      </c>
      <c r="N183" s="56">
        <v>8.905</v>
      </c>
      <c r="O183" s="56">
        <v>5.061</v>
      </c>
      <c r="P183" s="56">
        <v>0.108</v>
      </c>
      <c r="Q183" s="50">
        <v>147.3</v>
      </c>
      <c r="R183" s="50">
        <v>71.8</v>
      </c>
      <c r="S183" s="50">
        <v>125.9</v>
      </c>
      <c r="T183" s="51">
        <v>345</v>
      </c>
      <c r="U183" s="56">
        <v>2</v>
      </c>
      <c r="V183" s="56">
        <v>6.6</v>
      </c>
      <c r="W183" s="56">
        <v>12.6</v>
      </c>
      <c r="X183" s="56">
        <v>3.4</v>
      </c>
      <c r="Y183" s="56">
        <v>6.2</v>
      </c>
      <c r="Z183" s="56">
        <v>4</v>
      </c>
      <c r="AA183" s="56">
        <v>0.8</v>
      </c>
      <c r="AB183" s="56">
        <v>2.7</v>
      </c>
      <c r="AC183" s="56">
        <v>0.6</v>
      </c>
      <c r="AD183" s="56">
        <v>3.1</v>
      </c>
      <c r="AE183" s="56">
        <v>1.4</v>
      </c>
      <c r="AF183" s="56">
        <v>2</v>
      </c>
      <c r="AG183" s="56">
        <v>1.4</v>
      </c>
      <c r="AH183" s="56">
        <v>2.1</v>
      </c>
      <c r="AI183" s="56">
        <v>0.1</v>
      </c>
      <c r="AJ183" s="56">
        <v>8.8</v>
      </c>
      <c r="AK183" s="56">
        <v>4.1</v>
      </c>
      <c r="AL183" s="56">
        <v>0.8</v>
      </c>
      <c r="AM183" s="56">
        <v>9.3</v>
      </c>
      <c r="AN183" s="56">
        <v>143.77</v>
      </c>
      <c r="AO183" s="56">
        <v>179.511</v>
      </c>
      <c r="AP183" s="56">
        <v>323.281</v>
      </c>
      <c r="AQ183" s="56">
        <v>108.599</v>
      </c>
      <c r="AR183" s="56">
        <v>456.92</v>
      </c>
      <c r="AS183" s="56">
        <v>565.52</v>
      </c>
    </row>
    <row r="184" spans="1:45">
      <c r="A184" s="54">
        <v>2014</v>
      </c>
      <c r="B184" s="54">
        <v>640000</v>
      </c>
      <c r="C184" s="55" t="s">
        <v>69</v>
      </c>
      <c r="D184" s="56">
        <v>1</v>
      </c>
      <c r="E184" s="56">
        <v>0</v>
      </c>
      <c r="F184" s="56">
        <v>0</v>
      </c>
      <c r="G184" s="56">
        <v>0</v>
      </c>
      <c r="H184" s="56">
        <v>55.9</v>
      </c>
      <c r="I184" s="56">
        <v>44.1</v>
      </c>
      <c r="J184" s="56">
        <v>7.8</v>
      </c>
      <c r="K184" s="56">
        <v>23.6</v>
      </c>
      <c r="L184" s="56">
        <v>41</v>
      </c>
      <c r="M184" s="56">
        <v>12.3</v>
      </c>
      <c r="N184" s="56">
        <v>8.7</v>
      </c>
      <c r="O184" s="56">
        <v>6.5</v>
      </c>
      <c r="P184" s="56">
        <v>0.2</v>
      </c>
      <c r="Q184" s="50">
        <v>134.5</v>
      </c>
      <c r="R184" s="50">
        <v>81.2</v>
      </c>
      <c r="S184" s="50">
        <v>128.3</v>
      </c>
      <c r="T184" s="51">
        <v>344</v>
      </c>
      <c r="U184" s="56">
        <v>1.5</v>
      </c>
      <c r="V184" s="56">
        <v>6.3</v>
      </c>
      <c r="W184" s="56">
        <v>12.9</v>
      </c>
      <c r="X184" s="56">
        <v>3.7</v>
      </c>
      <c r="Y184" s="56">
        <v>6</v>
      </c>
      <c r="Z184" s="56">
        <v>3.9</v>
      </c>
      <c r="AA184" s="56">
        <v>0.8</v>
      </c>
      <c r="AB184" s="56">
        <v>2.7</v>
      </c>
      <c r="AC184" s="56">
        <v>0.7</v>
      </c>
      <c r="AD184" s="56">
        <v>3.4</v>
      </c>
      <c r="AE184" s="56">
        <v>1.5</v>
      </c>
      <c r="AF184" s="56">
        <v>1.9</v>
      </c>
      <c r="AG184" s="56">
        <v>1.4</v>
      </c>
      <c r="AH184" s="56">
        <v>2.1</v>
      </c>
      <c r="AI184" s="56">
        <v>0.1</v>
      </c>
      <c r="AJ184" s="56">
        <v>8.9</v>
      </c>
      <c r="AK184" s="56">
        <v>4.3</v>
      </c>
      <c r="AL184" s="56">
        <v>0.9</v>
      </c>
      <c r="AM184" s="56">
        <v>10.1</v>
      </c>
      <c r="AN184" s="56">
        <v>151.4</v>
      </c>
      <c r="AO184" s="56">
        <v>182.1</v>
      </c>
      <c r="AP184" s="56">
        <v>333.6</v>
      </c>
      <c r="AQ184" s="56">
        <v>116.1</v>
      </c>
      <c r="AR184" s="56">
        <v>462.5</v>
      </c>
      <c r="AS184" s="56">
        <v>578.6</v>
      </c>
    </row>
    <row r="185" spans="1:45">
      <c r="A185" s="54">
        <v>2015</v>
      </c>
      <c r="B185" s="54">
        <v>640000</v>
      </c>
      <c r="C185" s="55" t="s">
        <v>69</v>
      </c>
      <c r="D185" s="49">
        <v>1</v>
      </c>
      <c r="E185" s="49">
        <v>0</v>
      </c>
      <c r="F185" s="49">
        <v>0</v>
      </c>
      <c r="G185" s="49">
        <v>0</v>
      </c>
      <c r="H185" s="56">
        <v>58.803</v>
      </c>
      <c r="I185" s="56">
        <v>41.197</v>
      </c>
      <c r="J185" s="56">
        <v>6.06</v>
      </c>
      <c r="K185" s="56">
        <v>19.756</v>
      </c>
      <c r="L185" s="56">
        <v>38.8</v>
      </c>
      <c r="M185" s="56">
        <v>11.47</v>
      </c>
      <c r="N185" s="56">
        <v>10.702</v>
      </c>
      <c r="O185" s="56">
        <v>8.297</v>
      </c>
      <c r="P185" s="56">
        <v>0.387</v>
      </c>
      <c r="Q185" s="50">
        <v>125.5</v>
      </c>
      <c r="R185" s="50">
        <v>80.6</v>
      </c>
      <c r="S185" s="50">
        <v>136.9</v>
      </c>
      <c r="T185" s="51">
        <v>343</v>
      </c>
      <c r="U185" s="56">
        <v>1.4</v>
      </c>
      <c r="V185" s="56">
        <v>6</v>
      </c>
      <c r="W185" s="56">
        <v>12.8</v>
      </c>
      <c r="X185" s="56">
        <v>3.5</v>
      </c>
      <c r="Y185" s="56">
        <v>5.3</v>
      </c>
      <c r="Z185" s="56">
        <v>3.8</v>
      </c>
      <c r="AA185" s="56">
        <v>0.8</v>
      </c>
      <c r="AB185" s="56">
        <v>2.5</v>
      </c>
      <c r="AC185" s="56">
        <v>0.7</v>
      </c>
      <c r="AD185" s="56">
        <v>3.8</v>
      </c>
      <c r="AE185" s="56">
        <v>1.7</v>
      </c>
      <c r="AF185" s="56">
        <v>2</v>
      </c>
      <c r="AG185" s="56">
        <v>1.5</v>
      </c>
      <c r="AH185" s="56">
        <v>2.3</v>
      </c>
      <c r="AI185" s="56">
        <v>0.1</v>
      </c>
      <c r="AJ185" s="56">
        <v>9.3</v>
      </c>
      <c r="AK185" s="56">
        <v>4.5</v>
      </c>
      <c r="AL185" s="56">
        <v>1.1</v>
      </c>
      <c r="AM185" s="56">
        <v>10.3</v>
      </c>
      <c r="AN185" s="56">
        <v>157.516</v>
      </c>
      <c r="AO185" s="56">
        <v>183.088</v>
      </c>
      <c r="AP185" s="56">
        <v>340.604</v>
      </c>
      <c r="AQ185" s="56">
        <v>114.767</v>
      </c>
      <c r="AR185" s="56">
        <v>470.002</v>
      </c>
      <c r="AS185" s="56">
        <v>584.769</v>
      </c>
    </row>
    <row r="186" spans="1:45">
      <c r="A186" s="54">
        <v>2016</v>
      </c>
      <c r="B186" s="54">
        <v>640000</v>
      </c>
      <c r="C186" s="55" t="s">
        <v>69</v>
      </c>
      <c r="D186" s="56">
        <v>1</v>
      </c>
      <c r="E186" s="56">
        <v>0</v>
      </c>
      <c r="F186" s="56">
        <v>0</v>
      </c>
      <c r="G186" s="56">
        <v>0</v>
      </c>
      <c r="H186" s="56">
        <v>57.707</v>
      </c>
      <c r="I186" s="56">
        <v>42.293</v>
      </c>
      <c r="J186" s="56">
        <v>6.373</v>
      </c>
      <c r="K186" s="56">
        <v>17.012</v>
      </c>
      <c r="L186" s="56">
        <v>40.351</v>
      </c>
      <c r="M186" s="56">
        <v>10.338</v>
      </c>
      <c r="N186" s="56">
        <v>10.975</v>
      </c>
      <c r="O186" s="56">
        <v>9.707</v>
      </c>
      <c r="P186" s="56">
        <v>0.555</v>
      </c>
      <c r="Q186" s="50">
        <v>117.6</v>
      </c>
      <c r="R186" s="50">
        <v>79.2</v>
      </c>
      <c r="S186" s="50">
        <v>146.1</v>
      </c>
      <c r="T186" s="51">
        <v>343</v>
      </c>
      <c r="U186" s="56">
        <v>1.3</v>
      </c>
      <c r="V186" s="56">
        <v>5.3</v>
      </c>
      <c r="W186" s="56">
        <v>12.2</v>
      </c>
      <c r="X186" s="56">
        <v>3.5</v>
      </c>
      <c r="Y186" s="56">
        <v>4.4</v>
      </c>
      <c r="Z186" s="56">
        <v>3.7</v>
      </c>
      <c r="AA186" s="56">
        <v>0.8</v>
      </c>
      <c r="AB186" s="56">
        <v>2.4</v>
      </c>
      <c r="AC186" s="56">
        <v>0.6</v>
      </c>
      <c r="AD186" s="56">
        <v>4</v>
      </c>
      <c r="AE186" s="56">
        <v>1.5</v>
      </c>
      <c r="AF186" s="56">
        <v>1.8</v>
      </c>
      <c r="AG186" s="56">
        <v>1.6</v>
      </c>
      <c r="AH186" s="56">
        <v>2.3</v>
      </c>
      <c r="AI186" s="56">
        <v>0.1</v>
      </c>
      <c r="AJ186" s="56">
        <v>8.9</v>
      </c>
      <c r="AK186" s="56">
        <v>4.6</v>
      </c>
      <c r="AL186" s="56">
        <v>1</v>
      </c>
      <c r="AM186" s="56">
        <v>10.8</v>
      </c>
      <c r="AN186" s="56">
        <v>189.274</v>
      </c>
      <c r="AO186" s="56">
        <v>186.22</v>
      </c>
      <c r="AP186" s="56">
        <v>375.494</v>
      </c>
      <c r="AQ186" s="56">
        <v>117.466</v>
      </c>
      <c r="AR186" s="56">
        <v>476.582</v>
      </c>
      <c r="AS186" s="56">
        <v>594.048</v>
      </c>
    </row>
    <row r="187" spans="1:45">
      <c r="A187" s="54">
        <v>2017</v>
      </c>
      <c r="B187" s="54">
        <v>640000</v>
      </c>
      <c r="C187" s="55" t="s">
        <v>69</v>
      </c>
      <c r="D187" s="56">
        <v>1</v>
      </c>
      <c r="E187" s="49">
        <v>0</v>
      </c>
      <c r="F187" s="49">
        <v>0</v>
      </c>
      <c r="G187" s="49">
        <v>0</v>
      </c>
      <c r="H187" s="56">
        <v>58.144</v>
      </c>
      <c r="I187" s="56">
        <v>41.856</v>
      </c>
      <c r="J187" s="56">
        <v>5.159</v>
      </c>
      <c r="K187" s="56">
        <v>16.468</v>
      </c>
      <c r="L187" s="56">
        <v>39.669</v>
      </c>
      <c r="M187" s="56">
        <v>11.207</v>
      </c>
      <c r="N187" s="56">
        <v>11.684</v>
      </c>
      <c r="O187" s="56">
        <v>9.688</v>
      </c>
      <c r="P187" s="56">
        <v>0.461</v>
      </c>
      <c r="Q187" s="50">
        <v>106.3</v>
      </c>
      <c r="R187" s="50">
        <v>84.3</v>
      </c>
      <c r="S187" s="50">
        <v>153.4</v>
      </c>
      <c r="T187" s="51">
        <v>344</v>
      </c>
      <c r="U187" s="56">
        <v>1.2</v>
      </c>
      <c r="V187" s="56">
        <v>5</v>
      </c>
      <c r="W187" s="56">
        <v>12.5</v>
      </c>
      <c r="X187" s="56">
        <v>3.4</v>
      </c>
      <c r="Y187" s="56">
        <v>4.1</v>
      </c>
      <c r="Z187" s="56">
        <v>3.7</v>
      </c>
      <c r="AA187" s="56">
        <v>0.8</v>
      </c>
      <c r="AB187" s="56">
        <v>2.4</v>
      </c>
      <c r="AC187" s="56">
        <v>0.6</v>
      </c>
      <c r="AD187" s="56">
        <v>4</v>
      </c>
      <c r="AE187" s="56">
        <v>1.5</v>
      </c>
      <c r="AF187" s="56">
        <v>1.8</v>
      </c>
      <c r="AG187" s="56">
        <v>1.5</v>
      </c>
      <c r="AH187" s="56">
        <v>2.3</v>
      </c>
      <c r="AI187" s="56">
        <v>0.1</v>
      </c>
      <c r="AJ187" s="56">
        <v>8.9</v>
      </c>
      <c r="AK187" s="56">
        <v>4.9</v>
      </c>
      <c r="AL187" s="56">
        <v>1</v>
      </c>
      <c r="AM187" s="56">
        <v>11.4</v>
      </c>
      <c r="AN187" s="56">
        <v>205.208</v>
      </c>
      <c r="AO187" s="56">
        <v>185.482</v>
      </c>
      <c r="AP187" s="56">
        <v>390.69</v>
      </c>
      <c r="AQ187" s="56">
        <v>123.458</v>
      </c>
      <c r="AR187" s="56">
        <v>494.762</v>
      </c>
      <c r="AS187" s="56">
        <v>618.221</v>
      </c>
    </row>
    <row r="188" spans="1:45">
      <c r="A188" s="54">
        <v>2018</v>
      </c>
      <c r="B188" s="54">
        <v>640000</v>
      </c>
      <c r="C188" s="55" t="s">
        <v>69</v>
      </c>
      <c r="D188" s="49">
        <v>1</v>
      </c>
      <c r="E188" s="56">
        <v>0</v>
      </c>
      <c r="F188" s="56">
        <v>0</v>
      </c>
      <c r="G188" s="56">
        <v>0</v>
      </c>
      <c r="H188" s="56">
        <v>58.183</v>
      </c>
      <c r="I188" s="56">
        <v>41.817</v>
      </c>
      <c r="J188" s="56">
        <v>5.256</v>
      </c>
      <c r="K188" s="56">
        <v>15.876</v>
      </c>
      <c r="L188" s="56">
        <v>39.091</v>
      </c>
      <c r="M188" s="56">
        <v>11.096</v>
      </c>
      <c r="N188" s="56">
        <v>12.237</v>
      </c>
      <c r="O188" s="56">
        <v>10.013</v>
      </c>
      <c r="P188" s="56">
        <v>0.597</v>
      </c>
      <c r="Q188" s="50">
        <v>98.3</v>
      </c>
      <c r="R188" s="50">
        <v>81.8</v>
      </c>
      <c r="S188" s="50">
        <v>164.9</v>
      </c>
      <c r="T188" s="51">
        <v>345</v>
      </c>
      <c r="U188" s="56">
        <v>0.8</v>
      </c>
      <c r="V188" s="56">
        <v>5.6</v>
      </c>
      <c r="W188" s="56">
        <v>9.9</v>
      </c>
      <c r="X188" s="56">
        <v>3.5</v>
      </c>
      <c r="Y188" s="56">
        <v>3.5</v>
      </c>
      <c r="Z188" s="56">
        <v>3.9</v>
      </c>
      <c r="AA188" s="56">
        <v>0.8</v>
      </c>
      <c r="AB188" s="56">
        <v>2.4</v>
      </c>
      <c r="AC188" s="56">
        <v>0.5</v>
      </c>
      <c r="AD188" s="56">
        <v>4.1</v>
      </c>
      <c r="AE188" s="56">
        <v>1.4</v>
      </c>
      <c r="AF188" s="56">
        <v>1.8</v>
      </c>
      <c r="AG188" s="56">
        <v>1.3</v>
      </c>
      <c r="AH188" s="56">
        <v>2</v>
      </c>
      <c r="AI188" s="56"/>
      <c r="AJ188" s="56">
        <v>9</v>
      </c>
      <c r="AK188" s="56">
        <v>4.7</v>
      </c>
      <c r="AL188" s="56">
        <v>0.9</v>
      </c>
      <c r="AM188" s="56">
        <v>12.1</v>
      </c>
      <c r="AN188" s="56">
        <v>216.126</v>
      </c>
      <c r="AO188" s="56">
        <v>181.367</v>
      </c>
      <c r="AP188" s="56">
        <v>397.493</v>
      </c>
      <c r="AQ188" s="56">
        <v>131.928</v>
      </c>
      <c r="AR188" s="56">
        <v>494.316</v>
      </c>
      <c r="AS188" s="56">
        <v>626.244</v>
      </c>
    </row>
    <row r="189" spans="1:45">
      <c r="A189" s="54">
        <v>2019</v>
      </c>
      <c r="B189" s="54">
        <v>640000</v>
      </c>
      <c r="C189" s="55" t="s">
        <v>69</v>
      </c>
      <c r="D189" s="56">
        <v>1</v>
      </c>
      <c r="E189" s="49">
        <v>0</v>
      </c>
      <c r="F189" s="49">
        <v>0</v>
      </c>
      <c r="G189" s="49">
        <v>0</v>
      </c>
      <c r="H189" s="56">
        <v>58.1</v>
      </c>
      <c r="I189" s="56">
        <v>41.9</v>
      </c>
      <c r="J189" s="56">
        <v>5</v>
      </c>
      <c r="K189" s="56">
        <v>12.7</v>
      </c>
      <c r="L189" s="56">
        <v>37</v>
      </c>
      <c r="M189" s="56">
        <v>16.2</v>
      </c>
      <c r="N189" s="56">
        <v>16.2</v>
      </c>
      <c r="O189" s="56">
        <v>12.1</v>
      </c>
      <c r="P189" s="56">
        <v>0.8</v>
      </c>
      <c r="Q189" s="50">
        <v>90.6</v>
      </c>
      <c r="R189" s="50">
        <v>81.3</v>
      </c>
      <c r="S189" s="50">
        <v>171.2</v>
      </c>
      <c r="T189" s="51">
        <v>343</v>
      </c>
      <c r="U189" s="56">
        <v>0.7</v>
      </c>
      <c r="V189" s="56">
        <v>5.6</v>
      </c>
      <c r="W189" s="56">
        <v>8.9</v>
      </c>
      <c r="X189" s="56">
        <v>3.5</v>
      </c>
      <c r="Y189" s="56">
        <v>3.4</v>
      </c>
      <c r="Z189" s="56">
        <v>3.8</v>
      </c>
      <c r="AA189" s="56">
        <v>0.8</v>
      </c>
      <c r="AB189" s="56">
        <v>2.3</v>
      </c>
      <c r="AC189" s="56">
        <v>0.5</v>
      </c>
      <c r="AD189" s="56">
        <v>3.9</v>
      </c>
      <c r="AE189" s="56">
        <v>1.4</v>
      </c>
      <c r="AF189" s="56">
        <v>3</v>
      </c>
      <c r="AG189" s="56">
        <v>1.4</v>
      </c>
      <c r="AH189" s="56">
        <v>1.7</v>
      </c>
      <c r="AI189" s="56">
        <v>0</v>
      </c>
      <c r="AJ189" s="56">
        <v>9.6</v>
      </c>
      <c r="AK189" s="56">
        <v>5.2</v>
      </c>
      <c r="AL189" s="56">
        <v>0.8</v>
      </c>
      <c r="AM189" s="56">
        <v>13.3</v>
      </c>
      <c r="AN189" s="56">
        <v>226.6</v>
      </c>
      <c r="AO189" s="56">
        <v>194.7</v>
      </c>
      <c r="AP189" s="56">
        <v>421.3</v>
      </c>
      <c r="AQ189" s="56">
        <v>141.1</v>
      </c>
      <c r="AR189" s="56">
        <v>492.6</v>
      </c>
      <c r="AS189" s="56">
        <v>633.7</v>
      </c>
    </row>
    <row r="190" spans="1:45">
      <c r="A190" s="54">
        <v>2020</v>
      </c>
      <c r="B190" s="54">
        <v>640000</v>
      </c>
      <c r="C190" s="55" t="s">
        <v>69</v>
      </c>
      <c r="D190" s="56">
        <v>1</v>
      </c>
      <c r="E190" s="56">
        <v>0</v>
      </c>
      <c r="F190" s="56">
        <v>0</v>
      </c>
      <c r="G190" s="56">
        <v>0</v>
      </c>
      <c r="H190" s="56">
        <v>58.6</v>
      </c>
      <c r="I190" s="56">
        <v>41.4</v>
      </c>
      <c r="J190" s="56">
        <v>6</v>
      </c>
      <c r="K190" s="56">
        <v>14.8</v>
      </c>
      <c r="L190" s="56">
        <v>36.5</v>
      </c>
      <c r="M190" s="56">
        <v>15.9</v>
      </c>
      <c r="N190" s="56">
        <v>13.9</v>
      </c>
      <c r="O190" s="56">
        <v>12.1</v>
      </c>
      <c r="P190" s="56">
        <v>0.7</v>
      </c>
      <c r="Q190" s="50">
        <v>83</v>
      </c>
      <c r="R190" s="50">
        <v>82</v>
      </c>
      <c r="S190" s="50">
        <v>179</v>
      </c>
      <c r="T190" s="51">
        <v>344</v>
      </c>
      <c r="U190" s="56">
        <v>0.6</v>
      </c>
      <c r="V190" s="56">
        <v>6.1</v>
      </c>
      <c r="W190" s="56">
        <v>9.3</v>
      </c>
      <c r="X190" s="56">
        <v>4.2</v>
      </c>
      <c r="Y190" s="56">
        <v>3.2</v>
      </c>
      <c r="Z190" s="56">
        <v>3.7</v>
      </c>
      <c r="AA190" s="56">
        <v>0.8</v>
      </c>
      <c r="AB190" s="56">
        <v>2.3</v>
      </c>
      <c r="AC190" s="56">
        <v>0.4</v>
      </c>
      <c r="AD190" s="56">
        <v>4.2</v>
      </c>
      <c r="AE190" s="56">
        <v>1.5</v>
      </c>
      <c r="AF190" s="56">
        <v>1</v>
      </c>
      <c r="AG190" s="56">
        <v>1.7</v>
      </c>
      <c r="AH190" s="56">
        <v>1.6</v>
      </c>
      <c r="AI190" s="56">
        <v>0</v>
      </c>
      <c r="AJ190" s="56">
        <v>10.3</v>
      </c>
      <c r="AK190" s="56">
        <v>5.6</v>
      </c>
      <c r="AL190" s="56">
        <v>1</v>
      </c>
      <c r="AM190" s="56">
        <v>11.7</v>
      </c>
      <c r="AN190" s="56">
        <v>240.1</v>
      </c>
      <c r="AO190" s="56">
        <v>238.6</v>
      </c>
      <c r="AP190" s="56">
        <v>478.8</v>
      </c>
      <c r="AQ190" s="56">
        <v>153</v>
      </c>
      <c r="AR190" s="56">
        <v>505.8</v>
      </c>
      <c r="AS190" s="56">
        <v>658.8</v>
      </c>
    </row>
    <row r="191" spans="1:45">
      <c r="A191" s="54">
        <v>2021</v>
      </c>
      <c r="B191" s="54">
        <v>640000</v>
      </c>
      <c r="C191" s="55" t="s">
        <v>69</v>
      </c>
      <c r="D191" s="49">
        <v>1</v>
      </c>
      <c r="E191" s="49">
        <v>0</v>
      </c>
      <c r="F191" s="49">
        <v>0</v>
      </c>
      <c r="G191" s="49">
        <v>0</v>
      </c>
      <c r="H191" s="56">
        <v>58.447</v>
      </c>
      <c r="I191" s="56">
        <v>41.553</v>
      </c>
      <c r="J191" s="56">
        <v>7.375</v>
      </c>
      <c r="K191" s="56">
        <v>18.137</v>
      </c>
      <c r="L191" s="56">
        <v>33.238</v>
      </c>
      <c r="M191" s="56">
        <v>15.011</v>
      </c>
      <c r="N191" s="56">
        <v>13.251</v>
      </c>
      <c r="O191" s="56">
        <v>12.046</v>
      </c>
      <c r="P191" s="56">
        <v>0.942</v>
      </c>
      <c r="Q191" s="50">
        <v>81</v>
      </c>
      <c r="R191" s="50">
        <v>82</v>
      </c>
      <c r="S191" s="50">
        <v>182</v>
      </c>
      <c r="T191" s="51">
        <v>345</v>
      </c>
      <c r="U191" s="56">
        <v>0.5</v>
      </c>
      <c r="V191" s="56">
        <v>6</v>
      </c>
      <c r="W191" s="56">
        <v>9.8</v>
      </c>
      <c r="X191" s="56">
        <v>4.4</v>
      </c>
      <c r="Y191" s="56">
        <v>2.7</v>
      </c>
      <c r="Z191" s="56">
        <v>4</v>
      </c>
      <c r="AA191" s="56">
        <v>1</v>
      </c>
      <c r="AB191" s="56">
        <v>2.5</v>
      </c>
      <c r="AC191" s="56">
        <v>0.3</v>
      </c>
      <c r="AD191" s="56">
        <v>3.9</v>
      </c>
      <c r="AE191" s="56">
        <v>1.6</v>
      </c>
      <c r="AF191" s="56">
        <v>1.2</v>
      </c>
      <c r="AG191" s="56">
        <v>1.8</v>
      </c>
      <c r="AH191" s="56">
        <v>1.5</v>
      </c>
      <c r="AI191" s="56">
        <v>0.1</v>
      </c>
      <c r="AJ191" s="56">
        <v>10.7</v>
      </c>
      <c r="AK191" s="56">
        <v>5.8</v>
      </c>
      <c r="AL191" s="56">
        <v>0.9</v>
      </c>
      <c r="AM191" s="56">
        <v>11.9</v>
      </c>
      <c r="AN191" s="56">
        <v>252.111</v>
      </c>
      <c r="AO191" s="56">
        <v>230.744</v>
      </c>
      <c r="AP191" s="56">
        <v>482.855</v>
      </c>
      <c r="AQ191" s="56">
        <v>159.592</v>
      </c>
      <c r="AR191" s="56">
        <v>503.821</v>
      </c>
      <c r="AS191" s="56">
        <v>663.413</v>
      </c>
    </row>
    <row r="192" spans="1:45">
      <c r="A192" s="54">
        <v>2022</v>
      </c>
      <c r="B192" s="54">
        <v>640000</v>
      </c>
      <c r="C192" s="55" t="s">
        <v>69</v>
      </c>
      <c r="D192" s="56">
        <v>1</v>
      </c>
      <c r="E192" s="56">
        <v>0</v>
      </c>
      <c r="F192" s="56">
        <v>0</v>
      </c>
      <c r="G192" s="56">
        <v>0</v>
      </c>
      <c r="H192" s="56">
        <v>57.976</v>
      </c>
      <c r="I192" s="56">
        <v>42.024</v>
      </c>
      <c r="J192" s="56">
        <v>6.77</v>
      </c>
      <c r="K192" s="56">
        <v>20.959</v>
      </c>
      <c r="L192" s="56">
        <v>31.926</v>
      </c>
      <c r="M192" s="56">
        <v>13.378</v>
      </c>
      <c r="N192" s="56">
        <v>13.046</v>
      </c>
      <c r="O192" s="56">
        <v>13.004</v>
      </c>
      <c r="P192" s="56">
        <v>0.916</v>
      </c>
      <c r="Q192" s="50">
        <v>94</v>
      </c>
      <c r="R192" s="50">
        <v>79</v>
      </c>
      <c r="S192" s="50">
        <v>163</v>
      </c>
      <c r="T192" s="51">
        <v>336</v>
      </c>
      <c r="U192" s="56">
        <v>0.5</v>
      </c>
      <c r="V192" s="56">
        <v>6</v>
      </c>
      <c r="W192" s="56">
        <v>11</v>
      </c>
      <c r="X192" s="56">
        <v>4.1</v>
      </c>
      <c r="Y192" s="56">
        <v>2.3</v>
      </c>
      <c r="Z192" s="56">
        <v>4.1</v>
      </c>
      <c r="AA192" s="56">
        <v>1</v>
      </c>
      <c r="AB192" s="56">
        <v>2.5</v>
      </c>
      <c r="AC192" s="56">
        <v>0.3</v>
      </c>
      <c r="AD192" s="56">
        <v>3.6</v>
      </c>
      <c r="AE192" s="56">
        <v>1.6</v>
      </c>
      <c r="AF192" s="56">
        <v>1.3</v>
      </c>
      <c r="AG192" s="56">
        <v>1.6</v>
      </c>
      <c r="AH192" s="56">
        <v>1.8</v>
      </c>
      <c r="AI192" s="56">
        <v>0.1</v>
      </c>
      <c r="AJ192" s="56">
        <v>10.7</v>
      </c>
      <c r="AK192" s="56">
        <v>5.8</v>
      </c>
      <c r="AL192" s="56">
        <v>0.9</v>
      </c>
      <c r="AM192" s="56">
        <v>12</v>
      </c>
      <c r="AN192" s="56">
        <v>283.793</v>
      </c>
      <c r="AO192" s="56">
        <v>235.886</v>
      </c>
      <c r="AP192" s="56">
        <v>519.679</v>
      </c>
      <c r="AQ192" s="56">
        <v>162.37</v>
      </c>
      <c r="AR192" s="56">
        <v>500.436</v>
      </c>
      <c r="AS192" s="56">
        <v>662.805</v>
      </c>
    </row>
    <row r="193" spans="1:45">
      <c r="A193" s="54">
        <v>2013</v>
      </c>
      <c r="B193" s="54">
        <v>630000</v>
      </c>
      <c r="C193" s="55" t="s">
        <v>70</v>
      </c>
      <c r="D193" s="56">
        <v>1</v>
      </c>
      <c r="E193" s="49">
        <v>0</v>
      </c>
      <c r="F193" s="49">
        <v>0</v>
      </c>
      <c r="G193" s="49">
        <v>0</v>
      </c>
      <c r="J193" s="56">
        <v>6.334</v>
      </c>
      <c r="K193" s="56">
        <v>25.243</v>
      </c>
      <c r="L193" s="56">
        <v>35.927</v>
      </c>
      <c r="M193" s="56">
        <v>15.005</v>
      </c>
      <c r="N193" s="56">
        <v>10.715</v>
      </c>
      <c r="O193" s="56">
        <v>6.528</v>
      </c>
      <c r="P193" s="56">
        <v>0.248</v>
      </c>
      <c r="Q193" s="50">
        <v>110</v>
      </c>
      <c r="R193" s="50">
        <v>69</v>
      </c>
      <c r="S193" s="50">
        <v>117</v>
      </c>
      <c r="T193" s="51">
        <v>296</v>
      </c>
      <c r="U193" s="56">
        <v>1.4</v>
      </c>
      <c r="V193" s="56">
        <v>4.4</v>
      </c>
      <c r="W193" s="56">
        <v>11.8</v>
      </c>
      <c r="X193" s="56">
        <v>1.9</v>
      </c>
      <c r="Y193" s="56">
        <v>7.3</v>
      </c>
      <c r="Z193" s="56">
        <v>4.8</v>
      </c>
      <c r="AA193" s="56">
        <v>1</v>
      </c>
      <c r="AB193" s="56">
        <v>2.4</v>
      </c>
      <c r="AC193" s="56">
        <v>0.6</v>
      </c>
      <c r="AD193" s="56">
        <v>2.2</v>
      </c>
      <c r="AE193" s="56">
        <v>0.8</v>
      </c>
      <c r="AF193" s="56">
        <v>0.7</v>
      </c>
      <c r="AG193" s="56">
        <v>2.3</v>
      </c>
      <c r="AH193" s="56">
        <v>1</v>
      </c>
      <c r="AI193" s="56">
        <v>0.1</v>
      </c>
      <c r="AJ193" s="56">
        <v>7.6</v>
      </c>
      <c r="AK193" s="56">
        <v>3.7</v>
      </c>
      <c r="AL193" s="56">
        <v>0.8</v>
      </c>
      <c r="AM193" s="56">
        <v>9.4</v>
      </c>
      <c r="AN193" s="56">
        <v>90.305</v>
      </c>
      <c r="AO193" s="56">
        <v>216.052</v>
      </c>
      <c r="AP193" s="56">
        <v>306.358</v>
      </c>
      <c r="AQ193" s="56">
        <v>89.707</v>
      </c>
      <c r="AR193" s="56">
        <v>91.61</v>
      </c>
      <c r="AS193" s="56">
        <v>181.317</v>
      </c>
    </row>
    <row r="194" spans="1:45">
      <c r="A194" s="54">
        <v>2014</v>
      </c>
      <c r="B194" s="54">
        <v>630000</v>
      </c>
      <c r="C194" s="55" t="s">
        <v>70</v>
      </c>
      <c r="D194" s="49">
        <v>1</v>
      </c>
      <c r="E194" s="56">
        <v>0</v>
      </c>
      <c r="F194" s="56">
        <v>0</v>
      </c>
      <c r="G194" s="56">
        <v>0</v>
      </c>
      <c r="H194" s="56">
        <v>56</v>
      </c>
      <c r="I194" s="56">
        <v>44</v>
      </c>
      <c r="J194" s="56">
        <v>5.2</v>
      </c>
      <c r="K194" s="56">
        <v>27.2</v>
      </c>
      <c r="L194" s="56">
        <v>37.2</v>
      </c>
      <c r="M194" s="56">
        <v>13.9</v>
      </c>
      <c r="N194" s="56">
        <v>9.2</v>
      </c>
      <c r="O194" s="56">
        <v>6.8</v>
      </c>
      <c r="P194" s="56">
        <v>0.4</v>
      </c>
      <c r="Q194" s="50">
        <v>107</v>
      </c>
      <c r="R194" s="50">
        <v>67</v>
      </c>
      <c r="S194" s="50">
        <v>119</v>
      </c>
      <c r="T194" s="51">
        <v>293</v>
      </c>
      <c r="U194" s="56">
        <v>1.4</v>
      </c>
      <c r="V194" s="56">
        <v>4.2</v>
      </c>
      <c r="W194" s="56">
        <v>11.3</v>
      </c>
      <c r="X194" s="56">
        <v>1.9</v>
      </c>
      <c r="Y194" s="56">
        <v>7.6</v>
      </c>
      <c r="Z194" s="56">
        <v>4.1</v>
      </c>
      <c r="AA194" s="56">
        <v>0.9</v>
      </c>
      <c r="AB194" s="56">
        <v>2.3</v>
      </c>
      <c r="AC194" s="56">
        <v>0.6</v>
      </c>
      <c r="AD194" s="56">
        <v>2.2</v>
      </c>
      <c r="AE194" s="56">
        <v>0.8</v>
      </c>
      <c r="AF194" s="56">
        <v>0.8</v>
      </c>
      <c r="AG194" s="56">
        <v>2.3</v>
      </c>
      <c r="AH194" s="56">
        <v>1</v>
      </c>
      <c r="AI194" s="56">
        <v>0.1</v>
      </c>
      <c r="AJ194" s="56">
        <v>7.4</v>
      </c>
      <c r="AK194" s="56">
        <v>3.8</v>
      </c>
      <c r="AL194" s="56">
        <v>0.9</v>
      </c>
      <c r="AM194" s="56">
        <v>9.8</v>
      </c>
      <c r="AN194" s="56">
        <v>94.6</v>
      </c>
      <c r="AO194" s="56">
        <v>224.6</v>
      </c>
      <c r="AP194" s="56">
        <v>319.2</v>
      </c>
      <c r="AQ194" s="56">
        <v>93.3</v>
      </c>
      <c r="AR194" s="56">
        <v>97.1</v>
      </c>
      <c r="AS194" s="56">
        <v>190.4</v>
      </c>
    </row>
    <row r="195" spans="1:45">
      <c r="A195" s="54">
        <v>2015</v>
      </c>
      <c r="B195" s="54">
        <v>630000</v>
      </c>
      <c r="C195" s="55" t="s">
        <v>70</v>
      </c>
      <c r="D195" s="56">
        <v>1</v>
      </c>
      <c r="E195" s="49">
        <v>0</v>
      </c>
      <c r="F195" s="49">
        <v>0</v>
      </c>
      <c r="G195" s="49">
        <v>0</v>
      </c>
      <c r="H195" s="56">
        <v>57.221</v>
      </c>
      <c r="I195" s="56">
        <v>42.779</v>
      </c>
      <c r="J195" s="56">
        <v>7.234</v>
      </c>
      <c r="K195" s="56">
        <v>27.484</v>
      </c>
      <c r="L195" s="56">
        <v>35.037</v>
      </c>
      <c r="M195" s="56">
        <v>8.906</v>
      </c>
      <c r="N195" s="56">
        <v>9.877</v>
      </c>
      <c r="O195" s="56">
        <v>7.799</v>
      </c>
      <c r="P195" s="56">
        <v>0.171</v>
      </c>
      <c r="Q195" s="50">
        <v>105</v>
      </c>
      <c r="R195" s="50">
        <v>67</v>
      </c>
      <c r="S195" s="50">
        <v>120</v>
      </c>
      <c r="T195" s="51">
        <v>292</v>
      </c>
      <c r="U195" s="56">
        <v>1.4</v>
      </c>
      <c r="V195" s="56">
        <v>3.9</v>
      </c>
      <c r="W195" s="56">
        <v>10.9</v>
      </c>
      <c r="X195" s="56">
        <v>2</v>
      </c>
      <c r="Y195" s="56">
        <v>7</v>
      </c>
      <c r="Z195" s="56">
        <v>4.3</v>
      </c>
      <c r="AA195" s="56">
        <v>0.8</v>
      </c>
      <c r="AB195" s="56">
        <v>2.3</v>
      </c>
      <c r="AC195" s="56">
        <v>0.6</v>
      </c>
      <c r="AD195" s="56">
        <v>2.3</v>
      </c>
      <c r="AE195" s="56">
        <v>0.9</v>
      </c>
      <c r="AF195" s="56">
        <v>0.8</v>
      </c>
      <c r="AG195" s="56">
        <v>2.2</v>
      </c>
      <c r="AH195" s="56">
        <v>1</v>
      </c>
      <c r="AI195" s="56">
        <v>0.1</v>
      </c>
      <c r="AJ195" s="56">
        <v>7.6</v>
      </c>
      <c r="AK195" s="56">
        <v>3.8</v>
      </c>
      <c r="AL195" s="56">
        <v>0.9</v>
      </c>
      <c r="AM195" s="56">
        <v>10.2</v>
      </c>
      <c r="AN195" s="56">
        <v>100.074</v>
      </c>
      <c r="AO195" s="56">
        <v>233.475</v>
      </c>
      <c r="AP195" s="56">
        <v>333.549</v>
      </c>
      <c r="AQ195" s="56">
        <v>95.594</v>
      </c>
      <c r="AR195" s="56">
        <v>99.556</v>
      </c>
      <c r="AS195" s="56">
        <v>195.15</v>
      </c>
    </row>
    <row r="196" spans="1:45">
      <c r="A196" s="54">
        <v>2016</v>
      </c>
      <c r="B196" s="54">
        <v>630000</v>
      </c>
      <c r="C196" s="55" t="s">
        <v>70</v>
      </c>
      <c r="D196" s="56">
        <v>1</v>
      </c>
      <c r="E196" s="56">
        <v>0</v>
      </c>
      <c r="F196" s="56">
        <v>0</v>
      </c>
      <c r="G196" s="56">
        <v>0</v>
      </c>
      <c r="H196" s="56">
        <v>56.711</v>
      </c>
      <c r="I196" s="56">
        <v>43.289</v>
      </c>
      <c r="J196" s="56">
        <v>6.945</v>
      </c>
      <c r="K196" s="56">
        <v>25.985</v>
      </c>
      <c r="L196" s="56">
        <v>35.003</v>
      </c>
      <c r="M196" s="56">
        <v>9.06</v>
      </c>
      <c r="N196" s="56">
        <v>10.541</v>
      </c>
      <c r="O196" s="56">
        <v>8.423</v>
      </c>
      <c r="P196" s="56">
        <v>0.214</v>
      </c>
      <c r="Q196" s="50">
        <v>103</v>
      </c>
      <c r="R196" s="50">
        <v>66</v>
      </c>
      <c r="S196" s="50">
        <v>120</v>
      </c>
      <c r="T196" s="51">
        <v>289</v>
      </c>
      <c r="U196" s="56">
        <v>1.4</v>
      </c>
      <c r="V196" s="56">
        <v>3.5</v>
      </c>
      <c r="W196" s="56">
        <v>10.6</v>
      </c>
      <c r="X196" s="56">
        <v>2.2</v>
      </c>
      <c r="Y196" s="56">
        <v>6.7</v>
      </c>
      <c r="Z196" s="56">
        <v>4.3</v>
      </c>
      <c r="AA196" s="56">
        <v>0.9</v>
      </c>
      <c r="AB196" s="56">
        <v>2.3</v>
      </c>
      <c r="AC196" s="56">
        <v>0.6</v>
      </c>
      <c r="AD196" s="56">
        <v>2.4</v>
      </c>
      <c r="AE196" s="56">
        <v>0.9</v>
      </c>
      <c r="AF196" s="56">
        <v>0.9</v>
      </c>
      <c r="AG196" s="56">
        <v>2.2</v>
      </c>
      <c r="AH196" s="56">
        <v>1.1</v>
      </c>
      <c r="AI196" s="56">
        <v>0.1</v>
      </c>
      <c r="AJ196" s="56">
        <v>7.7</v>
      </c>
      <c r="AK196" s="56">
        <v>4.1</v>
      </c>
      <c r="AL196" s="56">
        <v>0.8</v>
      </c>
      <c r="AM196" s="56">
        <v>10.6</v>
      </c>
      <c r="AN196" s="56">
        <v>132.31</v>
      </c>
      <c r="AO196" s="56">
        <v>235.211</v>
      </c>
      <c r="AP196" s="56">
        <v>367.521</v>
      </c>
      <c r="AQ196" s="56">
        <v>97.884</v>
      </c>
      <c r="AR196" s="56">
        <v>98.798</v>
      </c>
      <c r="AS196" s="56">
        <v>196.682</v>
      </c>
    </row>
    <row r="197" spans="1:45">
      <c r="A197" s="54">
        <v>2017</v>
      </c>
      <c r="B197" s="54">
        <v>630000</v>
      </c>
      <c r="C197" s="55" t="s">
        <v>70</v>
      </c>
      <c r="D197" s="49">
        <v>1</v>
      </c>
      <c r="E197" s="49">
        <v>0</v>
      </c>
      <c r="F197" s="49">
        <v>0</v>
      </c>
      <c r="G197" s="49">
        <v>0</v>
      </c>
      <c r="H197" s="56">
        <v>56.63</v>
      </c>
      <c r="I197" s="56">
        <v>43.37</v>
      </c>
      <c r="J197" s="56">
        <v>6.104</v>
      </c>
      <c r="K197" s="56">
        <v>25.139</v>
      </c>
      <c r="L197" s="56">
        <v>35.654</v>
      </c>
      <c r="M197" s="56">
        <v>10.072</v>
      </c>
      <c r="N197" s="56">
        <v>10.504</v>
      </c>
      <c r="O197" s="56">
        <v>8.859</v>
      </c>
      <c r="P197" s="56">
        <v>0.186</v>
      </c>
      <c r="Q197" s="50">
        <v>101</v>
      </c>
      <c r="R197" s="50">
        <v>64</v>
      </c>
      <c r="S197" s="50">
        <v>122</v>
      </c>
      <c r="T197" s="51">
        <v>287</v>
      </c>
      <c r="U197" s="56">
        <v>1.4</v>
      </c>
      <c r="V197" s="56">
        <v>3.1</v>
      </c>
      <c r="W197" s="56">
        <v>10.1</v>
      </c>
      <c r="X197" s="56">
        <v>2.4</v>
      </c>
      <c r="Y197" s="56">
        <v>6.5</v>
      </c>
      <c r="Z197" s="56">
        <v>4.7</v>
      </c>
      <c r="AA197" s="56">
        <v>0.9</v>
      </c>
      <c r="AB197" s="56">
        <v>2.2</v>
      </c>
      <c r="AC197" s="56">
        <v>0.6</v>
      </c>
      <c r="AD197" s="56">
        <v>2.3</v>
      </c>
      <c r="AE197" s="56">
        <v>1</v>
      </c>
      <c r="AF197" s="56">
        <v>0.8</v>
      </c>
      <c r="AG197" s="56">
        <v>2.3</v>
      </c>
      <c r="AH197" s="56">
        <v>1.2</v>
      </c>
      <c r="AI197" s="56">
        <v>0.1</v>
      </c>
      <c r="AJ197" s="56">
        <v>7.6</v>
      </c>
      <c r="AK197" s="56">
        <v>4.3</v>
      </c>
      <c r="AL197" s="56">
        <v>0.9</v>
      </c>
      <c r="AM197" s="56">
        <v>11</v>
      </c>
      <c r="AN197" s="56">
        <v>138.338</v>
      </c>
      <c r="AO197" s="56">
        <v>239.111</v>
      </c>
      <c r="AP197" s="56">
        <v>377.449</v>
      </c>
      <c r="AQ197" s="56">
        <v>94.026</v>
      </c>
      <c r="AR197" s="56">
        <v>454.963</v>
      </c>
      <c r="AS197" s="56">
        <v>548.99</v>
      </c>
    </row>
    <row r="198" spans="1:45">
      <c r="A198" s="54">
        <v>2018</v>
      </c>
      <c r="B198" s="54">
        <v>630000</v>
      </c>
      <c r="C198" s="55" t="s">
        <v>70</v>
      </c>
      <c r="D198" s="56">
        <v>1</v>
      </c>
      <c r="E198" s="56">
        <v>0</v>
      </c>
      <c r="F198" s="56">
        <v>0</v>
      </c>
      <c r="G198" s="56">
        <v>0</v>
      </c>
      <c r="H198" s="56">
        <v>57.257</v>
      </c>
      <c r="I198" s="56">
        <v>42.743</v>
      </c>
      <c r="J198" s="56">
        <v>6.145</v>
      </c>
      <c r="K198" s="56">
        <v>24.396</v>
      </c>
      <c r="L198" s="56">
        <v>36.163</v>
      </c>
      <c r="M198" s="56">
        <v>9.307</v>
      </c>
      <c r="N198" s="56">
        <v>10.281</v>
      </c>
      <c r="O198" s="56">
        <v>10.27</v>
      </c>
      <c r="P198" s="56">
        <v>0.263</v>
      </c>
      <c r="Q198" s="50">
        <v>95</v>
      </c>
      <c r="R198" s="50">
        <v>60</v>
      </c>
      <c r="S198" s="50">
        <v>130</v>
      </c>
      <c r="T198" s="51">
        <v>285</v>
      </c>
      <c r="U198" s="56">
        <v>1.2</v>
      </c>
      <c r="V198" s="56">
        <v>3</v>
      </c>
      <c r="W198" s="56">
        <v>9</v>
      </c>
      <c r="X198" s="56">
        <v>2.4</v>
      </c>
      <c r="Y198" s="56">
        <v>5.8</v>
      </c>
      <c r="Z198" s="56">
        <v>4.6</v>
      </c>
      <c r="AA198" s="56">
        <v>0.9</v>
      </c>
      <c r="AB198" s="56">
        <v>2</v>
      </c>
      <c r="AC198" s="56">
        <v>0.5</v>
      </c>
      <c r="AD198" s="56">
        <v>2.3</v>
      </c>
      <c r="AE198" s="56">
        <v>0.9</v>
      </c>
      <c r="AF198" s="56">
        <v>0.7</v>
      </c>
      <c r="AG198" s="56">
        <v>2.2</v>
      </c>
      <c r="AH198" s="56">
        <v>1.1</v>
      </c>
      <c r="AI198" s="56">
        <v>0.1</v>
      </c>
      <c r="AJ198" s="56">
        <v>7.8</v>
      </c>
      <c r="AK198" s="56">
        <v>4.8</v>
      </c>
      <c r="AL198" s="56">
        <v>0.8</v>
      </c>
      <c r="AM198" s="56">
        <v>12.7</v>
      </c>
      <c r="AN198" s="56">
        <v>145.093</v>
      </c>
      <c r="AO198" s="56">
        <v>245.632</v>
      </c>
      <c r="AP198" s="56">
        <v>390.725</v>
      </c>
      <c r="AQ198" s="56">
        <v>99.421</v>
      </c>
      <c r="AR198" s="56">
        <v>455.925</v>
      </c>
      <c r="AS198" s="56">
        <v>555.346</v>
      </c>
    </row>
    <row r="199" spans="1:45">
      <c r="A199" s="54">
        <v>2019</v>
      </c>
      <c r="B199" s="54">
        <v>630000</v>
      </c>
      <c r="C199" s="55" t="s">
        <v>70</v>
      </c>
      <c r="D199" s="56">
        <v>1</v>
      </c>
      <c r="E199" s="49">
        <v>0</v>
      </c>
      <c r="F199" s="49">
        <v>0</v>
      </c>
      <c r="G199" s="49">
        <v>0</v>
      </c>
      <c r="H199" s="56">
        <v>59.9</v>
      </c>
      <c r="I199" s="56">
        <v>40.1</v>
      </c>
      <c r="J199" s="56">
        <v>5.7</v>
      </c>
      <c r="K199" s="56">
        <v>20.7</v>
      </c>
      <c r="L199" s="56">
        <v>35.2</v>
      </c>
      <c r="M199" s="56">
        <v>14.3</v>
      </c>
      <c r="N199" s="56">
        <v>12.6</v>
      </c>
      <c r="O199" s="56">
        <v>11</v>
      </c>
      <c r="P199" s="56">
        <v>0.4</v>
      </c>
      <c r="Q199" s="50">
        <v>90</v>
      </c>
      <c r="R199" s="50">
        <v>57</v>
      </c>
      <c r="S199" s="50">
        <v>135</v>
      </c>
      <c r="T199" s="51">
        <v>282</v>
      </c>
      <c r="U199" s="56">
        <v>0.6</v>
      </c>
      <c r="V199" s="56">
        <v>3.1</v>
      </c>
      <c r="W199" s="56">
        <v>8.9</v>
      </c>
      <c r="X199" s="56">
        <v>2.1</v>
      </c>
      <c r="Y199" s="56">
        <v>4.6</v>
      </c>
      <c r="Z199" s="56">
        <v>5.2</v>
      </c>
      <c r="AA199" s="56">
        <v>0.9</v>
      </c>
      <c r="AB199" s="56">
        <v>2.4</v>
      </c>
      <c r="AC199" s="56">
        <v>0.6</v>
      </c>
      <c r="AD199" s="56">
        <v>2.9</v>
      </c>
      <c r="AE199" s="56">
        <v>1.4</v>
      </c>
      <c r="AF199" s="56">
        <v>1.6</v>
      </c>
      <c r="AG199" s="56">
        <v>1.8</v>
      </c>
      <c r="AH199" s="56">
        <v>1</v>
      </c>
      <c r="AI199" s="56">
        <v>0.1</v>
      </c>
      <c r="AJ199" s="56">
        <v>8.6</v>
      </c>
      <c r="AK199" s="56">
        <v>5.4</v>
      </c>
      <c r="AL199" s="56">
        <v>0.8</v>
      </c>
      <c r="AM199" s="56">
        <v>15.1</v>
      </c>
      <c r="AN199" s="56">
        <v>152.8</v>
      </c>
      <c r="AO199" s="56">
        <v>261.1</v>
      </c>
      <c r="AP199" s="56">
        <v>413.9</v>
      </c>
      <c r="AQ199" s="56">
        <v>103.8</v>
      </c>
      <c r="AR199" s="56">
        <v>454.2</v>
      </c>
      <c r="AS199" s="56">
        <v>557.9</v>
      </c>
    </row>
    <row r="200" spans="1:45">
      <c r="A200" s="54">
        <v>2020</v>
      </c>
      <c r="B200" s="54">
        <v>630000</v>
      </c>
      <c r="C200" s="55" t="s">
        <v>70</v>
      </c>
      <c r="D200" s="49">
        <v>1</v>
      </c>
      <c r="E200" s="56">
        <v>0</v>
      </c>
      <c r="F200" s="56">
        <v>0</v>
      </c>
      <c r="G200" s="56">
        <v>0</v>
      </c>
      <c r="H200" s="56">
        <v>58.1</v>
      </c>
      <c r="I200" s="56">
        <v>41.9</v>
      </c>
      <c r="J200" s="56">
        <v>7.2</v>
      </c>
      <c r="K200" s="56">
        <v>22.8</v>
      </c>
      <c r="L200" s="56">
        <v>33</v>
      </c>
      <c r="M200" s="56">
        <v>13.4</v>
      </c>
      <c r="N200" s="56">
        <v>12</v>
      </c>
      <c r="O200" s="56">
        <v>11.3</v>
      </c>
      <c r="P200" s="56">
        <v>0.4</v>
      </c>
      <c r="Q200" s="50">
        <v>71</v>
      </c>
      <c r="R200" s="50">
        <v>62</v>
      </c>
      <c r="S200" s="50">
        <v>146</v>
      </c>
      <c r="T200" s="51">
        <v>279</v>
      </c>
      <c r="U200" s="56">
        <v>0.7</v>
      </c>
      <c r="V200" s="56">
        <v>3</v>
      </c>
      <c r="W200" s="56">
        <v>8.6</v>
      </c>
      <c r="X200" s="56">
        <v>2.2</v>
      </c>
      <c r="Y200" s="56">
        <v>4.2</v>
      </c>
      <c r="Z200" s="56">
        <v>5.1</v>
      </c>
      <c r="AA200" s="56">
        <v>0.9</v>
      </c>
      <c r="AB200" s="56">
        <v>2.2</v>
      </c>
      <c r="AC200" s="56">
        <v>0.5</v>
      </c>
      <c r="AD200" s="56">
        <v>2.9</v>
      </c>
      <c r="AE200" s="56">
        <v>1.5</v>
      </c>
      <c r="AF200" s="56">
        <v>1.3</v>
      </c>
      <c r="AG200" s="56">
        <v>2</v>
      </c>
      <c r="AH200" s="56">
        <v>1.1</v>
      </c>
      <c r="AI200" s="56">
        <v>0.1</v>
      </c>
      <c r="AJ200" s="56">
        <v>8.4</v>
      </c>
      <c r="AK200" s="56">
        <v>5.5</v>
      </c>
      <c r="AL200" s="56">
        <v>0.8</v>
      </c>
      <c r="AM200" s="56">
        <v>15.2</v>
      </c>
      <c r="AN200" s="56">
        <v>158.2</v>
      </c>
      <c r="AO200" s="56">
        <v>262.3</v>
      </c>
      <c r="AP200" s="56">
        <v>420.5</v>
      </c>
      <c r="AQ200" s="56">
        <v>108.5</v>
      </c>
      <c r="AR200" s="56">
        <v>454.7</v>
      </c>
      <c r="AS200" s="56">
        <v>563.3</v>
      </c>
    </row>
    <row r="201" spans="1:45">
      <c r="A201" s="54">
        <v>2021</v>
      </c>
      <c r="B201" s="54">
        <v>630000</v>
      </c>
      <c r="C201" s="55" t="s">
        <v>70</v>
      </c>
      <c r="D201" s="56">
        <v>1</v>
      </c>
      <c r="E201" s="49">
        <v>0</v>
      </c>
      <c r="F201" s="49">
        <v>0</v>
      </c>
      <c r="G201" s="49">
        <v>0</v>
      </c>
      <c r="H201" s="56">
        <v>57.34</v>
      </c>
      <c r="I201" s="56">
        <v>42.66</v>
      </c>
      <c r="J201" s="56">
        <v>7.474</v>
      </c>
      <c r="K201" s="56">
        <v>24.437</v>
      </c>
      <c r="L201" s="56">
        <v>31.271</v>
      </c>
      <c r="M201" s="56">
        <v>12.686</v>
      </c>
      <c r="N201" s="56">
        <v>11.568</v>
      </c>
      <c r="O201" s="56">
        <v>11.929</v>
      </c>
      <c r="P201" s="56">
        <v>0.635</v>
      </c>
      <c r="Q201" s="50">
        <v>69</v>
      </c>
      <c r="R201" s="50">
        <v>61</v>
      </c>
      <c r="S201" s="50">
        <v>147</v>
      </c>
      <c r="T201" s="51">
        <v>277</v>
      </c>
      <c r="U201" s="56">
        <v>0.8</v>
      </c>
      <c r="V201" s="56">
        <v>2.6</v>
      </c>
      <c r="W201" s="56">
        <v>9.6</v>
      </c>
      <c r="X201" s="56">
        <v>2.3</v>
      </c>
      <c r="Y201" s="56">
        <v>3.6</v>
      </c>
      <c r="Z201" s="56">
        <v>5.1</v>
      </c>
      <c r="AA201" s="56">
        <v>0.9</v>
      </c>
      <c r="AB201" s="56">
        <v>2.1</v>
      </c>
      <c r="AC201" s="56">
        <v>0.4</v>
      </c>
      <c r="AD201" s="56">
        <v>2.8</v>
      </c>
      <c r="AE201" s="56">
        <v>1.6</v>
      </c>
      <c r="AF201" s="56">
        <v>1.3</v>
      </c>
      <c r="AG201" s="56">
        <v>2.1</v>
      </c>
      <c r="AH201" s="56">
        <v>1</v>
      </c>
      <c r="AI201" s="56">
        <v>0.3</v>
      </c>
      <c r="AJ201" s="56">
        <v>8.7</v>
      </c>
      <c r="AK201" s="56">
        <v>5.8</v>
      </c>
      <c r="AL201" s="56">
        <v>0.8</v>
      </c>
      <c r="AM201" s="56">
        <v>15.3</v>
      </c>
      <c r="AN201" s="56">
        <v>168.95</v>
      </c>
      <c r="AO201" s="56">
        <v>262.629</v>
      </c>
      <c r="AP201" s="56">
        <v>431.579</v>
      </c>
      <c r="AQ201" s="56">
        <v>114.834</v>
      </c>
      <c r="AR201" s="56">
        <v>452.129</v>
      </c>
      <c r="AS201" s="56">
        <v>566.963</v>
      </c>
    </row>
    <row r="202" spans="1:45">
      <c r="A202" s="54">
        <v>2022</v>
      </c>
      <c r="B202" s="54">
        <v>630000</v>
      </c>
      <c r="C202" s="55" t="s">
        <v>70</v>
      </c>
      <c r="D202" s="56">
        <v>1</v>
      </c>
      <c r="E202" s="56">
        <v>0</v>
      </c>
      <c r="F202" s="56">
        <v>0</v>
      </c>
      <c r="G202" s="56">
        <v>0</v>
      </c>
      <c r="H202" s="56">
        <v>56.911</v>
      </c>
      <c r="I202" s="56">
        <v>43.089</v>
      </c>
      <c r="J202" s="56">
        <v>7.071</v>
      </c>
      <c r="K202" s="56">
        <v>26.285</v>
      </c>
      <c r="L202" s="56">
        <v>28.705</v>
      </c>
      <c r="M202" s="56">
        <v>11.146</v>
      </c>
      <c r="N202" s="56">
        <v>11.52</v>
      </c>
      <c r="O202" s="56">
        <v>14.374</v>
      </c>
      <c r="P202" s="56">
        <v>0.9</v>
      </c>
      <c r="Q202" s="50">
        <v>72</v>
      </c>
      <c r="R202" s="50">
        <v>55</v>
      </c>
      <c r="S202" s="50">
        <v>129</v>
      </c>
      <c r="T202" s="51">
        <v>256</v>
      </c>
      <c r="U202" s="56">
        <v>0.8</v>
      </c>
      <c r="V202" s="56">
        <v>2.6</v>
      </c>
      <c r="W202" s="56">
        <v>10.2</v>
      </c>
      <c r="X202" s="56">
        <v>2.4</v>
      </c>
      <c r="Y202" s="56">
        <v>3.3</v>
      </c>
      <c r="Z202" s="56">
        <v>4.8</v>
      </c>
      <c r="AA202" s="56">
        <v>1</v>
      </c>
      <c r="AB202" s="56">
        <v>2.1</v>
      </c>
      <c r="AC202" s="56">
        <v>0.4</v>
      </c>
      <c r="AD202" s="56">
        <v>2.6</v>
      </c>
      <c r="AE202" s="56">
        <v>1.7</v>
      </c>
      <c r="AF202" s="56">
        <v>1.3</v>
      </c>
      <c r="AG202" s="56">
        <v>1.9</v>
      </c>
      <c r="AH202" s="56">
        <v>0.9</v>
      </c>
      <c r="AI202" s="56">
        <v>0.2</v>
      </c>
      <c r="AJ202" s="56">
        <v>8.4</v>
      </c>
      <c r="AK202" s="56">
        <v>5.7</v>
      </c>
      <c r="AL202" s="56">
        <v>0.7</v>
      </c>
      <c r="AM202" s="56">
        <v>14.7</v>
      </c>
      <c r="AN202" s="56">
        <v>175.82</v>
      </c>
      <c r="AO202" s="56">
        <v>263.04</v>
      </c>
      <c r="AP202" s="56">
        <v>438.859</v>
      </c>
      <c r="AQ202" s="56">
        <v>116.306</v>
      </c>
      <c r="AR202" s="56">
        <v>443.319</v>
      </c>
      <c r="AS202" s="56">
        <v>559.625</v>
      </c>
    </row>
    <row r="203" spans="1:45">
      <c r="A203" s="54">
        <v>2013</v>
      </c>
      <c r="B203" s="54">
        <v>370000</v>
      </c>
      <c r="C203" s="55" t="s">
        <v>71</v>
      </c>
      <c r="D203" s="49">
        <v>0</v>
      </c>
      <c r="E203" s="56">
        <v>1</v>
      </c>
      <c r="F203" s="49">
        <v>0</v>
      </c>
      <c r="G203" s="49">
        <v>0</v>
      </c>
      <c r="J203" s="56">
        <v>1.997</v>
      </c>
      <c r="K203" s="56">
        <v>14.848</v>
      </c>
      <c r="L203" s="56">
        <v>47.544</v>
      </c>
      <c r="M203" s="56">
        <v>19.579</v>
      </c>
      <c r="N203" s="56">
        <v>9.372</v>
      </c>
      <c r="O203" s="56">
        <v>6.179</v>
      </c>
      <c r="P203" s="56">
        <v>0.481</v>
      </c>
      <c r="Q203" s="50">
        <v>1973.9</v>
      </c>
      <c r="R203" s="50">
        <v>1915.5</v>
      </c>
      <c r="S203" s="50">
        <v>1950.6</v>
      </c>
      <c r="T203" s="51">
        <v>5840</v>
      </c>
      <c r="U203" s="56">
        <v>1.8</v>
      </c>
      <c r="V203" s="56">
        <v>74.6</v>
      </c>
      <c r="W203" s="56">
        <v>437.2</v>
      </c>
      <c r="X203" s="56">
        <v>23.9</v>
      </c>
      <c r="Y203" s="56">
        <v>188.6</v>
      </c>
      <c r="Z203" s="56">
        <v>50.6</v>
      </c>
      <c r="AA203" s="56">
        <v>17.5</v>
      </c>
      <c r="AB203" s="56">
        <v>67.3</v>
      </c>
      <c r="AC203" s="56">
        <v>19.3</v>
      </c>
      <c r="AD203" s="56">
        <v>34.8</v>
      </c>
      <c r="AE203" s="56">
        <v>23.7</v>
      </c>
      <c r="AF203" s="56">
        <v>20.8</v>
      </c>
      <c r="AG203" s="56">
        <v>16.9</v>
      </c>
      <c r="AH203" s="56">
        <v>14.9</v>
      </c>
      <c r="AI203" s="56">
        <v>3.3</v>
      </c>
      <c r="AJ203" s="56">
        <v>120.1</v>
      </c>
      <c r="AK203" s="56">
        <v>56.2</v>
      </c>
      <c r="AL203" s="56">
        <v>7.2</v>
      </c>
      <c r="AM203" s="56">
        <v>112.1</v>
      </c>
      <c r="AN203" s="56">
        <v>2259.564</v>
      </c>
      <c r="AO203" s="56">
        <v>4512.808</v>
      </c>
      <c r="AP203" s="56">
        <v>6772.372</v>
      </c>
      <c r="AQ203" s="56">
        <v>1809.743</v>
      </c>
      <c r="AR203" s="56">
        <v>1838.193</v>
      </c>
      <c r="AS203" s="56">
        <v>3647.936</v>
      </c>
    </row>
    <row r="204" spans="1:45">
      <c r="A204" s="54">
        <v>2014</v>
      </c>
      <c r="B204" s="54">
        <v>370000</v>
      </c>
      <c r="C204" s="55" t="s">
        <v>71</v>
      </c>
      <c r="D204" s="56">
        <v>0</v>
      </c>
      <c r="E204" s="56">
        <v>1</v>
      </c>
      <c r="F204" s="56">
        <v>0</v>
      </c>
      <c r="G204" s="56">
        <v>0</v>
      </c>
      <c r="H204" s="56">
        <v>53.9</v>
      </c>
      <c r="I204" s="56">
        <v>46.1</v>
      </c>
      <c r="J204" s="56">
        <v>1.9</v>
      </c>
      <c r="K204" s="56">
        <v>16.7</v>
      </c>
      <c r="L204" s="56">
        <v>45.2</v>
      </c>
      <c r="M204" s="56">
        <v>18.8</v>
      </c>
      <c r="N204" s="56">
        <v>9.8</v>
      </c>
      <c r="O204" s="56">
        <v>7</v>
      </c>
      <c r="P204" s="56">
        <v>0.5</v>
      </c>
      <c r="Q204" s="50">
        <v>1878.6</v>
      </c>
      <c r="R204" s="50">
        <v>1919.1</v>
      </c>
      <c r="S204" s="50">
        <v>2000.3</v>
      </c>
      <c r="T204" s="51">
        <v>5798</v>
      </c>
      <c r="U204" s="56">
        <v>1.7</v>
      </c>
      <c r="V204" s="56">
        <v>71.2</v>
      </c>
      <c r="W204" s="56">
        <v>425.8</v>
      </c>
      <c r="X204" s="56">
        <v>23.7</v>
      </c>
      <c r="Y204" s="56">
        <v>177.5</v>
      </c>
      <c r="Z204" s="56">
        <v>49.7</v>
      </c>
      <c r="AA204" s="56">
        <v>17</v>
      </c>
      <c r="AB204" s="56">
        <v>62.8</v>
      </c>
      <c r="AC204" s="56">
        <v>15.6</v>
      </c>
      <c r="AD204" s="56">
        <v>38.8</v>
      </c>
      <c r="AE204" s="56">
        <v>25.6</v>
      </c>
      <c r="AF204" s="56">
        <v>21.6</v>
      </c>
      <c r="AG204" s="56">
        <v>18.4</v>
      </c>
      <c r="AH204" s="56">
        <v>16.8</v>
      </c>
      <c r="AI204" s="56">
        <v>3.1</v>
      </c>
      <c r="AJ204" s="56">
        <v>120.3</v>
      </c>
      <c r="AK204" s="56">
        <v>58.7</v>
      </c>
      <c r="AL204" s="56">
        <v>7.1</v>
      </c>
      <c r="AM204" s="56">
        <v>111</v>
      </c>
      <c r="AN204" s="56">
        <v>2370.2</v>
      </c>
      <c r="AO204" s="56">
        <v>4539.9</v>
      </c>
      <c r="AP204" s="56">
        <v>6910.1</v>
      </c>
      <c r="AQ204" s="56">
        <v>1860.2</v>
      </c>
      <c r="AR204" s="56">
        <v>2127.8</v>
      </c>
      <c r="AS204" s="56">
        <v>3988</v>
      </c>
    </row>
    <row r="205" spans="1:45">
      <c r="A205" s="54">
        <v>2015</v>
      </c>
      <c r="B205" s="54">
        <v>370000</v>
      </c>
      <c r="C205" s="55" t="s">
        <v>71</v>
      </c>
      <c r="D205" s="49">
        <v>0</v>
      </c>
      <c r="E205" s="49">
        <v>1</v>
      </c>
      <c r="F205" s="49">
        <v>0</v>
      </c>
      <c r="G205" s="49">
        <v>0</v>
      </c>
      <c r="H205" s="56">
        <v>57.694</v>
      </c>
      <c r="I205" s="56">
        <v>42.306</v>
      </c>
      <c r="J205" s="56">
        <v>2.712</v>
      </c>
      <c r="K205" s="56">
        <v>13.989</v>
      </c>
      <c r="L205" s="56">
        <v>47.939</v>
      </c>
      <c r="M205" s="56">
        <v>13.076</v>
      </c>
      <c r="N205" s="56">
        <v>8.301</v>
      </c>
      <c r="O205" s="56">
        <v>5.9</v>
      </c>
      <c r="P205" s="56">
        <v>0.545</v>
      </c>
      <c r="Q205" s="50">
        <v>1795.4</v>
      </c>
      <c r="R205" s="50">
        <v>1922.4</v>
      </c>
      <c r="S205" s="50">
        <v>2055.2</v>
      </c>
      <c r="T205" s="51">
        <v>5773</v>
      </c>
      <c r="U205" s="56">
        <v>1.7</v>
      </c>
      <c r="V205" s="56">
        <v>64.5</v>
      </c>
      <c r="W205" s="56">
        <v>417.5</v>
      </c>
      <c r="X205" s="56">
        <v>23.5</v>
      </c>
      <c r="Y205" s="56">
        <v>163.7</v>
      </c>
      <c r="Z205" s="56">
        <v>48.4</v>
      </c>
      <c r="AA205" s="56">
        <v>17.4</v>
      </c>
      <c r="AB205" s="56">
        <v>59.9</v>
      </c>
      <c r="AC205" s="56">
        <v>14</v>
      </c>
      <c r="AD205" s="56">
        <v>41.6</v>
      </c>
      <c r="AE205" s="56">
        <v>26.1</v>
      </c>
      <c r="AF205" s="56">
        <v>21.5</v>
      </c>
      <c r="AG205" s="56">
        <v>18</v>
      </c>
      <c r="AH205" s="56">
        <v>18.3</v>
      </c>
      <c r="AI205" s="56">
        <v>3.1</v>
      </c>
      <c r="AJ205" s="56">
        <v>117.2</v>
      </c>
      <c r="AK205" s="56">
        <v>60.7</v>
      </c>
      <c r="AL205" s="56">
        <v>7</v>
      </c>
      <c r="AM205" s="56">
        <v>112.8</v>
      </c>
      <c r="AN205" s="56">
        <v>2477.458</v>
      </c>
      <c r="AO205" s="56">
        <v>4534.317</v>
      </c>
      <c r="AP205" s="56">
        <v>7011.775</v>
      </c>
      <c r="AQ205" s="56">
        <v>1904.375</v>
      </c>
      <c r="AR205" s="56">
        <v>7331.396</v>
      </c>
      <c r="AS205" s="56">
        <v>9235.772</v>
      </c>
    </row>
    <row r="206" spans="1:45">
      <c r="A206" s="54">
        <v>2016</v>
      </c>
      <c r="B206" s="54">
        <v>370000</v>
      </c>
      <c r="C206" s="55" t="s">
        <v>71</v>
      </c>
      <c r="D206" s="56">
        <v>0</v>
      </c>
      <c r="E206" s="56">
        <v>1</v>
      </c>
      <c r="F206" s="56">
        <v>0</v>
      </c>
      <c r="G206" s="56">
        <v>0</v>
      </c>
      <c r="H206" s="56">
        <v>56.865</v>
      </c>
      <c r="I206" s="56">
        <v>43.135</v>
      </c>
      <c r="J206" s="56">
        <v>2.513</v>
      </c>
      <c r="K206" s="56">
        <v>14.29</v>
      </c>
      <c r="L206" s="56">
        <v>48.141</v>
      </c>
      <c r="M206" s="56">
        <v>12.168</v>
      </c>
      <c r="N206" s="56">
        <v>8.426</v>
      </c>
      <c r="O206" s="56">
        <v>6.167</v>
      </c>
      <c r="P206" s="56">
        <v>0.589</v>
      </c>
      <c r="Q206" s="50">
        <v>1706.9</v>
      </c>
      <c r="R206" s="50">
        <v>1907.4</v>
      </c>
      <c r="S206" s="50">
        <v>2113.6</v>
      </c>
      <c r="T206" s="51">
        <v>5728</v>
      </c>
      <c r="U206" s="56">
        <v>1.6</v>
      </c>
      <c r="V206" s="56">
        <v>57.4</v>
      </c>
      <c r="W206" s="56">
        <v>403.2</v>
      </c>
      <c r="X206" s="56">
        <v>23.1</v>
      </c>
      <c r="Y206" s="56">
        <v>160.3</v>
      </c>
      <c r="Z206" s="56">
        <v>49.4</v>
      </c>
      <c r="AA206" s="56">
        <v>18.2</v>
      </c>
      <c r="AB206" s="56">
        <v>57.1</v>
      </c>
      <c r="AC206" s="56">
        <v>14.2</v>
      </c>
      <c r="AD206" s="56">
        <v>45.4</v>
      </c>
      <c r="AE206" s="56">
        <v>26.8</v>
      </c>
      <c r="AF206" s="56">
        <v>20.7</v>
      </c>
      <c r="AG206" s="56">
        <v>17.8</v>
      </c>
      <c r="AH206" s="56">
        <v>17.6</v>
      </c>
      <c r="AI206" s="56">
        <v>3.2</v>
      </c>
      <c r="AJ206" s="56">
        <v>117.2</v>
      </c>
      <c r="AK206" s="56">
        <v>62.5</v>
      </c>
      <c r="AL206" s="56">
        <v>7</v>
      </c>
      <c r="AM206" s="56">
        <v>112.8</v>
      </c>
      <c r="AN206" s="56">
        <v>2576.385</v>
      </c>
      <c r="AO206" s="56">
        <v>4538.638</v>
      </c>
      <c r="AP206" s="56">
        <v>7115.023</v>
      </c>
      <c r="AQ206" s="56">
        <v>1960.04</v>
      </c>
      <c r="AR206" s="56">
        <v>7228.751</v>
      </c>
      <c r="AS206" s="56">
        <v>9188.791</v>
      </c>
    </row>
    <row r="207" spans="1:45">
      <c r="A207" s="54">
        <v>2017</v>
      </c>
      <c r="B207" s="54">
        <v>370000</v>
      </c>
      <c r="C207" s="55" t="s">
        <v>71</v>
      </c>
      <c r="D207" s="49">
        <v>0</v>
      </c>
      <c r="E207" s="56">
        <v>1</v>
      </c>
      <c r="F207" s="49">
        <v>0</v>
      </c>
      <c r="G207" s="49">
        <v>0</v>
      </c>
      <c r="H207" s="56">
        <v>56.368</v>
      </c>
      <c r="I207" s="56">
        <v>43.632</v>
      </c>
      <c r="J207" s="56">
        <v>2.446</v>
      </c>
      <c r="K207" s="56">
        <v>14.648</v>
      </c>
      <c r="L207" s="56">
        <v>46.52</v>
      </c>
      <c r="M207" s="56">
        <v>12.536</v>
      </c>
      <c r="N207" s="56">
        <v>8.463</v>
      </c>
      <c r="O207" s="56">
        <v>6.548</v>
      </c>
      <c r="P207" s="56">
        <v>0.633</v>
      </c>
      <c r="Q207" s="50">
        <v>1622.5</v>
      </c>
      <c r="R207" s="50">
        <v>1907.2</v>
      </c>
      <c r="S207" s="50">
        <v>2163.3</v>
      </c>
      <c r="T207" s="51">
        <v>5693</v>
      </c>
      <c r="U207" s="56">
        <v>1.4</v>
      </c>
      <c r="V207" s="56">
        <v>51.3</v>
      </c>
      <c r="W207" s="56">
        <v>383.2</v>
      </c>
      <c r="X207" s="56">
        <v>26.1</v>
      </c>
      <c r="Y207" s="56">
        <v>159.9</v>
      </c>
      <c r="Z207" s="56">
        <v>47.7</v>
      </c>
      <c r="AA207" s="56">
        <v>18.9</v>
      </c>
      <c r="AB207" s="56">
        <v>52.7</v>
      </c>
      <c r="AC207" s="56">
        <v>14.1</v>
      </c>
      <c r="AD207" s="56">
        <v>46.1</v>
      </c>
      <c r="AE207" s="56">
        <v>26.1</v>
      </c>
      <c r="AF207" s="56">
        <v>21.8</v>
      </c>
      <c r="AG207" s="56">
        <v>18.3</v>
      </c>
      <c r="AH207" s="56">
        <v>18.1</v>
      </c>
      <c r="AI207" s="56">
        <v>3.1</v>
      </c>
      <c r="AJ207" s="56">
        <v>116.6</v>
      </c>
      <c r="AK207" s="56">
        <v>64.2</v>
      </c>
      <c r="AL207" s="56">
        <v>7.1</v>
      </c>
      <c r="AM207" s="56">
        <v>116.2</v>
      </c>
      <c r="AN207" s="56">
        <v>2660.939</v>
      </c>
      <c r="AO207" s="56">
        <v>4530.64</v>
      </c>
      <c r="AP207" s="56">
        <v>7191.578</v>
      </c>
      <c r="AQ207" s="56">
        <v>2013.097</v>
      </c>
      <c r="AR207" s="56">
        <v>7282.588</v>
      </c>
      <c r="AS207" s="56">
        <v>9295.685</v>
      </c>
    </row>
    <row r="208" spans="1:45">
      <c r="A208" s="54">
        <v>2018</v>
      </c>
      <c r="B208" s="54">
        <v>370000</v>
      </c>
      <c r="C208" s="55" t="s">
        <v>71</v>
      </c>
      <c r="D208" s="56">
        <v>0</v>
      </c>
      <c r="E208" s="56">
        <v>1</v>
      </c>
      <c r="F208" s="56">
        <v>0</v>
      </c>
      <c r="G208" s="56">
        <v>0</v>
      </c>
      <c r="H208" s="56">
        <v>56.071</v>
      </c>
      <c r="I208" s="56">
        <v>43.929</v>
      </c>
      <c r="J208" s="56">
        <v>2.258</v>
      </c>
      <c r="K208" s="56">
        <v>14.24</v>
      </c>
      <c r="L208" s="56">
        <v>46.389</v>
      </c>
      <c r="M208" s="56">
        <v>12.278</v>
      </c>
      <c r="N208" s="56">
        <v>8.786</v>
      </c>
      <c r="O208" s="56">
        <v>6.784</v>
      </c>
      <c r="P208" s="56">
        <v>0.762</v>
      </c>
      <c r="Q208" s="50">
        <v>1534.5</v>
      </c>
      <c r="R208" s="50">
        <v>1877.4</v>
      </c>
      <c r="S208" s="50">
        <v>2209.1</v>
      </c>
      <c r="T208" s="51">
        <v>5621</v>
      </c>
      <c r="U208" s="56">
        <v>0.7</v>
      </c>
      <c r="V208" s="56">
        <v>40.3</v>
      </c>
      <c r="W208" s="56">
        <v>341.9</v>
      </c>
      <c r="X208" s="56">
        <v>25.6</v>
      </c>
      <c r="Y208" s="56">
        <v>159.1</v>
      </c>
      <c r="Z208" s="56">
        <v>47.6</v>
      </c>
      <c r="AA208" s="56">
        <v>18</v>
      </c>
      <c r="AB208" s="56">
        <v>49.9</v>
      </c>
      <c r="AC208" s="56">
        <v>12.3</v>
      </c>
      <c r="AD208" s="56">
        <v>46.5</v>
      </c>
      <c r="AE208" s="56">
        <v>25.3</v>
      </c>
      <c r="AF208" s="56">
        <v>17.7</v>
      </c>
      <c r="AG208" s="56">
        <v>17.3</v>
      </c>
      <c r="AH208" s="56">
        <v>20.4</v>
      </c>
      <c r="AI208" s="56">
        <v>2.9</v>
      </c>
      <c r="AJ208" s="56">
        <v>113</v>
      </c>
      <c r="AK208" s="56">
        <v>65.7</v>
      </c>
      <c r="AL208" s="56">
        <v>7.1</v>
      </c>
      <c r="AM208" s="56">
        <v>117.7</v>
      </c>
      <c r="AN208" s="56">
        <v>2762.672</v>
      </c>
      <c r="AO208" s="56">
        <v>4551.91</v>
      </c>
      <c r="AP208" s="56">
        <v>7314.582</v>
      </c>
      <c r="AQ208" s="56">
        <v>2072.144</v>
      </c>
      <c r="AR208" s="56">
        <v>7364.927</v>
      </c>
      <c r="AS208" s="56">
        <v>9437.071</v>
      </c>
    </row>
    <row r="209" spans="1:45">
      <c r="A209" s="54">
        <v>2019</v>
      </c>
      <c r="B209" s="54">
        <v>370000</v>
      </c>
      <c r="C209" s="55" t="s">
        <v>71</v>
      </c>
      <c r="D209" s="49">
        <v>0</v>
      </c>
      <c r="E209" s="49">
        <v>1</v>
      </c>
      <c r="F209" s="49">
        <v>0</v>
      </c>
      <c r="G209" s="49">
        <v>0</v>
      </c>
      <c r="H209" s="56">
        <v>57</v>
      </c>
      <c r="I209" s="56">
        <v>43</v>
      </c>
      <c r="J209" s="56">
        <v>2.3</v>
      </c>
      <c r="K209" s="56">
        <v>14.2</v>
      </c>
      <c r="L209" s="56">
        <v>44.4</v>
      </c>
      <c r="M209" s="56">
        <v>19.7</v>
      </c>
      <c r="N209" s="56">
        <v>10.1</v>
      </c>
      <c r="O209" s="56">
        <v>8.3</v>
      </c>
      <c r="P209" s="56">
        <v>0.9</v>
      </c>
      <c r="Q209" s="50">
        <v>1445.9</v>
      </c>
      <c r="R209" s="50">
        <v>1851.8</v>
      </c>
      <c r="S209" s="50">
        <v>2263.3</v>
      </c>
      <c r="T209" s="51">
        <v>5561</v>
      </c>
      <c r="U209" s="56">
        <v>1.2</v>
      </c>
      <c r="V209" s="56">
        <v>29.7</v>
      </c>
      <c r="W209" s="56">
        <v>271.7</v>
      </c>
      <c r="X209" s="56">
        <v>27.9</v>
      </c>
      <c r="Y209" s="56">
        <v>150.5</v>
      </c>
      <c r="Z209" s="56">
        <v>44.7</v>
      </c>
      <c r="AA209" s="56">
        <v>17.3</v>
      </c>
      <c r="AB209" s="56">
        <v>46.7</v>
      </c>
      <c r="AC209" s="56">
        <v>11.6</v>
      </c>
      <c r="AD209" s="56">
        <v>55.6</v>
      </c>
      <c r="AE209" s="56">
        <v>26</v>
      </c>
      <c r="AF209" s="56">
        <v>22.9</v>
      </c>
      <c r="AG209" s="56">
        <v>18.2</v>
      </c>
      <c r="AH209" s="56">
        <v>17.8</v>
      </c>
      <c r="AI209" s="56">
        <v>3.3</v>
      </c>
      <c r="AJ209" s="56">
        <v>121.4</v>
      </c>
      <c r="AK209" s="56">
        <v>70.6</v>
      </c>
      <c r="AL209" s="56">
        <v>6.9</v>
      </c>
      <c r="AM209" s="56">
        <v>128</v>
      </c>
      <c r="AN209" s="56">
        <v>2868</v>
      </c>
      <c r="AO209" s="56">
        <v>4560.3</v>
      </c>
      <c r="AP209" s="56">
        <v>7428.3</v>
      </c>
      <c r="AQ209" s="56">
        <v>2173.8</v>
      </c>
      <c r="AR209" s="56">
        <v>7395.8</v>
      </c>
      <c r="AS209" s="56">
        <v>9569.6</v>
      </c>
    </row>
    <row r="210" spans="1:45">
      <c r="A210" s="54">
        <v>2020</v>
      </c>
      <c r="B210" s="54">
        <v>370000</v>
      </c>
      <c r="C210" s="55" t="s">
        <v>71</v>
      </c>
      <c r="D210" s="56">
        <v>0</v>
      </c>
      <c r="E210" s="56">
        <v>1</v>
      </c>
      <c r="F210" s="56">
        <v>0</v>
      </c>
      <c r="G210" s="56">
        <v>0</v>
      </c>
      <c r="H210" s="56">
        <v>55.9</v>
      </c>
      <c r="I210" s="56">
        <v>44.1</v>
      </c>
      <c r="J210" s="56">
        <v>3.8</v>
      </c>
      <c r="K210" s="56">
        <v>14.9</v>
      </c>
      <c r="L210" s="56">
        <v>45</v>
      </c>
      <c r="M210" s="56">
        <v>17.6</v>
      </c>
      <c r="N210" s="56">
        <v>9.8</v>
      </c>
      <c r="O210" s="56">
        <v>7.9</v>
      </c>
      <c r="P210" s="56">
        <v>1</v>
      </c>
      <c r="Q210" s="50">
        <v>1373</v>
      </c>
      <c r="R210" s="50">
        <v>1838</v>
      </c>
      <c r="S210" s="50">
        <v>2299</v>
      </c>
      <c r="T210" s="51">
        <v>5510</v>
      </c>
      <c r="U210" s="56">
        <v>1.3</v>
      </c>
      <c r="V210" s="56">
        <v>28.5</v>
      </c>
      <c r="W210" s="56">
        <v>273.3</v>
      </c>
      <c r="X210" s="56">
        <v>28.3</v>
      </c>
      <c r="Y210" s="56">
        <v>139.6</v>
      </c>
      <c r="Z210" s="56">
        <v>47.6</v>
      </c>
      <c r="AA210" s="56">
        <v>19.9</v>
      </c>
      <c r="AB210" s="56">
        <v>44.4</v>
      </c>
      <c r="AC210" s="56">
        <v>11.3</v>
      </c>
      <c r="AD210" s="56">
        <v>65.7</v>
      </c>
      <c r="AE210" s="56">
        <v>27.6</v>
      </c>
      <c r="AF210" s="56">
        <v>23.5</v>
      </c>
      <c r="AG210" s="56">
        <v>20.5</v>
      </c>
      <c r="AH210" s="56">
        <v>17.7</v>
      </c>
      <c r="AI210" s="56">
        <v>3</v>
      </c>
      <c r="AJ210" s="56">
        <v>129.1</v>
      </c>
      <c r="AK210" s="56">
        <v>73</v>
      </c>
      <c r="AL210" s="56">
        <v>7.5</v>
      </c>
      <c r="AM210" s="56">
        <v>136.5</v>
      </c>
      <c r="AN210" s="56">
        <v>3046.3</v>
      </c>
      <c r="AO210" s="56">
        <v>4590.4</v>
      </c>
      <c r="AP210" s="56">
        <v>7636.7</v>
      </c>
      <c r="AQ210" s="56">
        <v>2323.3</v>
      </c>
      <c r="AR210" s="56">
        <v>7374.5</v>
      </c>
      <c r="AS210" s="56">
        <v>9697.8</v>
      </c>
    </row>
    <row r="211" spans="1:45">
      <c r="A211" s="54">
        <v>2021</v>
      </c>
      <c r="B211" s="54">
        <v>370000</v>
      </c>
      <c r="C211" s="55" t="s">
        <v>71</v>
      </c>
      <c r="D211" s="49">
        <v>0</v>
      </c>
      <c r="E211" s="56">
        <v>1</v>
      </c>
      <c r="F211" s="49">
        <v>0</v>
      </c>
      <c r="G211" s="49">
        <v>0</v>
      </c>
      <c r="H211" s="56">
        <v>55.555</v>
      </c>
      <c r="I211" s="56">
        <v>44.445</v>
      </c>
      <c r="J211" s="56">
        <v>2.483</v>
      </c>
      <c r="K211" s="56">
        <v>14.208</v>
      </c>
      <c r="L211" s="56">
        <v>44.407</v>
      </c>
      <c r="M211" s="56">
        <v>18.565</v>
      </c>
      <c r="N211" s="56">
        <v>10.447</v>
      </c>
      <c r="O211" s="56">
        <v>8.747</v>
      </c>
      <c r="P211" s="56">
        <v>1.145</v>
      </c>
      <c r="Q211" s="50">
        <v>1316</v>
      </c>
      <c r="R211" s="50">
        <v>1850</v>
      </c>
      <c r="S211" s="50">
        <v>2309</v>
      </c>
      <c r="T211" s="51">
        <v>5475</v>
      </c>
      <c r="U211" s="56">
        <v>1</v>
      </c>
      <c r="V211" s="56">
        <v>27.5</v>
      </c>
      <c r="W211" s="56">
        <v>276.3</v>
      </c>
      <c r="X211" s="56">
        <v>28.4</v>
      </c>
      <c r="Y211" s="56">
        <v>139.3</v>
      </c>
      <c r="Z211" s="56">
        <v>45.5</v>
      </c>
      <c r="AA211" s="56">
        <v>21</v>
      </c>
      <c r="AB211" s="56">
        <v>44</v>
      </c>
      <c r="AC211" s="56">
        <v>11.9</v>
      </c>
      <c r="AD211" s="56">
        <v>65.9</v>
      </c>
      <c r="AE211" s="56">
        <v>28.5</v>
      </c>
      <c r="AF211" s="56">
        <v>24.7</v>
      </c>
      <c r="AG211" s="56">
        <v>22.6</v>
      </c>
      <c r="AH211" s="56">
        <v>15.8</v>
      </c>
      <c r="AI211" s="56">
        <v>3.5</v>
      </c>
      <c r="AJ211" s="56">
        <v>133.5</v>
      </c>
      <c r="AK211" s="56">
        <v>76</v>
      </c>
      <c r="AL211" s="56">
        <v>8</v>
      </c>
      <c r="AM211" s="56">
        <v>134.9</v>
      </c>
      <c r="AN211" s="56">
        <v>3226.708</v>
      </c>
      <c r="AO211" s="56">
        <v>4614.095</v>
      </c>
      <c r="AP211" s="56">
        <v>7840.803</v>
      </c>
      <c r="AQ211" s="56">
        <v>2435.645</v>
      </c>
      <c r="AR211" s="56">
        <v>7296.731</v>
      </c>
      <c r="AS211" s="56">
        <v>9732.376</v>
      </c>
    </row>
    <row r="212" spans="1:45">
      <c r="A212" s="54">
        <v>2022</v>
      </c>
      <c r="B212" s="54">
        <v>370000</v>
      </c>
      <c r="C212" s="55" t="s">
        <v>71</v>
      </c>
      <c r="D212" s="56">
        <v>0</v>
      </c>
      <c r="E212" s="56">
        <v>1</v>
      </c>
      <c r="F212" s="56">
        <v>0</v>
      </c>
      <c r="G212" s="56">
        <v>0</v>
      </c>
      <c r="H212" s="56">
        <v>56.341</v>
      </c>
      <c r="I212" s="56">
        <v>43.659</v>
      </c>
      <c r="J212" s="56">
        <v>2.69</v>
      </c>
      <c r="K212" s="56">
        <v>15.779</v>
      </c>
      <c r="L212" s="56">
        <v>42.65</v>
      </c>
      <c r="M212" s="56">
        <v>16.686</v>
      </c>
      <c r="N212" s="56">
        <v>10.863</v>
      </c>
      <c r="O212" s="56">
        <v>10.127</v>
      </c>
      <c r="P212" s="56">
        <v>1.205</v>
      </c>
      <c r="Q212" s="50">
        <v>1284</v>
      </c>
      <c r="R212" s="50">
        <v>1804</v>
      </c>
      <c r="S212" s="50">
        <v>2250</v>
      </c>
      <c r="T212" s="51">
        <v>5338</v>
      </c>
      <c r="U212" s="56">
        <v>1.1</v>
      </c>
      <c r="V212" s="56">
        <v>25.1</v>
      </c>
      <c r="W212" s="56">
        <v>273.6</v>
      </c>
      <c r="X212" s="56">
        <v>27.9</v>
      </c>
      <c r="Y212" s="56">
        <v>128.8</v>
      </c>
      <c r="Z212" s="56">
        <v>45.3</v>
      </c>
      <c r="AA212" s="56">
        <v>19.7</v>
      </c>
      <c r="AB212" s="56">
        <v>43.4</v>
      </c>
      <c r="AC212" s="56">
        <v>11.9</v>
      </c>
      <c r="AD212" s="56">
        <v>57.7</v>
      </c>
      <c r="AE212" s="56">
        <v>28.7</v>
      </c>
      <c r="AF212" s="56">
        <v>25.8</v>
      </c>
      <c r="AG212" s="56">
        <v>23.1</v>
      </c>
      <c r="AH212" s="56">
        <v>15.7</v>
      </c>
      <c r="AI212" s="56">
        <v>3.5</v>
      </c>
      <c r="AJ212" s="56">
        <v>129.2</v>
      </c>
      <c r="AK212" s="56">
        <v>77.3</v>
      </c>
      <c r="AL212" s="56">
        <v>7.9</v>
      </c>
      <c r="AM212" s="56">
        <v>135.9</v>
      </c>
      <c r="AN212" s="56"/>
      <c r="AO212" s="56">
        <v>4636.184</v>
      </c>
      <c r="AP212" s="56"/>
      <c r="AQ212" s="56">
        <v>2498.308</v>
      </c>
      <c r="AR212" s="56">
        <v>7134.794</v>
      </c>
      <c r="AS212" s="56">
        <v>9633.102</v>
      </c>
    </row>
    <row r="213" spans="1:45">
      <c r="A213" s="54">
        <v>2013</v>
      </c>
      <c r="B213" s="54">
        <v>140000</v>
      </c>
      <c r="C213" s="55" t="s">
        <v>72</v>
      </c>
      <c r="D213" s="49">
        <v>0</v>
      </c>
      <c r="E213" s="49">
        <v>0</v>
      </c>
      <c r="F213" s="56">
        <v>1</v>
      </c>
      <c r="G213" s="49">
        <v>0</v>
      </c>
      <c r="J213" s="56">
        <v>0.843</v>
      </c>
      <c r="K213" s="56">
        <v>10.377</v>
      </c>
      <c r="L213" s="56">
        <v>53.205</v>
      </c>
      <c r="M213" s="56">
        <v>20.283</v>
      </c>
      <c r="N213" s="56">
        <v>9.687</v>
      </c>
      <c r="O213" s="56">
        <v>5.408</v>
      </c>
      <c r="P213" s="56">
        <v>0.198</v>
      </c>
      <c r="Q213" s="50">
        <v>592</v>
      </c>
      <c r="R213" s="50">
        <v>536</v>
      </c>
      <c r="S213" s="50">
        <v>727</v>
      </c>
      <c r="T213" s="51">
        <v>1855</v>
      </c>
      <c r="U213" s="56">
        <v>2.2</v>
      </c>
      <c r="V213" s="56">
        <v>103</v>
      </c>
      <c r="W213" s="56">
        <v>73.1</v>
      </c>
      <c r="X213" s="56">
        <v>11.5</v>
      </c>
      <c r="Y213" s="56">
        <v>38.4</v>
      </c>
      <c r="Z213" s="56">
        <v>23.6</v>
      </c>
      <c r="AA213" s="56">
        <v>6</v>
      </c>
      <c r="AB213" s="56">
        <v>21.2</v>
      </c>
      <c r="AC213" s="56">
        <v>5.6</v>
      </c>
      <c r="AD213" s="56">
        <v>15.6</v>
      </c>
      <c r="AE213" s="56">
        <v>3.2</v>
      </c>
      <c r="AF213" s="56">
        <v>7.3</v>
      </c>
      <c r="AG213" s="56">
        <v>7</v>
      </c>
      <c r="AH213" s="56">
        <v>8.8</v>
      </c>
      <c r="AI213" s="56">
        <v>1.5</v>
      </c>
      <c r="AJ213" s="56">
        <v>52.4</v>
      </c>
      <c r="AK213" s="56">
        <v>18.8</v>
      </c>
      <c r="AL213" s="56">
        <v>4.7</v>
      </c>
      <c r="AM213" s="56">
        <v>60.1</v>
      </c>
      <c r="AN213" s="56">
        <v>672.442</v>
      </c>
      <c r="AO213" s="56">
        <v>1533.749</v>
      </c>
      <c r="AP213" s="56">
        <v>2206.192</v>
      </c>
      <c r="AQ213" s="56">
        <v>646.532</v>
      </c>
      <c r="AR213" s="56">
        <v>439.746</v>
      </c>
      <c r="AS213" s="56">
        <v>1086.279</v>
      </c>
    </row>
    <row r="214" spans="1:45">
      <c r="A214" s="54">
        <v>2014</v>
      </c>
      <c r="B214" s="54">
        <v>140000</v>
      </c>
      <c r="C214" s="55" t="s">
        <v>72</v>
      </c>
      <c r="D214" s="56">
        <v>0</v>
      </c>
      <c r="E214" s="56">
        <v>0</v>
      </c>
      <c r="F214" s="56">
        <v>1</v>
      </c>
      <c r="G214" s="56">
        <v>0</v>
      </c>
      <c r="H214" s="56">
        <v>59.8</v>
      </c>
      <c r="I214" s="56">
        <v>40.2</v>
      </c>
      <c r="J214" s="56">
        <v>1</v>
      </c>
      <c r="K214" s="56">
        <v>11.1</v>
      </c>
      <c r="L214" s="56">
        <v>51.4</v>
      </c>
      <c r="M214" s="56">
        <v>19.6</v>
      </c>
      <c r="N214" s="56">
        <v>10.8</v>
      </c>
      <c r="O214" s="56">
        <v>5.7</v>
      </c>
      <c r="P214" s="56">
        <v>0.3</v>
      </c>
      <c r="Q214" s="50">
        <v>595</v>
      </c>
      <c r="R214" s="50">
        <v>484</v>
      </c>
      <c r="S214" s="50">
        <v>763</v>
      </c>
      <c r="T214" s="51">
        <v>1842</v>
      </c>
      <c r="U214" s="56">
        <v>2</v>
      </c>
      <c r="V214" s="56">
        <v>98.5</v>
      </c>
      <c r="W214" s="56">
        <v>69.1</v>
      </c>
      <c r="X214" s="56">
        <v>11.8</v>
      </c>
      <c r="Y214" s="56">
        <v>35.5</v>
      </c>
      <c r="Z214" s="56">
        <v>24.6</v>
      </c>
      <c r="AA214" s="56">
        <v>5.5</v>
      </c>
      <c r="AB214" s="56">
        <v>19</v>
      </c>
      <c r="AC214" s="56">
        <v>5</v>
      </c>
      <c r="AD214" s="56">
        <v>15.6</v>
      </c>
      <c r="AE214" s="56">
        <v>3.6</v>
      </c>
      <c r="AF214" s="56">
        <v>8</v>
      </c>
      <c r="AG214" s="56">
        <v>7.3</v>
      </c>
      <c r="AH214" s="56">
        <v>9.4</v>
      </c>
      <c r="AI214" s="56">
        <v>1.4</v>
      </c>
      <c r="AJ214" s="56">
        <v>52.7</v>
      </c>
      <c r="AK214" s="56">
        <v>19.5</v>
      </c>
      <c r="AL214" s="56">
        <v>4.9</v>
      </c>
      <c r="AM214" s="56">
        <v>58.5</v>
      </c>
      <c r="AN214" s="56">
        <v>692</v>
      </c>
      <c r="AO214" s="56">
        <v>1537.4</v>
      </c>
      <c r="AP214" s="56">
        <v>2229.4</v>
      </c>
      <c r="AQ214" s="56">
        <v>657.3</v>
      </c>
      <c r="AR214" s="56">
        <v>443.9</v>
      </c>
      <c r="AS214" s="56">
        <v>1101.2</v>
      </c>
    </row>
    <row r="215" spans="1:45">
      <c r="A215" s="54">
        <v>2015</v>
      </c>
      <c r="B215" s="54">
        <v>140000</v>
      </c>
      <c r="C215" s="55" t="s">
        <v>72</v>
      </c>
      <c r="D215" s="49">
        <v>0</v>
      </c>
      <c r="E215" s="49">
        <v>0</v>
      </c>
      <c r="F215" s="49">
        <v>1</v>
      </c>
      <c r="G215" s="49">
        <v>0</v>
      </c>
      <c r="H215" s="56">
        <v>61.791</v>
      </c>
      <c r="I215" s="56">
        <v>38.209</v>
      </c>
      <c r="J215" s="56">
        <v>1.324</v>
      </c>
      <c r="K215" s="56">
        <v>11.563</v>
      </c>
      <c r="L215" s="56">
        <v>47.452</v>
      </c>
      <c r="M215" s="56">
        <v>13.046</v>
      </c>
      <c r="N215" s="56">
        <v>10.871</v>
      </c>
      <c r="O215" s="56">
        <v>9.107</v>
      </c>
      <c r="P215" s="56">
        <v>0.821</v>
      </c>
      <c r="Q215" s="50">
        <v>550</v>
      </c>
      <c r="R215" s="50">
        <v>468</v>
      </c>
      <c r="S215" s="50">
        <v>809</v>
      </c>
      <c r="T215" s="51">
        <v>1827</v>
      </c>
      <c r="U215" s="56">
        <v>1.8</v>
      </c>
      <c r="V215" s="56">
        <v>95.3</v>
      </c>
      <c r="W215" s="56">
        <v>65.4</v>
      </c>
      <c r="X215" s="56">
        <v>11.7</v>
      </c>
      <c r="Y215" s="56">
        <v>33.3</v>
      </c>
      <c r="Z215" s="56">
        <v>24.1</v>
      </c>
      <c r="AA215" s="56">
        <v>5.5</v>
      </c>
      <c r="AB215" s="56">
        <v>17.5</v>
      </c>
      <c r="AC215" s="56">
        <v>4.2</v>
      </c>
      <c r="AD215" s="56">
        <v>16.8</v>
      </c>
      <c r="AE215" s="56">
        <v>3.6</v>
      </c>
      <c r="AF215" s="56">
        <v>8.9</v>
      </c>
      <c r="AG215" s="56">
        <v>7.5</v>
      </c>
      <c r="AH215" s="56">
        <v>9.6</v>
      </c>
      <c r="AI215" s="56">
        <v>0.6</v>
      </c>
      <c r="AJ215" s="56">
        <v>51.7</v>
      </c>
      <c r="AK215" s="56">
        <v>20</v>
      </c>
      <c r="AL215" s="56">
        <v>4.6</v>
      </c>
      <c r="AM215" s="56">
        <v>58</v>
      </c>
      <c r="AN215" s="56">
        <v>714.27</v>
      </c>
      <c r="AO215" s="56">
        <v>1540.264</v>
      </c>
      <c r="AP215" s="56">
        <v>2254.534</v>
      </c>
      <c r="AQ215" s="56">
        <v>650.474</v>
      </c>
      <c r="AR215" s="56">
        <v>463.342</v>
      </c>
      <c r="AS215" s="56">
        <v>1113.816</v>
      </c>
    </row>
    <row r="216" spans="1:45">
      <c r="A216" s="54">
        <v>2016</v>
      </c>
      <c r="B216" s="54">
        <v>140000</v>
      </c>
      <c r="C216" s="55" t="s">
        <v>72</v>
      </c>
      <c r="D216" s="56">
        <v>0</v>
      </c>
      <c r="E216" s="56">
        <v>0</v>
      </c>
      <c r="F216" s="56">
        <v>1</v>
      </c>
      <c r="G216" s="56">
        <v>0</v>
      </c>
      <c r="H216" s="56">
        <v>61.473</v>
      </c>
      <c r="I216" s="56">
        <v>38.527</v>
      </c>
      <c r="J216" s="56">
        <v>1.297</v>
      </c>
      <c r="K216" s="56">
        <v>11.641</v>
      </c>
      <c r="L216" s="56">
        <v>46.166</v>
      </c>
      <c r="M216" s="56">
        <v>13.187</v>
      </c>
      <c r="N216" s="56">
        <v>11.443</v>
      </c>
      <c r="O216" s="56">
        <v>9.178</v>
      </c>
      <c r="P216" s="56">
        <v>0.654</v>
      </c>
      <c r="Q216" s="50">
        <v>522</v>
      </c>
      <c r="R216" s="50">
        <v>469</v>
      </c>
      <c r="S216" s="50">
        <v>841</v>
      </c>
      <c r="T216" s="51">
        <v>1832</v>
      </c>
      <c r="U216" s="56">
        <v>1.7</v>
      </c>
      <c r="V216" s="56">
        <v>91.1</v>
      </c>
      <c r="W216" s="56">
        <v>63.8</v>
      </c>
      <c r="X216" s="56">
        <v>12.5</v>
      </c>
      <c r="Y216" s="56">
        <v>29.4</v>
      </c>
      <c r="Z216" s="56">
        <v>23.4</v>
      </c>
      <c r="AA216" s="56">
        <v>5</v>
      </c>
      <c r="AB216" s="56">
        <v>17.1</v>
      </c>
      <c r="AC216" s="56">
        <v>3.9</v>
      </c>
      <c r="AD216" s="56">
        <v>17.9</v>
      </c>
      <c r="AE216" s="56">
        <v>3.5</v>
      </c>
      <c r="AF216" s="56">
        <v>9.1</v>
      </c>
      <c r="AG216" s="56">
        <v>7.2</v>
      </c>
      <c r="AH216" s="56">
        <v>9.8</v>
      </c>
      <c r="AI216" s="56">
        <v>0.6</v>
      </c>
      <c r="AJ216" s="56">
        <v>51.3</v>
      </c>
      <c r="AK216" s="56">
        <v>20.5</v>
      </c>
      <c r="AL216" s="56">
        <v>4.6</v>
      </c>
      <c r="AM216" s="56">
        <v>58.2</v>
      </c>
      <c r="AN216" s="56">
        <v>760.21</v>
      </c>
      <c r="AO216" s="56">
        <v>1549.575</v>
      </c>
      <c r="AP216" s="56">
        <v>2309.785</v>
      </c>
      <c r="AQ216" s="56">
        <v>660.194</v>
      </c>
      <c r="AR216" s="56">
        <v>460.97</v>
      </c>
      <c r="AS216" s="56">
        <v>1121.164</v>
      </c>
    </row>
    <row r="217" spans="1:45">
      <c r="A217" s="54">
        <v>2017</v>
      </c>
      <c r="B217" s="54">
        <v>140000</v>
      </c>
      <c r="C217" s="55" t="s">
        <v>72</v>
      </c>
      <c r="D217" s="49">
        <v>0</v>
      </c>
      <c r="E217" s="49">
        <v>0</v>
      </c>
      <c r="F217" s="56">
        <v>1</v>
      </c>
      <c r="G217" s="49">
        <v>0</v>
      </c>
      <c r="H217" s="56">
        <v>62.07</v>
      </c>
      <c r="I217" s="56">
        <v>37.93</v>
      </c>
      <c r="J217" s="56">
        <v>1.152</v>
      </c>
      <c r="K217" s="56">
        <v>11.686</v>
      </c>
      <c r="L217" s="56">
        <v>45.169</v>
      </c>
      <c r="M217" s="56">
        <v>14.014</v>
      </c>
      <c r="N217" s="56">
        <v>11.556</v>
      </c>
      <c r="O217" s="56">
        <v>8.876</v>
      </c>
      <c r="P217" s="56">
        <v>0.758</v>
      </c>
      <c r="Q217" s="50">
        <v>500</v>
      </c>
      <c r="R217" s="50">
        <v>458</v>
      </c>
      <c r="S217" s="50">
        <v>853</v>
      </c>
      <c r="T217" s="51">
        <v>1812</v>
      </c>
      <c r="U217" s="56">
        <v>1.6</v>
      </c>
      <c r="V217" s="56">
        <v>89.3</v>
      </c>
      <c r="W217" s="56">
        <v>64</v>
      </c>
      <c r="X217" s="56">
        <v>12.9</v>
      </c>
      <c r="Y217" s="56">
        <v>29.2</v>
      </c>
      <c r="Z217" s="56">
        <v>23.5</v>
      </c>
      <c r="AA217" s="56">
        <v>4.9</v>
      </c>
      <c r="AB217" s="56">
        <v>14.8</v>
      </c>
      <c r="AC217" s="56">
        <v>3.7</v>
      </c>
      <c r="AD217" s="56">
        <v>18.6</v>
      </c>
      <c r="AE217" s="56">
        <v>3.8</v>
      </c>
      <c r="AF217" s="56">
        <v>8.2</v>
      </c>
      <c r="AG217" s="56">
        <v>7.1</v>
      </c>
      <c r="AH217" s="56">
        <v>10.1</v>
      </c>
      <c r="AI217" s="56">
        <v>1</v>
      </c>
      <c r="AJ217" s="56">
        <v>51.3</v>
      </c>
      <c r="AK217" s="56">
        <v>21.1</v>
      </c>
      <c r="AL217" s="56">
        <v>4.4</v>
      </c>
      <c r="AM217" s="56">
        <v>59.3</v>
      </c>
      <c r="AN217" s="56">
        <v>798.719</v>
      </c>
      <c r="AO217" s="56">
        <v>1554.212</v>
      </c>
      <c r="AP217" s="56">
        <v>2352.931</v>
      </c>
      <c r="AQ217" s="56">
        <v>664.051</v>
      </c>
      <c r="AR217" s="56">
        <v>2551.29</v>
      </c>
      <c r="AS217" s="56">
        <v>3215.341</v>
      </c>
    </row>
    <row r="218" spans="1:45">
      <c r="A218" s="54">
        <v>2018</v>
      </c>
      <c r="B218" s="54">
        <v>140000</v>
      </c>
      <c r="C218" s="55" t="s">
        <v>72</v>
      </c>
      <c r="D218" s="56">
        <v>0</v>
      </c>
      <c r="E218" s="56">
        <v>0</v>
      </c>
      <c r="F218" s="56">
        <v>1</v>
      </c>
      <c r="G218" s="56">
        <v>0</v>
      </c>
      <c r="H218" s="56">
        <v>61.435</v>
      </c>
      <c r="I218" s="56">
        <v>38.565</v>
      </c>
      <c r="J218" s="56">
        <v>0.994</v>
      </c>
      <c r="K218" s="56">
        <v>10.766</v>
      </c>
      <c r="L218" s="56">
        <v>44.5</v>
      </c>
      <c r="M218" s="56">
        <v>14.792</v>
      </c>
      <c r="N218" s="56">
        <v>12.099</v>
      </c>
      <c r="O218" s="56">
        <v>9.554</v>
      </c>
      <c r="P218" s="56">
        <v>0.742</v>
      </c>
      <c r="Q218" s="50">
        <v>478</v>
      </c>
      <c r="R218" s="50">
        <v>437</v>
      </c>
      <c r="S218" s="50">
        <v>875</v>
      </c>
      <c r="T218" s="51">
        <v>1789</v>
      </c>
      <c r="U218" s="56">
        <v>1.4</v>
      </c>
      <c r="V218" s="56">
        <v>88.4</v>
      </c>
      <c r="W218" s="56">
        <v>60.3</v>
      </c>
      <c r="X218" s="56">
        <v>13</v>
      </c>
      <c r="Y218" s="56">
        <v>29.7</v>
      </c>
      <c r="Z218" s="56">
        <v>21.4</v>
      </c>
      <c r="AA218" s="56">
        <v>4.9</v>
      </c>
      <c r="AB218" s="56">
        <v>15.7</v>
      </c>
      <c r="AC218" s="56">
        <v>3.5</v>
      </c>
      <c r="AD218" s="56">
        <v>20.8</v>
      </c>
      <c r="AE218" s="56">
        <v>3.6</v>
      </c>
      <c r="AF218" s="56">
        <v>8.6</v>
      </c>
      <c r="AG218" s="56">
        <v>7.3</v>
      </c>
      <c r="AH218" s="56">
        <v>9</v>
      </c>
      <c r="AI218" s="56">
        <v>0.9</v>
      </c>
      <c r="AJ218" s="56">
        <v>50</v>
      </c>
      <c r="AK218" s="56">
        <v>21.7</v>
      </c>
      <c r="AL218" s="56">
        <v>4.7</v>
      </c>
      <c r="AM218" s="56">
        <v>60.8</v>
      </c>
      <c r="AN218" s="56">
        <v>837.644</v>
      </c>
      <c r="AO218" s="56">
        <v>1579.29</v>
      </c>
      <c r="AP218" s="56">
        <v>2416.934</v>
      </c>
      <c r="AQ218" s="56">
        <v>686.629</v>
      </c>
      <c r="AR218" s="56">
        <v>2580.302</v>
      </c>
      <c r="AS218" s="56">
        <v>3266.931</v>
      </c>
    </row>
    <row r="219" spans="1:45">
      <c r="A219" s="54">
        <v>2019</v>
      </c>
      <c r="B219" s="54">
        <v>140000</v>
      </c>
      <c r="C219" s="55" t="s">
        <v>72</v>
      </c>
      <c r="D219" s="49">
        <v>0</v>
      </c>
      <c r="E219" s="49">
        <v>0</v>
      </c>
      <c r="F219" s="49">
        <v>1</v>
      </c>
      <c r="G219" s="49">
        <v>0</v>
      </c>
      <c r="H219" s="56">
        <v>59.3</v>
      </c>
      <c r="I219" s="56">
        <v>40.7</v>
      </c>
      <c r="J219" s="56">
        <v>0.9</v>
      </c>
      <c r="K219" s="56">
        <v>11.1</v>
      </c>
      <c r="L219" s="56">
        <v>42.8</v>
      </c>
      <c r="M219" s="56">
        <v>20.8</v>
      </c>
      <c r="N219" s="56">
        <v>13.3</v>
      </c>
      <c r="O219" s="56">
        <v>10.2</v>
      </c>
      <c r="P219" s="56">
        <v>0.8</v>
      </c>
      <c r="Q219" s="50">
        <v>462</v>
      </c>
      <c r="R219" s="50">
        <v>425</v>
      </c>
      <c r="S219" s="50">
        <v>876</v>
      </c>
      <c r="T219" s="51">
        <v>1762</v>
      </c>
      <c r="U219" s="56">
        <v>1</v>
      </c>
      <c r="V219" s="56">
        <v>81.5</v>
      </c>
      <c r="W219" s="56">
        <v>56.4</v>
      </c>
      <c r="X219" s="56">
        <v>15.8</v>
      </c>
      <c r="Y219" s="56">
        <v>29</v>
      </c>
      <c r="Z219" s="56">
        <v>21.1</v>
      </c>
      <c r="AA219" s="56">
        <v>5.2</v>
      </c>
      <c r="AB219" s="56">
        <v>13.6</v>
      </c>
      <c r="AC219" s="56">
        <v>3.5</v>
      </c>
      <c r="AD219" s="56">
        <v>30</v>
      </c>
      <c r="AE219" s="56">
        <v>5.5</v>
      </c>
      <c r="AF219" s="56">
        <v>11.8</v>
      </c>
      <c r="AG219" s="56">
        <v>7.7</v>
      </c>
      <c r="AH219" s="56">
        <v>8</v>
      </c>
      <c r="AI219" s="56">
        <v>0.8</v>
      </c>
      <c r="AJ219" s="56">
        <v>55.2</v>
      </c>
      <c r="AK219" s="56">
        <v>24.7</v>
      </c>
      <c r="AL219" s="56">
        <v>4.4</v>
      </c>
      <c r="AM219" s="56">
        <v>65.8</v>
      </c>
      <c r="AN219" s="56">
        <v>871.5</v>
      </c>
      <c r="AO219" s="56">
        <v>1627.8</v>
      </c>
      <c r="AP219" s="56">
        <v>2499.3</v>
      </c>
      <c r="AQ219" s="56">
        <v>702</v>
      </c>
      <c r="AR219" s="56">
        <v>2564.3</v>
      </c>
      <c r="AS219" s="56">
        <v>3266.4</v>
      </c>
    </row>
    <row r="220" spans="1:45">
      <c r="A220" s="54">
        <v>2020</v>
      </c>
      <c r="B220" s="54">
        <v>140000</v>
      </c>
      <c r="C220" s="55" t="s">
        <v>72</v>
      </c>
      <c r="D220" s="56">
        <v>0</v>
      </c>
      <c r="E220" s="56">
        <v>0</v>
      </c>
      <c r="F220" s="56">
        <v>1</v>
      </c>
      <c r="G220" s="56">
        <v>0</v>
      </c>
      <c r="H220" s="56">
        <v>60.2</v>
      </c>
      <c r="I220" s="56">
        <v>39.8</v>
      </c>
      <c r="J220" s="56">
        <v>1</v>
      </c>
      <c r="K220" s="56">
        <v>11.2</v>
      </c>
      <c r="L220" s="56">
        <v>44.5</v>
      </c>
      <c r="M220" s="56">
        <v>19</v>
      </c>
      <c r="N220" s="56">
        <v>12.8</v>
      </c>
      <c r="O220" s="56">
        <v>10.6</v>
      </c>
      <c r="P220" s="56">
        <v>0.9</v>
      </c>
      <c r="Q220" s="50">
        <v>424</v>
      </c>
      <c r="R220" s="50">
        <v>438</v>
      </c>
      <c r="S220" s="50">
        <v>876</v>
      </c>
      <c r="T220" s="51">
        <v>1738</v>
      </c>
      <c r="U220" s="56">
        <v>1.3</v>
      </c>
      <c r="V220" s="56">
        <v>82.6</v>
      </c>
      <c r="W220" s="56">
        <v>57.9</v>
      </c>
      <c r="X220" s="56">
        <v>15.7</v>
      </c>
      <c r="Y220" s="56">
        <v>28.9</v>
      </c>
      <c r="Z220" s="56">
        <v>23.5</v>
      </c>
      <c r="AA220" s="56">
        <v>5.2</v>
      </c>
      <c r="AB220" s="56">
        <v>13.7</v>
      </c>
      <c r="AC220" s="56">
        <v>3.7</v>
      </c>
      <c r="AD220" s="56">
        <v>27.2</v>
      </c>
      <c r="AE220" s="56">
        <v>5.7</v>
      </c>
      <c r="AF220" s="56">
        <v>11.4</v>
      </c>
      <c r="AG220" s="56">
        <v>7.9</v>
      </c>
      <c r="AH220" s="56">
        <v>7.6</v>
      </c>
      <c r="AI220" s="56">
        <v>1.1</v>
      </c>
      <c r="AJ220" s="56">
        <v>54.7</v>
      </c>
      <c r="AK220" s="56">
        <v>26.1</v>
      </c>
      <c r="AL220" s="56">
        <v>4.6</v>
      </c>
      <c r="AM220" s="56">
        <v>63.8</v>
      </c>
      <c r="AN220" s="56">
        <v>932.9</v>
      </c>
      <c r="AO220" s="56">
        <v>1638</v>
      </c>
      <c r="AP220" s="56">
        <v>2570.9</v>
      </c>
      <c r="AQ220" s="56">
        <v>716.4</v>
      </c>
      <c r="AR220" s="56">
        <v>2528.7</v>
      </c>
      <c r="AS220" s="56">
        <v>3245.1</v>
      </c>
    </row>
    <row r="221" spans="1:45">
      <c r="A221" s="54">
        <v>2021</v>
      </c>
      <c r="B221" s="54">
        <v>140000</v>
      </c>
      <c r="C221" s="55" t="s">
        <v>72</v>
      </c>
      <c r="D221" s="49">
        <v>0</v>
      </c>
      <c r="E221" s="49">
        <v>0</v>
      </c>
      <c r="F221" s="56">
        <v>1</v>
      </c>
      <c r="G221" s="49">
        <v>0</v>
      </c>
      <c r="H221" s="56">
        <v>60.395</v>
      </c>
      <c r="I221" s="56">
        <v>39.605</v>
      </c>
      <c r="J221" s="56">
        <v>0.819</v>
      </c>
      <c r="K221" s="56">
        <v>10.476</v>
      </c>
      <c r="L221" s="56">
        <v>44.615</v>
      </c>
      <c r="M221" s="56">
        <v>19.606</v>
      </c>
      <c r="N221" s="56">
        <v>13.199</v>
      </c>
      <c r="O221" s="56">
        <v>10.418</v>
      </c>
      <c r="P221" s="56">
        <v>0.867</v>
      </c>
      <c r="Q221" s="50">
        <v>401</v>
      </c>
      <c r="R221" s="50">
        <v>437</v>
      </c>
      <c r="S221" s="50">
        <v>877</v>
      </c>
      <c r="T221" s="51">
        <v>1715</v>
      </c>
      <c r="U221" s="56">
        <v>1.3</v>
      </c>
      <c r="V221" s="56">
        <v>84.6</v>
      </c>
      <c r="W221" s="56">
        <v>56.5</v>
      </c>
      <c r="X221" s="56">
        <v>16.1</v>
      </c>
      <c r="Y221" s="56">
        <v>26.9</v>
      </c>
      <c r="Z221" s="56">
        <v>23.2</v>
      </c>
      <c r="AA221" s="56">
        <v>5</v>
      </c>
      <c r="AB221" s="56">
        <v>13.7</v>
      </c>
      <c r="AC221" s="56">
        <v>4</v>
      </c>
      <c r="AD221" s="56">
        <v>26.3</v>
      </c>
      <c r="AE221" s="56">
        <v>6</v>
      </c>
      <c r="AF221" s="56">
        <v>12</v>
      </c>
      <c r="AG221" s="56">
        <v>7.6</v>
      </c>
      <c r="AH221" s="56">
        <v>8.1</v>
      </c>
      <c r="AI221" s="56">
        <v>0.8</v>
      </c>
      <c r="AJ221" s="56">
        <v>55.9</v>
      </c>
      <c r="AK221" s="56">
        <v>27.2</v>
      </c>
      <c r="AL221" s="56">
        <v>4.4</v>
      </c>
      <c r="AM221" s="56">
        <v>63.3</v>
      </c>
      <c r="AN221" s="56">
        <v>1002.335</v>
      </c>
      <c r="AO221" s="56">
        <v>1637.943</v>
      </c>
      <c r="AP221" s="56">
        <v>2640.278</v>
      </c>
      <c r="AQ221" s="56">
        <v>731.061</v>
      </c>
      <c r="AR221" s="56">
        <v>2514.982</v>
      </c>
      <c r="AS221" s="56">
        <v>3246.043</v>
      </c>
    </row>
    <row r="222" spans="1:45">
      <c r="A222" s="54">
        <v>2022</v>
      </c>
      <c r="B222" s="54">
        <v>140000</v>
      </c>
      <c r="C222" s="55" t="s">
        <v>72</v>
      </c>
      <c r="D222" s="56">
        <v>0</v>
      </c>
      <c r="E222" s="56">
        <v>0</v>
      </c>
      <c r="F222" s="56">
        <v>1</v>
      </c>
      <c r="G222" s="56">
        <v>0</v>
      </c>
      <c r="H222" s="56">
        <v>61.067</v>
      </c>
      <c r="I222" s="56">
        <v>38.933</v>
      </c>
      <c r="J222" s="56">
        <v>0.566</v>
      </c>
      <c r="K222" s="56">
        <v>12.12</v>
      </c>
      <c r="L222" s="56">
        <v>42.817</v>
      </c>
      <c r="M222" s="56">
        <v>18.252</v>
      </c>
      <c r="N222" s="56">
        <v>13.716</v>
      </c>
      <c r="O222" s="56">
        <v>11.573</v>
      </c>
      <c r="P222" s="56">
        <v>0.955</v>
      </c>
      <c r="Q222" s="50">
        <v>414</v>
      </c>
      <c r="R222" s="50">
        <v>431</v>
      </c>
      <c r="S222" s="50">
        <v>827</v>
      </c>
      <c r="T222" s="51">
        <v>1672</v>
      </c>
      <c r="U222" s="56">
        <v>1.4</v>
      </c>
      <c r="V222" s="56">
        <v>86.4</v>
      </c>
      <c r="W222" s="56">
        <v>57.3</v>
      </c>
      <c r="X222" s="56">
        <v>16.2</v>
      </c>
      <c r="Y222" s="56">
        <v>25.2</v>
      </c>
      <c r="Z222" s="56">
        <v>23.2</v>
      </c>
      <c r="AA222" s="56">
        <v>5.1</v>
      </c>
      <c r="AB222" s="56">
        <v>14.3</v>
      </c>
      <c r="AC222" s="56">
        <v>3.9</v>
      </c>
      <c r="AD222" s="56">
        <v>23.1</v>
      </c>
      <c r="AE222" s="56">
        <v>6.2</v>
      </c>
      <c r="AF222" s="56">
        <v>11.6</v>
      </c>
      <c r="AG222" s="56">
        <v>7.5</v>
      </c>
      <c r="AH222" s="56">
        <v>6.8</v>
      </c>
      <c r="AI222" s="56">
        <v>0.8</v>
      </c>
      <c r="AJ222" s="56">
        <v>54.2</v>
      </c>
      <c r="AK222" s="56">
        <v>27.3</v>
      </c>
      <c r="AL222" s="56">
        <v>4.1</v>
      </c>
      <c r="AM222" s="56">
        <v>63.7</v>
      </c>
      <c r="AN222" s="56">
        <v>1065.845</v>
      </c>
      <c r="AO222" s="56">
        <v>1628.186</v>
      </c>
      <c r="AP222" s="56">
        <v>2694.031</v>
      </c>
      <c r="AQ222" s="56">
        <v>739.189</v>
      </c>
      <c r="AR222" s="56">
        <v>2483.548</v>
      </c>
      <c r="AS222" s="56">
        <v>3222.737</v>
      </c>
    </row>
    <row r="223" spans="1:45">
      <c r="A223" s="54">
        <v>2013</v>
      </c>
      <c r="B223" s="54">
        <v>610000</v>
      </c>
      <c r="C223" s="55" t="s">
        <v>73</v>
      </c>
      <c r="D223" s="49">
        <v>1</v>
      </c>
      <c r="E223" s="49">
        <v>0</v>
      </c>
      <c r="F223" s="49">
        <v>0</v>
      </c>
      <c r="G223" s="49">
        <v>0</v>
      </c>
      <c r="J223" s="56">
        <v>1.296</v>
      </c>
      <c r="K223" s="56">
        <v>11.136</v>
      </c>
      <c r="L223" s="56">
        <v>50.232</v>
      </c>
      <c r="M223" s="56">
        <v>18.624</v>
      </c>
      <c r="N223" s="56">
        <v>11.53</v>
      </c>
      <c r="O223" s="56">
        <v>6.405</v>
      </c>
      <c r="P223" s="56">
        <v>0.777</v>
      </c>
      <c r="Q223" s="50">
        <v>791</v>
      </c>
      <c r="R223" s="50">
        <v>327</v>
      </c>
      <c r="S223" s="50">
        <v>482</v>
      </c>
      <c r="T223" s="51">
        <v>2090</v>
      </c>
      <c r="U223" s="56">
        <v>2.6</v>
      </c>
      <c r="V223" s="56">
        <v>36.3</v>
      </c>
      <c r="W223" s="56">
        <v>107.9</v>
      </c>
      <c r="X223" s="56">
        <v>12.2</v>
      </c>
      <c r="Y223" s="56">
        <v>72.1</v>
      </c>
      <c r="Z223" s="56">
        <v>25</v>
      </c>
      <c r="AA223" s="56">
        <v>9.5</v>
      </c>
      <c r="AB223" s="56">
        <v>26</v>
      </c>
      <c r="AC223" s="56">
        <v>12.6</v>
      </c>
      <c r="AD223" s="56">
        <v>15</v>
      </c>
      <c r="AE223" s="56">
        <v>8.7</v>
      </c>
      <c r="AF223" s="56">
        <v>7.6</v>
      </c>
      <c r="AG223" s="56">
        <v>16.7</v>
      </c>
      <c r="AH223" s="56">
        <v>8.9</v>
      </c>
      <c r="AI223" s="56">
        <v>2</v>
      </c>
      <c r="AJ223" s="56">
        <v>58.5</v>
      </c>
      <c r="AK223" s="56">
        <v>23.4</v>
      </c>
      <c r="AL223" s="56">
        <v>4.6</v>
      </c>
      <c r="AM223" s="56">
        <v>55.7</v>
      </c>
      <c r="AN223" s="56">
        <v>684.984</v>
      </c>
      <c r="AO223" s="56">
        <v>1704.868</v>
      </c>
      <c r="AP223" s="56">
        <v>2389.852</v>
      </c>
      <c r="AQ223" s="56">
        <v>571.737</v>
      </c>
      <c r="AR223" s="56">
        <v>672.528</v>
      </c>
      <c r="AS223" s="56">
        <v>1244.264</v>
      </c>
    </row>
    <row r="224" spans="1:45">
      <c r="A224" s="54">
        <v>2014</v>
      </c>
      <c r="B224" s="54">
        <v>610000</v>
      </c>
      <c r="C224" s="55" t="s">
        <v>73</v>
      </c>
      <c r="D224" s="56">
        <v>1</v>
      </c>
      <c r="E224" s="56">
        <v>0</v>
      </c>
      <c r="F224" s="56">
        <v>0</v>
      </c>
      <c r="G224" s="56">
        <v>0</v>
      </c>
      <c r="H224" s="56">
        <v>56.4</v>
      </c>
      <c r="I224" s="56">
        <v>43.6</v>
      </c>
      <c r="J224" s="56">
        <v>1.4</v>
      </c>
      <c r="K224" s="56">
        <v>11.8</v>
      </c>
      <c r="L224" s="56">
        <v>45.4</v>
      </c>
      <c r="M224" s="56">
        <v>20.4</v>
      </c>
      <c r="N224" s="56">
        <v>12.6</v>
      </c>
      <c r="O224" s="56">
        <v>7.3</v>
      </c>
      <c r="P224" s="56">
        <v>1.1</v>
      </c>
      <c r="Q224" s="50">
        <v>795</v>
      </c>
      <c r="R224" s="50">
        <v>341</v>
      </c>
      <c r="S224" s="50">
        <v>537</v>
      </c>
      <c r="T224" s="51">
        <v>2101</v>
      </c>
      <c r="U224" s="56">
        <v>2.4</v>
      </c>
      <c r="V224" s="56">
        <v>36.1</v>
      </c>
      <c r="W224" s="56">
        <v>106.1</v>
      </c>
      <c r="X224" s="56">
        <v>12.7</v>
      </c>
      <c r="Y224" s="56">
        <v>71</v>
      </c>
      <c r="Z224" s="56">
        <v>28.7</v>
      </c>
      <c r="AA224" s="56">
        <v>10.4</v>
      </c>
      <c r="AB224" s="56">
        <v>26.4</v>
      </c>
      <c r="AC224" s="56">
        <v>11.8</v>
      </c>
      <c r="AD224" s="56">
        <v>16.1</v>
      </c>
      <c r="AE224" s="56">
        <v>10.7</v>
      </c>
      <c r="AF224" s="56">
        <v>8.5</v>
      </c>
      <c r="AG224" s="56">
        <v>17.8</v>
      </c>
      <c r="AH224" s="56">
        <v>9.8</v>
      </c>
      <c r="AI224" s="56">
        <v>1.7</v>
      </c>
      <c r="AJ224" s="56">
        <v>59.6</v>
      </c>
      <c r="AK224" s="56">
        <v>25.5</v>
      </c>
      <c r="AL224" s="56">
        <v>4.5</v>
      </c>
      <c r="AM224" s="56">
        <v>56.9</v>
      </c>
      <c r="AN224" s="56">
        <v>716.5</v>
      </c>
      <c r="AO224" s="56">
        <v>1710.8</v>
      </c>
      <c r="AP224" s="56">
        <v>2427.3</v>
      </c>
      <c r="AQ224" s="56">
        <v>574.2</v>
      </c>
      <c r="AR224" s="56">
        <v>671.9</v>
      </c>
      <c r="AS224" s="56">
        <v>1246.2</v>
      </c>
    </row>
    <row r="225" spans="1:45">
      <c r="A225" s="54">
        <v>2015</v>
      </c>
      <c r="B225" s="54">
        <v>610000</v>
      </c>
      <c r="C225" s="55" t="s">
        <v>73</v>
      </c>
      <c r="D225" s="56">
        <v>1</v>
      </c>
      <c r="E225" s="49">
        <v>0</v>
      </c>
      <c r="F225" s="49">
        <v>0</v>
      </c>
      <c r="G225" s="49">
        <v>0</v>
      </c>
      <c r="H225" s="56">
        <v>60.274</v>
      </c>
      <c r="I225" s="56">
        <v>39.726</v>
      </c>
      <c r="J225" s="56">
        <v>2.658</v>
      </c>
      <c r="K225" s="56">
        <v>14.679</v>
      </c>
      <c r="L225" s="56">
        <v>45.52</v>
      </c>
      <c r="M225" s="56">
        <v>13.807</v>
      </c>
      <c r="N225" s="56">
        <v>10.041</v>
      </c>
      <c r="O225" s="56">
        <v>6.808</v>
      </c>
      <c r="P225" s="56">
        <v>0.771</v>
      </c>
      <c r="Q225" s="50">
        <v>803</v>
      </c>
      <c r="R225" s="50">
        <v>341</v>
      </c>
      <c r="S225" s="50">
        <v>626</v>
      </c>
      <c r="T225" s="51">
        <v>2107</v>
      </c>
      <c r="U225" s="56">
        <v>2.2</v>
      </c>
      <c r="V225" s="56">
        <v>35.4</v>
      </c>
      <c r="W225" s="56">
        <v>104.4</v>
      </c>
      <c r="X225" s="56">
        <v>13.7</v>
      </c>
      <c r="Y225" s="56">
        <v>64.4</v>
      </c>
      <c r="Z225" s="56">
        <v>28</v>
      </c>
      <c r="AA225" s="56">
        <v>10.2</v>
      </c>
      <c r="AB225" s="56">
        <v>25.8</v>
      </c>
      <c r="AC225" s="56">
        <v>11.1</v>
      </c>
      <c r="AD225" s="56">
        <v>18</v>
      </c>
      <c r="AE225" s="56">
        <v>11.1</v>
      </c>
      <c r="AF225" s="56">
        <v>10.9</v>
      </c>
      <c r="AG225" s="56">
        <v>18.3</v>
      </c>
      <c r="AH225" s="56">
        <v>9.6</v>
      </c>
      <c r="AI225" s="56">
        <v>1.7</v>
      </c>
      <c r="AJ225" s="56">
        <v>57.9</v>
      </c>
      <c r="AK225" s="56">
        <v>26.2</v>
      </c>
      <c r="AL225" s="56">
        <v>5</v>
      </c>
      <c r="AM225" s="56">
        <v>57.9</v>
      </c>
      <c r="AN225" s="56">
        <v>751.707</v>
      </c>
      <c r="AO225" s="56">
        <v>1714.538</v>
      </c>
      <c r="AP225" s="56">
        <v>2466.245</v>
      </c>
      <c r="AQ225" s="56">
        <v>580.263</v>
      </c>
      <c r="AR225" s="56">
        <v>667.007</v>
      </c>
      <c r="AS225" s="56">
        <v>1247.27</v>
      </c>
    </row>
    <row r="226" spans="1:45">
      <c r="A226" s="54">
        <v>2016</v>
      </c>
      <c r="B226" s="54">
        <v>610000</v>
      </c>
      <c r="C226" s="55" t="s">
        <v>73</v>
      </c>
      <c r="D226" s="49">
        <v>1</v>
      </c>
      <c r="E226" s="56">
        <v>0</v>
      </c>
      <c r="F226" s="56">
        <v>0</v>
      </c>
      <c r="G226" s="56">
        <v>0</v>
      </c>
      <c r="H226" s="56">
        <v>58.525</v>
      </c>
      <c r="I226" s="56">
        <v>41.475</v>
      </c>
      <c r="J226" s="56">
        <v>2.542</v>
      </c>
      <c r="K226" s="56">
        <v>13.45</v>
      </c>
      <c r="L226" s="56">
        <v>45.058</v>
      </c>
      <c r="M226" s="56">
        <v>14.669</v>
      </c>
      <c r="N226" s="56">
        <v>10.568</v>
      </c>
      <c r="O226" s="56">
        <v>7.585</v>
      </c>
      <c r="P226" s="56">
        <v>0.738</v>
      </c>
      <c r="Q226" s="50">
        <v>805</v>
      </c>
      <c r="R226" s="50">
        <v>344</v>
      </c>
      <c r="S226" s="50">
        <v>666</v>
      </c>
      <c r="T226" s="51">
        <v>2111</v>
      </c>
      <c r="U226" s="56">
        <v>2.4</v>
      </c>
      <c r="V226" s="56">
        <v>34.9</v>
      </c>
      <c r="W226" s="56">
        <v>102</v>
      </c>
      <c r="X226" s="56">
        <v>13.7</v>
      </c>
      <c r="Y226" s="56">
        <v>61.1</v>
      </c>
      <c r="Z226" s="56">
        <v>28.3</v>
      </c>
      <c r="AA226" s="56">
        <v>11.2</v>
      </c>
      <c r="AB226" s="56">
        <v>25.8</v>
      </c>
      <c r="AC226" s="56">
        <v>10.6</v>
      </c>
      <c r="AD226" s="56">
        <v>20.3</v>
      </c>
      <c r="AE226" s="56">
        <v>11.5</v>
      </c>
      <c r="AF226" s="56">
        <v>10.9</v>
      </c>
      <c r="AG226" s="56">
        <v>18.2</v>
      </c>
      <c r="AH226" s="56">
        <v>9.6</v>
      </c>
      <c r="AI226" s="56">
        <v>1.6</v>
      </c>
      <c r="AJ226" s="56">
        <v>58.1</v>
      </c>
      <c r="AK226" s="56">
        <v>26.7</v>
      </c>
      <c r="AL226" s="56">
        <v>5</v>
      </c>
      <c r="AM226" s="56">
        <v>59.6</v>
      </c>
      <c r="AN226" s="56">
        <v>790.824</v>
      </c>
      <c r="AO226" s="56">
        <v>1720.467</v>
      </c>
      <c r="AP226" s="56">
        <v>2511.291</v>
      </c>
      <c r="AQ226" s="56">
        <v>599.642</v>
      </c>
      <c r="AR226" s="56">
        <v>648.403</v>
      </c>
      <c r="AS226" s="56">
        <v>1248.045</v>
      </c>
    </row>
    <row r="227" spans="1:45">
      <c r="A227" s="54">
        <v>2017</v>
      </c>
      <c r="B227" s="54">
        <v>610000</v>
      </c>
      <c r="C227" s="55" t="s">
        <v>73</v>
      </c>
      <c r="D227" s="56">
        <v>1</v>
      </c>
      <c r="E227" s="49">
        <v>0</v>
      </c>
      <c r="F227" s="49">
        <v>0</v>
      </c>
      <c r="G227" s="49">
        <v>0</v>
      </c>
      <c r="H227" s="56">
        <v>58.055</v>
      </c>
      <c r="I227" s="56">
        <v>41.945</v>
      </c>
      <c r="J227" s="56">
        <v>2.32</v>
      </c>
      <c r="K227" s="56">
        <v>13.023</v>
      </c>
      <c r="L227" s="56">
        <v>44.198</v>
      </c>
      <c r="M227" s="56">
        <v>14.124</v>
      </c>
      <c r="N227" s="56">
        <v>11.39</v>
      </c>
      <c r="O227" s="56">
        <v>8.213</v>
      </c>
      <c r="P227" s="56">
        <v>0.684</v>
      </c>
      <c r="Q227" s="50">
        <v>805</v>
      </c>
      <c r="R227" s="50">
        <v>354</v>
      </c>
      <c r="S227" s="50">
        <v>711</v>
      </c>
      <c r="T227" s="51">
        <v>2111</v>
      </c>
      <c r="U227" s="56">
        <v>2.2</v>
      </c>
      <c r="V227" s="56">
        <v>34.7</v>
      </c>
      <c r="W227" s="56">
        <v>100.2</v>
      </c>
      <c r="X227" s="56">
        <v>12.8</v>
      </c>
      <c r="Y227" s="56">
        <v>60.4</v>
      </c>
      <c r="Z227" s="56">
        <v>28</v>
      </c>
      <c r="AA227" s="56">
        <v>11.6</v>
      </c>
      <c r="AB227" s="56">
        <v>26.6</v>
      </c>
      <c r="AC227" s="56">
        <v>10.1</v>
      </c>
      <c r="AD227" s="56">
        <v>22.4</v>
      </c>
      <c r="AE227" s="56">
        <v>11.8</v>
      </c>
      <c r="AF227" s="56">
        <v>9</v>
      </c>
      <c r="AG227" s="56">
        <v>18.7</v>
      </c>
      <c r="AH227" s="56">
        <v>9.9</v>
      </c>
      <c r="AI227" s="56">
        <v>1.5</v>
      </c>
      <c r="AJ227" s="56">
        <v>55.6</v>
      </c>
      <c r="AK227" s="56">
        <v>28.1</v>
      </c>
      <c r="AL227" s="56">
        <v>5.6</v>
      </c>
      <c r="AM227" s="56">
        <v>61.2</v>
      </c>
      <c r="AN227" s="56">
        <v>953.309</v>
      </c>
      <c r="AO227" s="56">
        <v>1733.763</v>
      </c>
      <c r="AP227" s="56">
        <v>2687.072</v>
      </c>
      <c r="AQ227" s="56">
        <v>619.763</v>
      </c>
      <c r="AR227" s="56">
        <v>631.239</v>
      </c>
      <c r="AS227" s="56">
        <v>1251.002</v>
      </c>
    </row>
    <row r="228" spans="1:45">
      <c r="A228" s="54">
        <v>2018</v>
      </c>
      <c r="B228" s="54">
        <v>610000</v>
      </c>
      <c r="C228" s="55" t="s">
        <v>73</v>
      </c>
      <c r="D228" s="56">
        <v>1</v>
      </c>
      <c r="E228" s="56">
        <v>0</v>
      </c>
      <c r="F228" s="56">
        <v>0</v>
      </c>
      <c r="G228" s="56">
        <v>0</v>
      </c>
      <c r="H228" s="56">
        <v>57.682</v>
      </c>
      <c r="I228" s="56">
        <v>42.318</v>
      </c>
      <c r="J228" s="56">
        <v>2.353</v>
      </c>
      <c r="K228" s="56">
        <v>12.634</v>
      </c>
      <c r="L228" s="56">
        <v>43.424</v>
      </c>
      <c r="M228" s="56">
        <v>14.705</v>
      </c>
      <c r="N228" s="56">
        <v>11.751</v>
      </c>
      <c r="O228" s="56">
        <v>8.561</v>
      </c>
      <c r="P228" s="56">
        <v>0.782</v>
      </c>
      <c r="Q228" s="50">
        <v>804</v>
      </c>
      <c r="R228" s="50">
        <v>337</v>
      </c>
      <c r="S228" s="50">
        <v>802</v>
      </c>
      <c r="T228" s="51">
        <v>2112</v>
      </c>
      <c r="U228" s="56">
        <v>1.8</v>
      </c>
      <c r="V228" s="56">
        <v>33.8</v>
      </c>
      <c r="W228" s="56">
        <v>91.8</v>
      </c>
      <c r="X228" s="56">
        <v>12.2</v>
      </c>
      <c r="Y228" s="56">
        <v>61.2</v>
      </c>
      <c r="Z228" s="56">
        <v>27.3</v>
      </c>
      <c r="AA228" s="56">
        <v>12.7</v>
      </c>
      <c r="AB228" s="56">
        <v>22.7</v>
      </c>
      <c r="AC228" s="56">
        <v>9.6</v>
      </c>
      <c r="AD228" s="56">
        <v>21.6</v>
      </c>
      <c r="AE228" s="56">
        <v>11.9</v>
      </c>
      <c r="AF228" s="56">
        <v>8.5</v>
      </c>
      <c r="AG228" s="56">
        <v>17</v>
      </c>
      <c r="AH228" s="56">
        <v>10.2</v>
      </c>
      <c r="AI228" s="56">
        <v>1.6</v>
      </c>
      <c r="AJ228" s="56">
        <v>55.1</v>
      </c>
      <c r="AK228" s="56">
        <v>27.8</v>
      </c>
      <c r="AL228" s="56">
        <v>5.6</v>
      </c>
      <c r="AM228" s="56">
        <v>60.9</v>
      </c>
      <c r="AN228" s="56">
        <v>991.99</v>
      </c>
      <c r="AO228" s="56">
        <v>1741.684</v>
      </c>
      <c r="AP228" s="56">
        <v>2733.674</v>
      </c>
      <c r="AQ228" s="56">
        <v>674.395</v>
      </c>
      <c r="AR228" s="56">
        <v>3211.546</v>
      </c>
      <c r="AS228" s="56">
        <v>3885.941</v>
      </c>
    </row>
    <row r="229" spans="1:45">
      <c r="A229" s="54">
        <v>2019</v>
      </c>
      <c r="B229" s="54">
        <v>610000</v>
      </c>
      <c r="C229" s="55" t="s">
        <v>73</v>
      </c>
      <c r="D229" s="49">
        <v>1</v>
      </c>
      <c r="E229" s="49">
        <v>0</v>
      </c>
      <c r="F229" s="49">
        <v>0</v>
      </c>
      <c r="G229" s="49">
        <v>0</v>
      </c>
      <c r="H229" s="56">
        <v>57.7</v>
      </c>
      <c r="I229" s="56">
        <v>42.3</v>
      </c>
      <c r="J229" s="56">
        <v>2.3</v>
      </c>
      <c r="K229" s="56">
        <v>11.7</v>
      </c>
      <c r="L229" s="56">
        <v>41.3</v>
      </c>
      <c r="M229" s="56">
        <v>20.1</v>
      </c>
      <c r="N229" s="56">
        <v>14.3</v>
      </c>
      <c r="O229" s="56">
        <v>9.4</v>
      </c>
      <c r="P229" s="56">
        <v>0.9</v>
      </c>
      <c r="Q229" s="50">
        <v>803</v>
      </c>
      <c r="R229" s="50">
        <v>337</v>
      </c>
      <c r="S229" s="50">
        <v>968</v>
      </c>
      <c r="T229" s="51">
        <v>2114</v>
      </c>
      <c r="U229" s="56">
        <v>1.3</v>
      </c>
      <c r="V229" s="56">
        <v>33.8</v>
      </c>
      <c r="W229" s="56">
        <v>80.4</v>
      </c>
      <c r="X229" s="56">
        <v>13.5</v>
      </c>
      <c r="Y229" s="56">
        <v>58.7</v>
      </c>
      <c r="Z229" s="56">
        <v>27.1</v>
      </c>
      <c r="AA229" s="56">
        <v>13.4</v>
      </c>
      <c r="AB229" s="56">
        <v>22.7</v>
      </c>
      <c r="AC229" s="56">
        <v>9.3</v>
      </c>
      <c r="AD229" s="56">
        <v>27.8</v>
      </c>
      <c r="AE229" s="56">
        <v>13.8</v>
      </c>
      <c r="AF229" s="56">
        <v>11</v>
      </c>
      <c r="AG229" s="56">
        <v>12.9</v>
      </c>
      <c r="AH229" s="56">
        <v>10.3</v>
      </c>
      <c r="AI229" s="56">
        <v>1.9</v>
      </c>
      <c r="AJ229" s="56">
        <v>61.4</v>
      </c>
      <c r="AK229" s="56">
        <v>31.6</v>
      </c>
      <c r="AL229" s="56">
        <v>5.7</v>
      </c>
      <c r="AM229" s="56">
        <v>64.6</v>
      </c>
      <c r="AN229" s="56">
        <v>1080.7</v>
      </c>
      <c r="AO229" s="56">
        <v>1765.6</v>
      </c>
      <c r="AP229" s="56">
        <v>2846.4</v>
      </c>
      <c r="AQ229" s="56">
        <v>712.9</v>
      </c>
      <c r="AR229" s="56">
        <v>3248</v>
      </c>
      <c r="AS229" s="56">
        <v>3960.9</v>
      </c>
    </row>
    <row r="230" spans="1:45">
      <c r="A230" s="54">
        <v>2020</v>
      </c>
      <c r="B230" s="54">
        <v>610000</v>
      </c>
      <c r="C230" s="55" t="s">
        <v>73</v>
      </c>
      <c r="D230" s="56">
        <v>1</v>
      </c>
      <c r="E230" s="56">
        <v>0</v>
      </c>
      <c r="F230" s="56">
        <v>0</v>
      </c>
      <c r="G230" s="56">
        <v>0</v>
      </c>
      <c r="H230" s="56">
        <v>57.5</v>
      </c>
      <c r="I230" s="56">
        <v>42.5</v>
      </c>
      <c r="J230" s="56">
        <v>2.3</v>
      </c>
      <c r="K230" s="56">
        <v>13.9</v>
      </c>
      <c r="L230" s="56">
        <v>42.5</v>
      </c>
      <c r="M230" s="56">
        <v>18</v>
      </c>
      <c r="N230" s="56">
        <v>12.8</v>
      </c>
      <c r="O230" s="56">
        <v>9.5</v>
      </c>
      <c r="P230" s="56">
        <v>1</v>
      </c>
      <c r="Q230" s="50">
        <v>632</v>
      </c>
      <c r="R230" s="50">
        <v>443</v>
      </c>
      <c r="S230" s="50">
        <v>1030</v>
      </c>
      <c r="T230" s="51">
        <v>2105</v>
      </c>
      <c r="U230" s="56">
        <v>1.6</v>
      </c>
      <c r="V230" s="56">
        <v>28.9</v>
      </c>
      <c r="W230" s="56">
        <v>75.7</v>
      </c>
      <c r="X230" s="56">
        <v>13.1</v>
      </c>
      <c r="Y230" s="56">
        <v>54.6</v>
      </c>
      <c r="Z230" s="56">
        <v>28.8</v>
      </c>
      <c r="AA230" s="56">
        <v>14</v>
      </c>
      <c r="AB230" s="56">
        <v>21.9</v>
      </c>
      <c r="AC230" s="56">
        <v>8.7</v>
      </c>
      <c r="AD230" s="56">
        <v>26.6</v>
      </c>
      <c r="AE230" s="56">
        <v>13.8</v>
      </c>
      <c r="AF230" s="56">
        <v>11.9</v>
      </c>
      <c r="AG230" s="56">
        <v>13.5</v>
      </c>
      <c r="AH230" s="56">
        <v>9.3</v>
      </c>
      <c r="AI230" s="56">
        <v>1.5</v>
      </c>
      <c r="AJ230" s="56">
        <v>64.9</v>
      </c>
      <c r="AK230" s="56">
        <v>33.8</v>
      </c>
      <c r="AL230" s="56">
        <v>5.6</v>
      </c>
      <c r="AM230" s="56">
        <v>61.5</v>
      </c>
      <c r="AN230" s="56">
        <v>1157.6</v>
      </c>
      <c r="AO230" s="56">
        <v>1785.2</v>
      </c>
      <c r="AP230" s="56">
        <v>2942.8</v>
      </c>
      <c r="AQ230" s="56">
        <v>742.2</v>
      </c>
      <c r="AR230" s="56">
        <v>3157.5</v>
      </c>
      <c r="AS230" s="56">
        <v>3899.7</v>
      </c>
    </row>
    <row r="231" spans="1:45">
      <c r="A231" s="54">
        <v>2021</v>
      </c>
      <c r="B231" s="54">
        <v>610000</v>
      </c>
      <c r="C231" s="55" t="s">
        <v>73</v>
      </c>
      <c r="D231" s="56">
        <v>1</v>
      </c>
      <c r="E231" s="49">
        <v>0</v>
      </c>
      <c r="F231" s="49">
        <v>0</v>
      </c>
      <c r="G231" s="49">
        <v>0</v>
      </c>
      <c r="H231" s="56">
        <v>57.191</v>
      </c>
      <c r="I231" s="56">
        <v>42.809</v>
      </c>
      <c r="J231" s="56">
        <v>2.588</v>
      </c>
      <c r="K231" s="56">
        <v>13.557</v>
      </c>
      <c r="L231" s="56">
        <v>43.244</v>
      </c>
      <c r="M231" s="56">
        <v>17.568</v>
      </c>
      <c r="N231" s="56">
        <v>11.877</v>
      </c>
      <c r="O231" s="56">
        <v>10.022</v>
      </c>
      <c r="P231" s="56">
        <v>1.144</v>
      </c>
      <c r="Q231" s="50">
        <v>611</v>
      </c>
      <c r="R231" s="50">
        <v>444</v>
      </c>
      <c r="S231" s="50">
        <v>1036</v>
      </c>
      <c r="T231" s="51">
        <v>2091</v>
      </c>
      <c r="U231" s="56">
        <v>1.7</v>
      </c>
      <c r="V231" s="56">
        <v>30</v>
      </c>
      <c r="W231" s="56">
        <v>76.7</v>
      </c>
      <c r="X231" s="56">
        <v>12.9</v>
      </c>
      <c r="Y231" s="56">
        <v>49.6</v>
      </c>
      <c r="Z231" s="56">
        <v>26.2</v>
      </c>
      <c r="AA231" s="56">
        <v>13</v>
      </c>
      <c r="AB231" s="56">
        <v>21.3</v>
      </c>
      <c r="AC231" s="56">
        <v>8.7</v>
      </c>
      <c r="AD231" s="56">
        <v>22.6</v>
      </c>
      <c r="AE231" s="56">
        <v>13.2</v>
      </c>
      <c r="AF231" s="56">
        <v>10.8</v>
      </c>
      <c r="AG231" s="56">
        <v>13.5</v>
      </c>
      <c r="AH231" s="56">
        <v>9.2</v>
      </c>
      <c r="AI231" s="56">
        <v>1.5</v>
      </c>
      <c r="AJ231" s="56">
        <v>64</v>
      </c>
      <c r="AK231" s="56">
        <v>34.7</v>
      </c>
      <c r="AL231" s="56">
        <v>5.5</v>
      </c>
      <c r="AM231" s="56">
        <v>60.7</v>
      </c>
      <c r="AN231" s="56">
        <v>1229.39</v>
      </c>
      <c r="AO231" s="56">
        <v>1799.468</v>
      </c>
      <c r="AP231" s="56">
        <v>3028.858</v>
      </c>
      <c r="AQ231" s="56">
        <v>783.795</v>
      </c>
      <c r="AR231" s="56">
        <v>3107.841</v>
      </c>
      <c r="AS231" s="56">
        <v>3891.636</v>
      </c>
    </row>
    <row r="232" spans="1:45">
      <c r="A232" s="54">
        <v>2022</v>
      </c>
      <c r="B232" s="54">
        <v>610000</v>
      </c>
      <c r="C232" s="55" t="s">
        <v>73</v>
      </c>
      <c r="D232" s="49">
        <v>1</v>
      </c>
      <c r="E232" s="56">
        <v>0</v>
      </c>
      <c r="F232" s="56">
        <v>0</v>
      </c>
      <c r="G232" s="56">
        <v>0</v>
      </c>
      <c r="H232" s="56">
        <v>57.443</v>
      </c>
      <c r="I232" s="56">
        <v>42.557</v>
      </c>
      <c r="J232" s="56">
        <v>2.425</v>
      </c>
      <c r="K232" s="56">
        <v>15.439</v>
      </c>
      <c r="L232" s="56">
        <v>41.702</v>
      </c>
      <c r="M232" s="56">
        <v>16</v>
      </c>
      <c r="N232" s="56">
        <v>12.414</v>
      </c>
      <c r="O232" s="56">
        <v>10.787</v>
      </c>
      <c r="P232" s="56">
        <v>1.234</v>
      </c>
      <c r="Q232" s="50">
        <v>649</v>
      </c>
      <c r="R232" s="50">
        <v>431</v>
      </c>
      <c r="S232" s="50">
        <v>986</v>
      </c>
      <c r="T232" s="51">
        <v>2066</v>
      </c>
      <c r="U232" s="56">
        <v>1.7</v>
      </c>
      <c r="V232" s="56">
        <v>28.5</v>
      </c>
      <c r="W232" s="56">
        <v>79.1</v>
      </c>
      <c r="X232" s="56">
        <v>14.5</v>
      </c>
      <c r="Y232" s="56">
        <v>47.4</v>
      </c>
      <c r="Z232" s="56">
        <v>25.8</v>
      </c>
      <c r="AA232" s="56">
        <v>14.3</v>
      </c>
      <c r="AB232" s="56">
        <v>21.3</v>
      </c>
      <c r="AC232" s="56">
        <v>8.2</v>
      </c>
      <c r="AD232" s="56">
        <v>19.8</v>
      </c>
      <c r="AE232" s="56">
        <v>13</v>
      </c>
      <c r="AF232" s="56">
        <v>11.3</v>
      </c>
      <c r="AG232" s="56">
        <v>13.4</v>
      </c>
      <c r="AH232" s="56">
        <v>9</v>
      </c>
      <c r="AI232" s="56">
        <v>1.9</v>
      </c>
      <c r="AJ232" s="56">
        <v>62</v>
      </c>
      <c r="AK232" s="56">
        <v>35</v>
      </c>
      <c r="AL232" s="56">
        <v>5.4</v>
      </c>
      <c r="AM232" s="56">
        <v>60.1</v>
      </c>
      <c r="AN232" s="56">
        <v>1285.404</v>
      </c>
      <c r="AO232" s="56">
        <v>1822.61</v>
      </c>
      <c r="AP232" s="56">
        <v>3108.014</v>
      </c>
      <c r="AQ232" s="56">
        <v>720.206</v>
      </c>
      <c r="AR232" s="56">
        <v>2948.054</v>
      </c>
      <c r="AS232" s="56">
        <v>3668.26</v>
      </c>
    </row>
    <row r="233" spans="1:45">
      <c r="A233" s="54">
        <v>2013</v>
      </c>
      <c r="B233" s="54">
        <v>310000</v>
      </c>
      <c r="C233" s="55" t="s">
        <v>74</v>
      </c>
      <c r="D233" s="49">
        <v>0</v>
      </c>
      <c r="E233" s="49">
        <v>1</v>
      </c>
      <c r="F233" s="49">
        <v>0</v>
      </c>
      <c r="G233" s="49">
        <v>0</v>
      </c>
      <c r="J233" s="56">
        <v>0.389</v>
      </c>
      <c r="K233" s="56">
        <v>5.797</v>
      </c>
      <c r="L233" s="56">
        <v>34.246</v>
      </c>
      <c r="M233" s="56">
        <v>24.535</v>
      </c>
      <c r="N233" s="56">
        <v>16.533</v>
      </c>
      <c r="O233" s="56">
        <v>16.35</v>
      </c>
      <c r="P233" s="56">
        <v>2.149</v>
      </c>
      <c r="Q233" s="50">
        <v>46.36</v>
      </c>
      <c r="R233" s="50">
        <v>446.09</v>
      </c>
      <c r="S233" s="50">
        <v>644.9</v>
      </c>
      <c r="T233" s="51">
        <v>1137.35</v>
      </c>
      <c r="U233" s="56">
        <v>1.3</v>
      </c>
      <c r="V233" s="56">
        <v>0.1</v>
      </c>
      <c r="W233" s="56">
        <v>211.8</v>
      </c>
      <c r="X233" s="56">
        <v>5.2</v>
      </c>
      <c r="Y233" s="56">
        <v>37.2</v>
      </c>
      <c r="Z233" s="56">
        <v>49.2</v>
      </c>
      <c r="AA233" s="56">
        <v>21.7</v>
      </c>
      <c r="AB233" s="56">
        <v>66.9</v>
      </c>
      <c r="AC233" s="56">
        <v>21.1</v>
      </c>
      <c r="AD233" s="56">
        <v>30</v>
      </c>
      <c r="AE233" s="56">
        <v>24</v>
      </c>
      <c r="AF233" s="56">
        <v>42.1</v>
      </c>
      <c r="AG233" s="56">
        <v>20.4</v>
      </c>
      <c r="AH233" s="56">
        <v>8.1</v>
      </c>
      <c r="AI233" s="56">
        <v>5.1</v>
      </c>
      <c r="AJ233" s="56">
        <v>29.5</v>
      </c>
      <c r="AK233" s="56">
        <v>18.8</v>
      </c>
      <c r="AL233" s="56">
        <v>5.9</v>
      </c>
      <c r="AM233" s="56">
        <v>20.5</v>
      </c>
      <c r="AN233" s="56">
        <v>1429.882</v>
      </c>
      <c r="AO233" s="56">
        <v>79.988</v>
      </c>
      <c r="AP233" s="56">
        <v>1509.87</v>
      </c>
      <c r="AQ233" s="56">
        <v>1394.087</v>
      </c>
      <c r="AR233" s="56">
        <v>256.396</v>
      </c>
      <c r="AS233" s="56">
        <v>1650.483</v>
      </c>
    </row>
    <row r="234" spans="1:45">
      <c r="A234" s="54">
        <v>2014</v>
      </c>
      <c r="B234" s="54">
        <v>310000</v>
      </c>
      <c r="C234" s="55" t="s">
        <v>74</v>
      </c>
      <c r="D234" s="56">
        <v>0</v>
      </c>
      <c r="E234" s="56">
        <v>1</v>
      </c>
      <c r="F234" s="56">
        <v>0</v>
      </c>
      <c r="G234" s="56">
        <v>0</v>
      </c>
      <c r="H234" s="56">
        <v>58.6</v>
      </c>
      <c r="I234" s="56">
        <v>41.4</v>
      </c>
      <c r="J234" s="56">
        <v>0.2</v>
      </c>
      <c r="K234" s="56">
        <v>4.2</v>
      </c>
      <c r="L234" s="56">
        <v>28.8</v>
      </c>
      <c r="M234" s="56">
        <v>24</v>
      </c>
      <c r="N234" s="56">
        <v>19.6</v>
      </c>
      <c r="O234" s="56">
        <v>20.8</v>
      </c>
      <c r="P234" s="56">
        <v>2.4</v>
      </c>
      <c r="Q234" s="50">
        <v>44.81</v>
      </c>
      <c r="R234" s="50">
        <v>476.87</v>
      </c>
      <c r="S234" s="50">
        <v>843.95</v>
      </c>
      <c r="T234" s="51">
        <v>1365.63</v>
      </c>
      <c r="U234" s="56">
        <v>2.4</v>
      </c>
      <c r="V234" s="56">
        <v>0.1</v>
      </c>
      <c r="W234" s="56">
        <v>206.1</v>
      </c>
      <c r="X234" s="56">
        <v>4.6</v>
      </c>
      <c r="Y234" s="56">
        <v>37.3</v>
      </c>
      <c r="Z234" s="56">
        <v>51.4</v>
      </c>
      <c r="AA234" s="56">
        <v>24.8</v>
      </c>
      <c r="AB234" s="56">
        <v>78</v>
      </c>
      <c r="AC234" s="56">
        <v>24.4</v>
      </c>
      <c r="AD234" s="56">
        <v>33</v>
      </c>
      <c r="AE234" s="56">
        <v>25.6</v>
      </c>
      <c r="AF234" s="56">
        <v>48.9</v>
      </c>
      <c r="AG234" s="56">
        <v>22.5</v>
      </c>
      <c r="AH234" s="56">
        <v>8.6</v>
      </c>
      <c r="AI234" s="56">
        <v>6.6</v>
      </c>
      <c r="AJ234" s="56">
        <v>29.4</v>
      </c>
      <c r="AK234" s="56">
        <v>19</v>
      </c>
      <c r="AL234" s="56">
        <v>5.7</v>
      </c>
      <c r="AM234" s="56">
        <v>20.5</v>
      </c>
      <c r="AN234" s="56">
        <v>1457.4</v>
      </c>
      <c r="AO234" s="56">
        <v>78.3</v>
      </c>
      <c r="AP234" s="56">
        <v>1535.7</v>
      </c>
      <c r="AQ234" s="56">
        <v>1420.8</v>
      </c>
      <c r="AR234" s="56">
        <v>257.7</v>
      </c>
      <c r="AS234" s="56">
        <v>1678.5</v>
      </c>
    </row>
    <row r="235" spans="1:45">
      <c r="A235" s="54">
        <v>2015</v>
      </c>
      <c r="B235" s="54">
        <v>310000</v>
      </c>
      <c r="C235" s="55" t="s">
        <v>74</v>
      </c>
      <c r="D235" s="49">
        <v>0</v>
      </c>
      <c r="E235" s="56">
        <v>1</v>
      </c>
      <c r="F235" s="49">
        <v>0</v>
      </c>
      <c r="G235" s="49">
        <v>0</v>
      </c>
      <c r="H235" s="56">
        <v>58.848</v>
      </c>
      <c r="I235" s="56">
        <v>41.152</v>
      </c>
      <c r="J235" s="56">
        <v>0.787</v>
      </c>
      <c r="K235" s="56">
        <v>4.95</v>
      </c>
      <c r="L235" s="56">
        <v>29.312</v>
      </c>
      <c r="M235" s="56">
        <v>12.896</v>
      </c>
      <c r="N235" s="56">
        <v>17.116</v>
      </c>
      <c r="O235" s="56">
        <v>21.989</v>
      </c>
      <c r="P235" s="56">
        <v>4.771</v>
      </c>
      <c r="Q235" s="50">
        <v>46.01</v>
      </c>
      <c r="R235" s="50">
        <v>459.74</v>
      </c>
      <c r="S235" s="50">
        <v>855.76</v>
      </c>
      <c r="T235" s="51">
        <v>1361.51</v>
      </c>
      <c r="U235" s="56">
        <v>2.5</v>
      </c>
      <c r="V235" s="56">
        <v>0.1</v>
      </c>
      <c r="W235" s="56">
        <v>192.9</v>
      </c>
      <c r="X235" s="56">
        <v>4.3</v>
      </c>
      <c r="Y235" s="56">
        <v>35.1</v>
      </c>
      <c r="Z235" s="56">
        <v>51.5</v>
      </c>
      <c r="AA235" s="56">
        <v>25.4</v>
      </c>
      <c r="AB235" s="56">
        <v>78.2</v>
      </c>
      <c r="AC235" s="56">
        <v>24</v>
      </c>
      <c r="AD235" s="56">
        <v>33.7</v>
      </c>
      <c r="AE235" s="56">
        <v>26.2</v>
      </c>
      <c r="AF235" s="56">
        <v>52</v>
      </c>
      <c r="AG235" s="56">
        <v>22.5</v>
      </c>
      <c r="AH235" s="56">
        <v>8.3</v>
      </c>
      <c r="AI235" s="56">
        <v>6.5</v>
      </c>
      <c r="AJ235" s="56">
        <v>29.1</v>
      </c>
      <c r="AK235" s="56">
        <v>18.9</v>
      </c>
      <c r="AL235" s="56">
        <v>5.6</v>
      </c>
      <c r="AM235" s="56">
        <v>20.3</v>
      </c>
      <c r="AN235" s="56">
        <v>1493.801</v>
      </c>
      <c r="AO235" s="56">
        <v>79.454</v>
      </c>
      <c r="AP235" s="56">
        <v>1573.254</v>
      </c>
      <c r="AQ235" s="56">
        <v>1446.37</v>
      </c>
      <c r="AR235" s="56">
        <v>272.87</v>
      </c>
      <c r="AS235" s="56">
        <v>1719.24</v>
      </c>
    </row>
    <row r="236" spans="1:45">
      <c r="A236" s="54">
        <v>2016</v>
      </c>
      <c r="B236" s="54">
        <v>310000</v>
      </c>
      <c r="C236" s="55" t="s">
        <v>74</v>
      </c>
      <c r="D236" s="56">
        <v>0</v>
      </c>
      <c r="E236" s="56">
        <v>1</v>
      </c>
      <c r="F236" s="56">
        <v>0</v>
      </c>
      <c r="G236" s="56">
        <v>0</v>
      </c>
      <c r="H236" s="56">
        <v>58.341</v>
      </c>
      <c r="I236" s="56">
        <v>41.659</v>
      </c>
      <c r="J236" s="56">
        <v>0.623</v>
      </c>
      <c r="K236" s="56">
        <v>4.699</v>
      </c>
      <c r="L236" s="56">
        <v>29.437</v>
      </c>
      <c r="M236" s="56">
        <v>12.449</v>
      </c>
      <c r="N236" s="56">
        <v>16.506</v>
      </c>
      <c r="O236" s="56">
        <v>23.374</v>
      </c>
      <c r="P236" s="56">
        <v>4.672</v>
      </c>
      <c r="Q236" s="50">
        <v>45.45</v>
      </c>
      <c r="R236" s="50">
        <v>448.5</v>
      </c>
      <c r="S236" s="50">
        <v>871.29</v>
      </c>
      <c r="T236" s="51">
        <v>1365.24</v>
      </c>
      <c r="U236" s="56">
        <v>2.5</v>
      </c>
      <c r="V236" s="56">
        <v>0.1</v>
      </c>
      <c r="W236" s="56">
        <v>181</v>
      </c>
      <c r="X236" s="56">
        <v>4.4</v>
      </c>
      <c r="Y236" s="56">
        <v>32.9</v>
      </c>
      <c r="Z236" s="56">
        <v>51.1</v>
      </c>
      <c r="AA236" s="56">
        <v>26.8</v>
      </c>
      <c r="AB236" s="56">
        <v>78.4</v>
      </c>
      <c r="AC236" s="56">
        <v>24.3</v>
      </c>
      <c r="AD236" s="56">
        <v>35.5</v>
      </c>
      <c r="AE236" s="56">
        <v>25.4</v>
      </c>
      <c r="AF236" s="56">
        <v>52.2</v>
      </c>
      <c r="AG236" s="56">
        <v>23.2</v>
      </c>
      <c r="AH236" s="56">
        <v>8.6</v>
      </c>
      <c r="AI236" s="56">
        <v>6.3</v>
      </c>
      <c r="AJ236" s="56">
        <v>29.7</v>
      </c>
      <c r="AK236" s="56">
        <v>18.9</v>
      </c>
      <c r="AL236" s="56">
        <v>6</v>
      </c>
      <c r="AM236" s="56">
        <v>20.5</v>
      </c>
      <c r="AN236" s="56">
        <v>1527.138</v>
      </c>
      <c r="AO236" s="56">
        <v>79.543</v>
      </c>
      <c r="AP236" s="56">
        <v>1606.681</v>
      </c>
      <c r="AQ236" s="56">
        <v>1468.637</v>
      </c>
      <c r="AR236" s="56">
        <v>338.031</v>
      </c>
      <c r="AS236" s="56">
        <v>1806.668</v>
      </c>
    </row>
    <row r="237" spans="1:45">
      <c r="A237" s="54">
        <v>2017</v>
      </c>
      <c r="B237" s="54">
        <v>310000</v>
      </c>
      <c r="C237" s="55" t="s">
        <v>74</v>
      </c>
      <c r="D237" s="49">
        <v>0</v>
      </c>
      <c r="E237" s="49">
        <v>1</v>
      </c>
      <c r="F237" s="49">
        <v>0</v>
      </c>
      <c r="G237" s="49">
        <v>0</v>
      </c>
      <c r="H237" s="56">
        <v>57.68</v>
      </c>
      <c r="I237" s="56">
        <v>42.32</v>
      </c>
      <c r="J237" s="56">
        <v>0.558</v>
      </c>
      <c r="K237" s="56">
        <v>4.366</v>
      </c>
      <c r="L237" s="56">
        <v>28.781</v>
      </c>
      <c r="M237" s="56">
        <v>12.212</v>
      </c>
      <c r="N237" s="56">
        <v>16.42</v>
      </c>
      <c r="O237" s="56">
        <v>25.042</v>
      </c>
      <c r="P237" s="56">
        <v>4.751</v>
      </c>
      <c r="Q237" s="50">
        <v>42.44</v>
      </c>
      <c r="R237" s="50">
        <v>430.51</v>
      </c>
      <c r="S237" s="50">
        <v>899.7</v>
      </c>
      <c r="T237" s="51">
        <v>1372.65</v>
      </c>
      <c r="U237" s="56">
        <v>2.8</v>
      </c>
      <c r="V237" s="56">
        <v>0.1</v>
      </c>
      <c r="W237" s="56">
        <v>172.1</v>
      </c>
      <c r="X237" s="56">
        <v>4.1</v>
      </c>
      <c r="Y237" s="56">
        <v>31.3</v>
      </c>
      <c r="Z237" s="56">
        <v>51.1</v>
      </c>
      <c r="AA237" s="56">
        <v>30.7</v>
      </c>
      <c r="AB237" s="56">
        <v>80.1</v>
      </c>
      <c r="AC237" s="56">
        <v>25.5</v>
      </c>
      <c r="AD237" s="56">
        <v>34.2</v>
      </c>
      <c r="AE237" s="56">
        <v>26.7</v>
      </c>
      <c r="AF237" s="56">
        <v>55.4</v>
      </c>
      <c r="AG237" s="56">
        <v>24.6</v>
      </c>
      <c r="AH237" s="56">
        <v>8.7</v>
      </c>
      <c r="AI237" s="56">
        <v>7.5</v>
      </c>
      <c r="AJ237" s="56">
        <v>30.8</v>
      </c>
      <c r="AK237" s="56">
        <v>19.1</v>
      </c>
      <c r="AL237" s="56">
        <v>6.4</v>
      </c>
      <c r="AM237" s="56">
        <v>21.2</v>
      </c>
      <c r="AN237" s="56">
        <v>1548.222</v>
      </c>
      <c r="AO237" s="56">
        <v>78.834</v>
      </c>
      <c r="AP237" s="56">
        <v>1627.056</v>
      </c>
      <c r="AQ237" s="56">
        <v>1495.13</v>
      </c>
      <c r="AR237" s="56">
        <v>344.629</v>
      </c>
      <c r="AS237" s="56">
        <v>1839.758</v>
      </c>
    </row>
    <row r="238" spans="1:45">
      <c r="A238" s="54">
        <v>2018</v>
      </c>
      <c r="B238" s="54">
        <v>310000</v>
      </c>
      <c r="C238" s="55" t="s">
        <v>74</v>
      </c>
      <c r="D238" s="56">
        <v>0</v>
      </c>
      <c r="E238" s="56">
        <v>1</v>
      </c>
      <c r="F238" s="56">
        <v>0</v>
      </c>
      <c r="G238" s="56">
        <v>0</v>
      </c>
      <c r="H238" s="56">
        <v>57.563</v>
      </c>
      <c r="I238" s="56">
        <v>42.437</v>
      </c>
      <c r="J238" s="56">
        <v>0.414</v>
      </c>
      <c r="K238" s="56">
        <v>4.555</v>
      </c>
      <c r="L238" s="56">
        <v>27.784</v>
      </c>
      <c r="M238" s="56">
        <v>11.374</v>
      </c>
      <c r="N238" s="56">
        <v>17.305</v>
      </c>
      <c r="O238" s="56">
        <v>25.641</v>
      </c>
      <c r="P238" s="56">
        <v>5.238</v>
      </c>
      <c r="Q238" s="50">
        <v>40.83</v>
      </c>
      <c r="R238" s="50">
        <v>422.82</v>
      </c>
      <c r="S238" s="50">
        <v>912.01</v>
      </c>
      <c r="T238" s="51">
        <v>1375.66</v>
      </c>
      <c r="U238" s="56">
        <v>3.1</v>
      </c>
      <c r="V238" s="56">
        <v>0.1</v>
      </c>
      <c r="W238" s="56">
        <v>161.7</v>
      </c>
      <c r="X238" s="56">
        <v>4</v>
      </c>
      <c r="Y238" s="56">
        <v>30.5</v>
      </c>
      <c r="Z238" s="56">
        <v>50.6</v>
      </c>
      <c r="AA238" s="56">
        <v>35.6</v>
      </c>
      <c r="AB238" s="56">
        <v>84.5</v>
      </c>
      <c r="AC238" s="56">
        <v>30.5</v>
      </c>
      <c r="AD238" s="56">
        <v>33.4</v>
      </c>
      <c r="AE238" s="56">
        <v>26.6</v>
      </c>
      <c r="AF238" s="56">
        <v>57.9</v>
      </c>
      <c r="AG238" s="56">
        <v>26.9</v>
      </c>
      <c r="AH238" s="56">
        <v>9.3</v>
      </c>
      <c r="AI238" s="56">
        <v>7.1</v>
      </c>
      <c r="AJ238" s="56">
        <v>31.9</v>
      </c>
      <c r="AK238" s="56">
        <v>19.4</v>
      </c>
      <c r="AL238" s="56">
        <v>5.9</v>
      </c>
      <c r="AM238" s="56">
        <v>21.9</v>
      </c>
      <c r="AN238" s="56">
        <v>1573.373</v>
      </c>
      <c r="AO238" s="56">
        <v>78.694</v>
      </c>
      <c r="AP238" s="56">
        <v>1652.068</v>
      </c>
      <c r="AQ238" s="56">
        <v>1523.31</v>
      </c>
      <c r="AR238" s="56">
        <v>342.758</v>
      </c>
      <c r="AS238" s="56">
        <v>1866.067</v>
      </c>
    </row>
    <row r="239" spans="1:45">
      <c r="A239" s="54">
        <v>2019</v>
      </c>
      <c r="B239" s="54">
        <v>310000</v>
      </c>
      <c r="C239" s="55" t="s">
        <v>74</v>
      </c>
      <c r="D239" s="49">
        <v>0</v>
      </c>
      <c r="E239" s="56">
        <v>1</v>
      </c>
      <c r="F239" s="49">
        <v>0</v>
      </c>
      <c r="G239" s="49">
        <v>0</v>
      </c>
      <c r="H239" s="56">
        <v>58.4</v>
      </c>
      <c r="I239" s="56">
        <v>41.6</v>
      </c>
      <c r="J239" s="56">
        <v>0.4</v>
      </c>
      <c r="K239" s="56">
        <v>4.9</v>
      </c>
      <c r="L239" s="56">
        <v>26.3</v>
      </c>
      <c r="M239" s="56">
        <v>17.4</v>
      </c>
      <c r="N239" s="56">
        <v>19.6</v>
      </c>
      <c r="O239" s="56">
        <v>25.3</v>
      </c>
      <c r="P239" s="56">
        <v>5.9</v>
      </c>
      <c r="Q239" s="50">
        <v>40.8</v>
      </c>
      <c r="R239" s="50">
        <v>335.67</v>
      </c>
      <c r="S239" s="50">
        <v>999.73</v>
      </c>
      <c r="T239" s="51">
        <v>1376.2</v>
      </c>
      <c r="U239" s="56">
        <v>7.6</v>
      </c>
      <c r="V239" s="56">
        <v>0.1</v>
      </c>
      <c r="W239" s="56">
        <v>143.5</v>
      </c>
      <c r="X239" s="56">
        <v>3.5</v>
      </c>
      <c r="Y239" s="56">
        <v>32.4</v>
      </c>
      <c r="Z239" s="56">
        <v>50.4</v>
      </c>
      <c r="AA239" s="56">
        <v>41.8</v>
      </c>
      <c r="AB239" s="56">
        <v>99</v>
      </c>
      <c r="AC239" s="56">
        <v>29.9</v>
      </c>
      <c r="AD239" s="56">
        <v>37.9</v>
      </c>
      <c r="AE239" s="56">
        <v>30.1</v>
      </c>
      <c r="AF239" s="56">
        <v>76.4</v>
      </c>
      <c r="AG239" s="56">
        <v>36.2</v>
      </c>
      <c r="AH239" s="56">
        <v>10.6</v>
      </c>
      <c r="AI239" s="56">
        <v>10.9</v>
      </c>
      <c r="AJ239" s="56">
        <v>40.1</v>
      </c>
      <c r="AK239" s="56">
        <v>28.4</v>
      </c>
      <c r="AL239" s="56">
        <v>7.5</v>
      </c>
      <c r="AM239" s="56">
        <v>29.8</v>
      </c>
      <c r="AN239" s="56">
        <v>1589.6</v>
      </c>
      <c r="AO239" s="56">
        <v>77.1</v>
      </c>
      <c r="AP239" s="56">
        <v>1666.7</v>
      </c>
      <c r="AQ239" s="56">
        <v>1539.3</v>
      </c>
      <c r="AR239" s="56">
        <v>349.8</v>
      </c>
      <c r="AS239" s="56">
        <v>1889.2</v>
      </c>
    </row>
    <row r="240" spans="1:45">
      <c r="A240" s="54">
        <v>2020</v>
      </c>
      <c r="B240" s="54">
        <v>310000</v>
      </c>
      <c r="C240" s="55" t="s">
        <v>74</v>
      </c>
      <c r="D240" s="56">
        <v>0</v>
      </c>
      <c r="E240" s="56">
        <v>1</v>
      </c>
      <c r="F240" s="56">
        <v>0</v>
      </c>
      <c r="G240" s="56">
        <v>0</v>
      </c>
      <c r="H240" s="56">
        <v>57.8</v>
      </c>
      <c r="I240" s="56">
        <v>42.2</v>
      </c>
      <c r="J240" s="56">
        <v>0.5</v>
      </c>
      <c r="K240" s="56">
        <v>4.8</v>
      </c>
      <c r="L240" s="56">
        <v>28.1</v>
      </c>
      <c r="M240" s="56">
        <v>16.7</v>
      </c>
      <c r="N240" s="56">
        <v>17.7</v>
      </c>
      <c r="O240" s="56">
        <v>26.2</v>
      </c>
      <c r="P240" s="56">
        <v>6</v>
      </c>
      <c r="Q240" s="50">
        <v>27</v>
      </c>
      <c r="R240" s="50">
        <v>448</v>
      </c>
      <c r="S240" s="50">
        <v>899</v>
      </c>
      <c r="T240" s="51">
        <v>1374</v>
      </c>
      <c r="U240" s="56">
        <v>0.9</v>
      </c>
      <c r="V240" s="56">
        <v>0.1</v>
      </c>
      <c r="W240" s="56">
        <v>130.5</v>
      </c>
      <c r="X240" s="56">
        <v>3.4</v>
      </c>
      <c r="Y240" s="56">
        <v>28.5</v>
      </c>
      <c r="Z240" s="56">
        <v>47.8</v>
      </c>
      <c r="AA240" s="56">
        <v>44.8</v>
      </c>
      <c r="AB240" s="56">
        <v>89</v>
      </c>
      <c r="AC240" s="56">
        <v>26.3</v>
      </c>
      <c r="AD240" s="56">
        <v>29.7</v>
      </c>
      <c r="AE240" s="56">
        <v>28.5</v>
      </c>
      <c r="AF240" s="56">
        <v>68.9</v>
      </c>
      <c r="AG240" s="56">
        <v>32.1</v>
      </c>
      <c r="AH240" s="56">
        <v>10.2</v>
      </c>
      <c r="AI240" s="56">
        <v>11.1</v>
      </c>
      <c r="AJ240" s="56">
        <v>38.1</v>
      </c>
      <c r="AK240" s="56">
        <v>29.6</v>
      </c>
      <c r="AL240" s="56">
        <v>6</v>
      </c>
      <c r="AM240" s="56">
        <v>20</v>
      </c>
      <c r="AN240" s="56">
        <v>1616.7</v>
      </c>
      <c r="AO240" s="56">
        <v>76.2</v>
      </c>
      <c r="AP240" s="56">
        <v>1692.9</v>
      </c>
      <c r="AQ240" s="56">
        <v>1587.2</v>
      </c>
      <c r="AR240" s="56">
        <v>356</v>
      </c>
      <c r="AS240" s="56">
        <v>1943.2</v>
      </c>
    </row>
    <row r="241" spans="1:45">
      <c r="A241" s="54">
        <v>2021</v>
      </c>
      <c r="B241" s="54">
        <v>310000</v>
      </c>
      <c r="C241" s="55" t="s">
        <v>74</v>
      </c>
      <c r="D241" s="49">
        <v>0</v>
      </c>
      <c r="E241" s="49">
        <v>1</v>
      </c>
      <c r="F241" s="49">
        <v>0</v>
      </c>
      <c r="G241" s="49">
        <v>0</v>
      </c>
      <c r="H241" s="56">
        <v>58.368</v>
      </c>
      <c r="I241" s="56">
        <v>41.632</v>
      </c>
      <c r="J241" s="56">
        <v>0.522</v>
      </c>
      <c r="K241" s="56">
        <v>4.563</v>
      </c>
      <c r="L241" s="56">
        <v>24.954</v>
      </c>
      <c r="M241" s="56">
        <v>17.371</v>
      </c>
      <c r="N241" s="56">
        <v>18.366</v>
      </c>
      <c r="O241" s="56">
        <v>26.932</v>
      </c>
      <c r="P241" s="56">
        <v>7.292</v>
      </c>
      <c r="Q241" s="50">
        <v>25</v>
      </c>
      <c r="R241" s="50">
        <v>445</v>
      </c>
      <c r="S241" s="50">
        <v>895</v>
      </c>
      <c r="T241" s="51">
        <v>1365</v>
      </c>
      <c r="U241" s="56">
        <v>0.8</v>
      </c>
      <c r="V241" s="56">
        <v>0.2</v>
      </c>
      <c r="W241" s="56">
        <v>133.7</v>
      </c>
      <c r="X241" s="56">
        <v>3.4</v>
      </c>
      <c r="Y241" s="56">
        <v>28.4</v>
      </c>
      <c r="Z241" s="56">
        <v>46.9</v>
      </c>
      <c r="AA241" s="56">
        <v>50.7</v>
      </c>
      <c r="AB241" s="56">
        <v>93.3</v>
      </c>
      <c r="AC241" s="56">
        <v>28.2</v>
      </c>
      <c r="AD241" s="56">
        <v>32.4</v>
      </c>
      <c r="AE241" s="56">
        <v>28.2</v>
      </c>
      <c r="AF241" s="56">
        <v>82.2</v>
      </c>
      <c r="AG241" s="56">
        <v>35.8</v>
      </c>
      <c r="AH241" s="56">
        <v>13.6</v>
      </c>
      <c r="AI241" s="56">
        <v>10.2</v>
      </c>
      <c r="AJ241" s="56">
        <v>38.5</v>
      </c>
      <c r="AK241" s="56">
        <v>31.2</v>
      </c>
      <c r="AL241" s="56">
        <v>6</v>
      </c>
      <c r="AM241" s="56">
        <v>19.3</v>
      </c>
      <c r="AN241" s="56">
        <v>1654.363</v>
      </c>
      <c r="AO241" s="56">
        <v>74.42</v>
      </c>
      <c r="AP241" s="56">
        <v>1728.783</v>
      </c>
      <c r="AQ241" s="56">
        <v>1613.433</v>
      </c>
      <c r="AR241" s="56">
        <v>365.046</v>
      </c>
      <c r="AS241" s="56">
        <v>1978.479</v>
      </c>
    </row>
    <row r="242" spans="1:45">
      <c r="A242" s="54">
        <v>2022</v>
      </c>
      <c r="B242" s="54">
        <v>310000</v>
      </c>
      <c r="C242" s="55" t="s">
        <v>74</v>
      </c>
      <c r="D242" s="56">
        <v>0</v>
      </c>
      <c r="E242" s="56">
        <v>1</v>
      </c>
      <c r="F242" s="56">
        <v>0</v>
      </c>
      <c r="G242" s="56">
        <v>0</v>
      </c>
      <c r="H242" s="56">
        <v>58.222</v>
      </c>
      <c r="I242" s="56">
        <v>41.778</v>
      </c>
      <c r="J242" s="56">
        <v>0.502</v>
      </c>
      <c r="K242" s="56">
        <v>5.368</v>
      </c>
      <c r="L242" s="56">
        <v>25.502</v>
      </c>
      <c r="M242" s="56">
        <v>14.894</v>
      </c>
      <c r="N242" s="56">
        <v>17.634</v>
      </c>
      <c r="O242" s="56">
        <v>28.706</v>
      </c>
      <c r="P242" s="56">
        <v>7.395</v>
      </c>
      <c r="Q242" s="50">
        <v>21</v>
      </c>
      <c r="R242" s="50">
        <v>439</v>
      </c>
      <c r="S242" s="50">
        <v>887</v>
      </c>
      <c r="T242" s="51">
        <v>1347</v>
      </c>
      <c r="U242" s="56">
        <v>0.8</v>
      </c>
      <c r="V242" s="56">
        <v>0.2</v>
      </c>
      <c r="W242" s="56">
        <v>127.5</v>
      </c>
      <c r="X242" s="56">
        <v>3.4</v>
      </c>
      <c r="Y242" s="56">
        <v>27.1</v>
      </c>
      <c r="Z242" s="56">
        <v>44.8</v>
      </c>
      <c r="AA242" s="56">
        <v>54.4</v>
      </c>
      <c r="AB242" s="56">
        <v>91.9</v>
      </c>
      <c r="AC242" s="56">
        <v>26.3</v>
      </c>
      <c r="AD242" s="56">
        <v>34.8</v>
      </c>
      <c r="AE242" s="56">
        <v>27.4</v>
      </c>
      <c r="AF242" s="56">
        <v>79.2</v>
      </c>
      <c r="AG242" s="56">
        <v>38.4</v>
      </c>
      <c r="AH242" s="56">
        <v>12.8</v>
      </c>
      <c r="AI242" s="56">
        <v>10.2</v>
      </c>
      <c r="AJ242" s="56">
        <v>37.6</v>
      </c>
      <c r="AK242" s="56">
        <v>31.3</v>
      </c>
      <c r="AL242" s="56">
        <v>5.6</v>
      </c>
      <c r="AM242" s="56">
        <v>18.8</v>
      </c>
      <c r="AN242" s="56">
        <v>1659.383</v>
      </c>
      <c r="AO242" s="56">
        <v>73.138</v>
      </c>
      <c r="AP242" s="56">
        <v>1732.521</v>
      </c>
      <c r="AQ242" s="56">
        <v>1623.741</v>
      </c>
      <c r="AR242" s="56">
        <v>365.81</v>
      </c>
      <c r="AS242" s="56">
        <v>1989.551</v>
      </c>
    </row>
    <row r="243" spans="1:45">
      <c r="A243" s="54">
        <v>2013</v>
      </c>
      <c r="B243" s="54">
        <v>510000</v>
      </c>
      <c r="C243" s="55" t="s">
        <v>75</v>
      </c>
      <c r="D243" s="56">
        <v>1</v>
      </c>
      <c r="E243" s="49">
        <v>0</v>
      </c>
      <c r="F243" s="49">
        <v>0</v>
      </c>
      <c r="G243" s="49">
        <v>0</v>
      </c>
      <c r="J243" s="56">
        <v>1.893</v>
      </c>
      <c r="K243" s="56">
        <v>26.598</v>
      </c>
      <c r="L243" s="56">
        <v>46.699</v>
      </c>
      <c r="M243" s="56">
        <v>14.121</v>
      </c>
      <c r="N243" s="56">
        <v>6.424</v>
      </c>
      <c r="O243" s="56">
        <v>3.915</v>
      </c>
      <c r="P243" s="56">
        <v>0.35</v>
      </c>
      <c r="Q243" s="50">
        <v>1854</v>
      </c>
      <c r="R243" s="50">
        <v>1163</v>
      </c>
      <c r="S243" s="50">
        <v>1617</v>
      </c>
      <c r="T243" s="51">
        <v>4634</v>
      </c>
      <c r="U243" s="56">
        <v>3.7</v>
      </c>
      <c r="V243" s="56">
        <v>23.2</v>
      </c>
      <c r="W243" s="56">
        <v>204.6</v>
      </c>
      <c r="X243" s="56">
        <v>27.2</v>
      </c>
      <c r="Y243" s="56">
        <v>177.8</v>
      </c>
      <c r="Z243" s="56">
        <v>39.4</v>
      </c>
      <c r="AA243" s="56">
        <v>15.6</v>
      </c>
      <c r="AB243" s="56">
        <v>33.2</v>
      </c>
      <c r="AC243" s="56">
        <v>12.5</v>
      </c>
      <c r="AD243" s="56">
        <v>24.1</v>
      </c>
      <c r="AE243" s="56">
        <v>15.7</v>
      </c>
      <c r="AF243" s="56">
        <v>12.2</v>
      </c>
      <c r="AG243" s="56">
        <v>19.9</v>
      </c>
      <c r="AH243" s="56">
        <v>12.1</v>
      </c>
      <c r="AI243" s="56">
        <v>1.7</v>
      </c>
      <c r="AJ243" s="56">
        <v>90.9</v>
      </c>
      <c r="AK243" s="56">
        <v>42.7</v>
      </c>
      <c r="AL243" s="56">
        <v>5.9</v>
      </c>
      <c r="AM243" s="56">
        <v>83.9</v>
      </c>
      <c r="AN243" s="56">
        <v>1720.259</v>
      </c>
      <c r="AO243" s="56">
        <v>3001.562</v>
      </c>
      <c r="AP243" s="56">
        <v>4721.82</v>
      </c>
      <c r="AQ243" s="56">
        <v>1282.019</v>
      </c>
      <c r="AR243" s="56">
        <v>1203.959</v>
      </c>
      <c r="AS243" s="56">
        <v>2485.978</v>
      </c>
    </row>
    <row r="244" spans="1:45">
      <c r="A244" s="54">
        <v>2014</v>
      </c>
      <c r="B244" s="54">
        <v>510000</v>
      </c>
      <c r="C244" s="55" t="s">
        <v>75</v>
      </c>
      <c r="D244" s="56">
        <v>1</v>
      </c>
      <c r="E244" s="56">
        <v>0</v>
      </c>
      <c r="F244" s="56">
        <v>0</v>
      </c>
      <c r="G244" s="56">
        <v>0</v>
      </c>
      <c r="H244" s="56">
        <v>53.8</v>
      </c>
      <c r="I244" s="56">
        <v>46.2</v>
      </c>
      <c r="J244" s="56">
        <v>2.1</v>
      </c>
      <c r="K244" s="56">
        <v>26.4</v>
      </c>
      <c r="L244" s="56">
        <v>45.3</v>
      </c>
      <c r="M244" s="56">
        <v>15.3</v>
      </c>
      <c r="N244" s="56">
        <v>7.1</v>
      </c>
      <c r="O244" s="56">
        <v>3.7</v>
      </c>
      <c r="P244" s="56">
        <v>0.2</v>
      </c>
      <c r="Q244" s="50">
        <v>1804</v>
      </c>
      <c r="R244" s="50">
        <v>1155</v>
      </c>
      <c r="S244" s="50">
        <v>1679</v>
      </c>
      <c r="T244" s="51">
        <v>4638</v>
      </c>
      <c r="U244" s="56">
        <v>3.2</v>
      </c>
      <c r="V244" s="56">
        <v>23.5</v>
      </c>
      <c r="W244" s="56">
        <v>175.4</v>
      </c>
      <c r="X244" s="56">
        <v>26.7</v>
      </c>
      <c r="Y244" s="56">
        <v>155.6</v>
      </c>
      <c r="Z244" s="56">
        <v>41.3</v>
      </c>
      <c r="AA244" s="56">
        <v>16.3</v>
      </c>
      <c r="AB244" s="56">
        <v>32.3</v>
      </c>
      <c r="AC244" s="56">
        <v>11.5</v>
      </c>
      <c r="AD244" s="56">
        <v>24.2</v>
      </c>
      <c r="AE244" s="56">
        <v>17.7</v>
      </c>
      <c r="AF244" s="56">
        <v>12.7</v>
      </c>
      <c r="AG244" s="56">
        <v>21.1</v>
      </c>
      <c r="AH244" s="56">
        <v>13.2</v>
      </c>
      <c r="AI244" s="56">
        <v>1.8</v>
      </c>
      <c r="AJ244" s="56">
        <v>94.6</v>
      </c>
      <c r="AK244" s="56">
        <v>45.1</v>
      </c>
      <c r="AL244" s="56">
        <v>6.3</v>
      </c>
      <c r="AM244" s="56">
        <v>86.3</v>
      </c>
      <c r="AN244" s="56">
        <v>1839.7</v>
      </c>
      <c r="AO244" s="56">
        <v>3013.9</v>
      </c>
      <c r="AP244" s="56">
        <v>4853.6</v>
      </c>
      <c r="AQ244" s="56">
        <v>1329.4</v>
      </c>
      <c r="AR244" s="56">
        <v>1247.1</v>
      </c>
      <c r="AS244" s="56">
        <v>2576.5</v>
      </c>
    </row>
    <row r="245" spans="1:45">
      <c r="A245" s="54">
        <v>2015</v>
      </c>
      <c r="B245" s="54">
        <v>510000</v>
      </c>
      <c r="C245" s="55" t="s">
        <v>75</v>
      </c>
      <c r="D245" s="49">
        <v>1</v>
      </c>
      <c r="E245" s="49">
        <v>0</v>
      </c>
      <c r="F245" s="49">
        <v>0</v>
      </c>
      <c r="G245" s="49">
        <v>0</v>
      </c>
      <c r="H245" s="56">
        <v>56.725</v>
      </c>
      <c r="I245" s="56">
        <v>43.275</v>
      </c>
      <c r="J245" s="56">
        <v>4.227</v>
      </c>
      <c r="K245" s="56">
        <v>29.806</v>
      </c>
      <c r="L245" s="56">
        <v>39.023</v>
      </c>
      <c r="M245" s="56">
        <v>10.038</v>
      </c>
      <c r="N245" s="56">
        <v>6.953</v>
      </c>
      <c r="O245" s="56">
        <v>4.619</v>
      </c>
      <c r="P245" s="56">
        <v>0.386</v>
      </c>
      <c r="Q245" s="50">
        <v>1758.4</v>
      </c>
      <c r="R245" s="50">
        <v>1144.4</v>
      </c>
      <c r="S245" s="50">
        <v>1749.2</v>
      </c>
      <c r="T245" s="51">
        <v>4652</v>
      </c>
      <c r="U245" s="56">
        <v>2.9</v>
      </c>
      <c r="V245" s="56">
        <v>19.6</v>
      </c>
      <c r="W245" s="56">
        <v>159.7</v>
      </c>
      <c r="X245" s="56">
        <v>26.1</v>
      </c>
      <c r="Y245" s="56">
        <v>153.9</v>
      </c>
      <c r="Z245" s="56">
        <v>40.7</v>
      </c>
      <c r="AA245" s="56">
        <v>18.3</v>
      </c>
      <c r="AB245" s="56">
        <v>30.9</v>
      </c>
      <c r="AC245" s="56">
        <v>10.6</v>
      </c>
      <c r="AD245" s="56">
        <v>25.9</v>
      </c>
      <c r="AE245" s="56">
        <v>18.6</v>
      </c>
      <c r="AF245" s="56">
        <v>14.2</v>
      </c>
      <c r="AG245" s="56">
        <v>21</v>
      </c>
      <c r="AH245" s="56">
        <v>12.8</v>
      </c>
      <c r="AI245" s="56">
        <v>1.9</v>
      </c>
      <c r="AJ245" s="56">
        <v>94.8</v>
      </c>
      <c r="AK245" s="56">
        <v>46.8</v>
      </c>
      <c r="AL245" s="56">
        <v>6.1</v>
      </c>
      <c r="AM245" s="56">
        <v>90.8</v>
      </c>
      <c r="AN245" s="56">
        <v>1938.984</v>
      </c>
      <c r="AO245" s="56">
        <v>3020.414</v>
      </c>
      <c r="AP245" s="56">
        <v>4959.398</v>
      </c>
      <c r="AQ245" s="56">
        <v>1378.588</v>
      </c>
      <c r="AR245" s="56">
        <v>1272.128</v>
      </c>
      <c r="AS245" s="56">
        <v>2650.716</v>
      </c>
    </row>
    <row r="246" spans="1:45">
      <c r="A246" s="54">
        <v>2016</v>
      </c>
      <c r="B246" s="54">
        <v>510000</v>
      </c>
      <c r="C246" s="55" t="s">
        <v>75</v>
      </c>
      <c r="D246" s="56">
        <v>1</v>
      </c>
      <c r="E246" s="56">
        <v>0</v>
      </c>
      <c r="F246" s="56">
        <v>0</v>
      </c>
      <c r="G246" s="56">
        <v>0</v>
      </c>
      <c r="H246" s="56">
        <v>54.709</v>
      </c>
      <c r="I246" s="56">
        <v>45.291</v>
      </c>
      <c r="J246" s="56">
        <v>3.864</v>
      </c>
      <c r="K246" s="56">
        <v>29.382</v>
      </c>
      <c r="L246" s="56">
        <v>39.102</v>
      </c>
      <c r="M246" s="56">
        <v>9.598</v>
      </c>
      <c r="N246" s="56">
        <v>7.822</v>
      </c>
      <c r="O246" s="56">
        <v>5.083</v>
      </c>
      <c r="P246" s="56">
        <v>0.361</v>
      </c>
      <c r="Q246" s="50">
        <v>1709</v>
      </c>
      <c r="R246" s="50">
        <v>1132</v>
      </c>
      <c r="S246" s="50">
        <v>1816</v>
      </c>
      <c r="T246" s="51">
        <v>4657</v>
      </c>
      <c r="U246" s="56">
        <v>2.8</v>
      </c>
      <c r="V246" s="56">
        <v>18.6</v>
      </c>
      <c r="W246" s="56">
        <v>148.3</v>
      </c>
      <c r="X246" s="56">
        <v>23.2</v>
      </c>
      <c r="Y246" s="56">
        <v>151.5</v>
      </c>
      <c r="Z246" s="56">
        <v>40.4</v>
      </c>
      <c r="AA246" s="56">
        <v>18.4</v>
      </c>
      <c r="AB246" s="56">
        <v>30.5</v>
      </c>
      <c r="AC246" s="56">
        <v>9.7</v>
      </c>
      <c r="AD246" s="56">
        <v>30.4</v>
      </c>
      <c r="AE246" s="56">
        <v>19.8</v>
      </c>
      <c r="AF246" s="56">
        <v>15.6</v>
      </c>
      <c r="AG246" s="56">
        <v>21.1</v>
      </c>
      <c r="AH246" s="56">
        <v>13</v>
      </c>
      <c r="AI246" s="56">
        <v>2.2</v>
      </c>
      <c r="AJ246" s="56">
        <v>94.4</v>
      </c>
      <c r="AK246" s="56">
        <v>48.5</v>
      </c>
      <c r="AL246" s="56">
        <v>6.1</v>
      </c>
      <c r="AM246" s="56">
        <v>93.1</v>
      </c>
      <c r="AN246" s="56">
        <v>2157.603</v>
      </c>
      <c r="AO246" s="56">
        <v>3052.377</v>
      </c>
      <c r="AP246" s="56">
        <v>5209.98</v>
      </c>
      <c r="AQ246" s="56">
        <v>1440.647</v>
      </c>
      <c r="AR246" s="56">
        <v>3616.161</v>
      </c>
      <c r="AS246" s="56">
        <v>5056.808</v>
      </c>
    </row>
    <row r="247" spans="1:45">
      <c r="A247" s="54">
        <v>2017</v>
      </c>
      <c r="B247" s="54">
        <v>510000</v>
      </c>
      <c r="C247" s="55" t="s">
        <v>75</v>
      </c>
      <c r="D247" s="56">
        <v>1</v>
      </c>
      <c r="E247" s="49">
        <v>0</v>
      </c>
      <c r="F247" s="49">
        <v>0</v>
      </c>
      <c r="G247" s="49">
        <v>0</v>
      </c>
      <c r="H247" s="56">
        <v>54.346</v>
      </c>
      <c r="I247" s="56">
        <v>45.654</v>
      </c>
      <c r="J247" s="56">
        <v>3.436</v>
      </c>
      <c r="K247" s="56">
        <v>29.375</v>
      </c>
      <c r="L247" s="56">
        <v>39.185</v>
      </c>
      <c r="M247" s="56">
        <v>9.823</v>
      </c>
      <c r="N247" s="56">
        <v>7.641</v>
      </c>
      <c r="O247" s="56">
        <v>5.117</v>
      </c>
      <c r="P247" s="56">
        <v>0.363</v>
      </c>
      <c r="Q247" s="50">
        <v>1661.5</v>
      </c>
      <c r="R247" s="50">
        <v>1120</v>
      </c>
      <c r="S247" s="50">
        <v>1885.5</v>
      </c>
      <c r="T247" s="51">
        <v>4667</v>
      </c>
      <c r="U247" s="56">
        <v>2.5</v>
      </c>
      <c r="V247" s="56">
        <v>17</v>
      </c>
      <c r="W247" s="56">
        <v>147.3</v>
      </c>
      <c r="X247" s="56">
        <v>22.1</v>
      </c>
      <c r="Y247" s="56">
        <v>145.5</v>
      </c>
      <c r="Z247" s="56">
        <v>38.9</v>
      </c>
      <c r="AA247" s="56">
        <v>20.1</v>
      </c>
      <c r="AB247" s="56">
        <v>30.2</v>
      </c>
      <c r="AC247" s="56">
        <v>9.3</v>
      </c>
      <c r="AD247" s="56">
        <v>31.7</v>
      </c>
      <c r="AE247" s="56">
        <v>21.5</v>
      </c>
      <c r="AF247" s="56">
        <v>16.8</v>
      </c>
      <c r="AG247" s="56">
        <v>21.9</v>
      </c>
      <c r="AH247" s="56">
        <v>12.7</v>
      </c>
      <c r="AI247" s="56">
        <v>2.7</v>
      </c>
      <c r="AJ247" s="56">
        <v>96</v>
      </c>
      <c r="AK247" s="56">
        <v>51.4</v>
      </c>
      <c r="AL247" s="56">
        <v>6.3</v>
      </c>
      <c r="AM247" s="56">
        <v>98.2</v>
      </c>
      <c r="AN247" s="56">
        <v>2335.069</v>
      </c>
      <c r="AO247" s="56">
        <v>3074.878</v>
      </c>
      <c r="AP247" s="56">
        <v>5409.947</v>
      </c>
      <c r="AQ247" s="56">
        <v>1526.4</v>
      </c>
      <c r="AR247" s="56">
        <v>6188.439</v>
      </c>
      <c r="AS247" s="56">
        <v>7714.839</v>
      </c>
    </row>
    <row r="248" spans="1:45">
      <c r="A248" s="54">
        <v>2018</v>
      </c>
      <c r="B248" s="54">
        <v>510000</v>
      </c>
      <c r="C248" s="55" t="s">
        <v>75</v>
      </c>
      <c r="D248" s="49">
        <v>1</v>
      </c>
      <c r="E248" s="56">
        <v>0</v>
      </c>
      <c r="F248" s="56">
        <v>0</v>
      </c>
      <c r="G248" s="56">
        <v>0</v>
      </c>
      <c r="H248" s="56">
        <v>54.233</v>
      </c>
      <c r="I248" s="56">
        <v>45.767</v>
      </c>
      <c r="J248" s="56">
        <v>3.645</v>
      </c>
      <c r="K248" s="56">
        <v>30.06</v>
      </c>
      <c r="L248" s="56">
        <v>39.023</v>
      </c>
      <c r="M248" s="56">
        <v>10.021</v>
      </c>
      <c r="N248" s="56">
        <v>7.333</v>
      </c>
      <c r="O248" s="56">
        <v>5.126</v>
      </c>
      <c r="P248" s="56">
        <v>0.333</v>
      </c>
      <c r="Q248" s="50">
        <v>1618</v>
      </c>
      <c r="R248" s="50">
        <v>1112</v>
      </c>
      <c r="S248" s="50">
        <v>1960</v>
      </c>
      <c r="T248" s="51">
        <v>4690</v>
      </c>
      <c r="U248" s="56">
        <v>2.1</v>
      </c>
      <c r="V248" s="56">
        <v>13.5</v>
      </c>
      <c r="W248" s="56">
        <v>127.3</v>
      </c>
      <c r="X248" s="56">
        <v>22.4</v>
      </c>
      <c r="Y248" s="56">
        <v>160.4</v>
      </c>
      <c r="Z248" s="56">
        <v>37.4</v>
      </c>
      <c r="AA248" s="56">
        <v>19.3</v>
      </c>
      <c r="AB248" s="56">
        <v>27.5</v>
      </c>
      <c r="AC248" s="56">
        <v>9.6</v>
      </c>
      <c r="AD248" s="56">
        <v>32.4</v>
      </c>
      <c r="AE248" s="56">
        <v>21.9</v>
      </c>
      <c r="AF248" s="56">
        <v>18.5</v>
      </c>
      <c r="AG248" s="56">
        <v>20.4</v>
      </c>
      <c r="AH248" s="56">
        <v>11.4</v>
      </c>
      <c r="AI248" s="56">
        <v>1.8</v>
      </c>
      <c r="AJ248" s="56">
        <v>96.1</v>
      </c>
      <c r="AK248" s="56">
        <v>51.4</v>
      </c>
      <c r="AL248" s="56">
        <v>5.5</v>
      </c>
      <c r="AM248" s="56">
        <v>101.7</v>
      </c>
      <c r="AN248" s="56">
        <v>2543.71</v>
      </c>
      <c r="AO248" s="56">
        <v>3222.358</v>
      </c>
      <c r="AP248" s="56">
        <v>5766.068</v>
      </c>
      <c r="AQ248" s="56">
        <v>1667.669</v>
      </c>
      <c r="AR248" s="56">
        <v>6969.479</v>
      </c>
      <c r="AS248" s="56">
        <v>8637.148</v>
      </c>
    </row>
    <row r="249" spans="1:45">
      <c r="A249" s="54">
        <v>2019</v>
      </c>
      <c r="B249" s="54">
        <v>510000</v>
      </c>
      <c r="C249" s="55" t="s">
        <v>75</v>
      </c>
      <c r="D249" s="56">
        <v>1</v>
      </c>
      <c r="E249" s="49">
        <v>0</v>
      </c>
      <c r="F249" s="49">
        <v>0</v>
      </c>
      <c r="G249" s="49">
        <v>0</v>
      </c>
      <c r="H249" s="56">
        <v>53.9</v>
      </c>
      <c r="I249" s="56">
        <v>46.1</v>
      </c>
      <c r="J249" s="56">
        <v>3.6</v>
      </c>
      <c r="K249" s="56">
        <v>25.6</v>
      </c>
      <c r="L249" s="56">
        <v>36.7</v>
      </c>
      <c r="M249" s="56">
        <v>15.4</v>
      </c>
      <c r="N249" s="56">
        <v>10.5</v>
      </c>
      <c r="O249" s="56">
        <v>7.2</v>
      </c>
      <c r="P249" s="56">
        <v>0.9</v>
      </c>
      <c r="Q249" s="50">
        <v>1579.5</v>
      </c>
      <c r="R249" s="50">
        <v>1098</v>
      </c>
      <c r="S249" s="50">
        <v>2036.5</v>
      </c>
      <c r="T249" s="51">
        <v>4714</v>
      </c>
      <c r="U249" s="56">
        <v>1.4</v>
      </c>
      <c r="V249" s="56">
        <v>12.9</v>
      </c>
      <c r="W249" s="56">
        <v>123.8</v>
      </c>
      <c r="X249" s="56">
        <v>20.9</v>
      </c>
      <c r="Y249" s="56">
        <v>151.7</v>
      </c>
      <c r="Z249" s="56">
        <v>32</v>
      </c>
      <c r="AA249" s="56">
        <v>20</v>
      </c>
      <c r="AB249" s="56">
        <v>28.1</v>
      </c>
      <c r="AC249" s="56">
        <v>12.5</v>
      </c>
      <c r="AD249" s="56">
        <v>32.7</v>
      </c>
      <c r="AE249" s="56">
        <v>25.2</v>
      </c>
      <c r="AF249" s="56">
        <v>25.4</v>
      </c>
      <c r="AG249" s="56">
        <v>15.3</v>
      </c>
      <c r="AH249" s="56">
        <v>9.8</v>
      </c>
      <c r="AI249" s="56">
        <v>2.8</v>
      </c>
      <c r="AJ249" s="56">
        <v>104.4</v>
      </c>
      <c r="AK249" s="56">
        <v>57.1</v>
      </c>
      <c r="AL249" s="56">
        <v>5.5</v>
      </c>
      <c r="AM249" s="56">
        <v>107.6</v>
      </c>
      <c r="AN249" s="56">
        <v>2700.3</v>
      </c>
      <c r="AO249" s="56">
        <v>3368.7</v>
      </c>
      <c r="AP249" s="56">
        <v>6069.1</v>
      </c>
      <c r="AQ249" s="56">
        <v>1778.1</v>
      </c>
      <c r="AR249" s="56">
        <v>6838.8</v>
      </c>
      <c r="AS249" s="56">
        <v>8616.9</v>
      </c>
    </row>
    <row r="250" spans="1:45">
      <c r="A250" s="54">
        <v>2020</v>
      </c>
      <c r="B250" s="54">
        <v>510000</v>
      </c>
      <c r="C250" s="55" t="s">
        <v>75</v>
      </c>
      <c r="D250" s="56">
        <v>1</v>
      </c>
      <c r="E250" s="56">
        <v>0</v>
      </c>
      <c r="F250" s="56">
        <v>0</v>
      </c>
      <c r="G250" s="56">
        <v>0</v>
      </c>
      <c r="H250" s="56">
        <v>54.1</v>
      </c>
      <c r="I250" s="56">
        <v>45.9</v>
      </c>
      <c r="J250" s="56">
        <v>3.6</v>
      </c>
      <c r="K250" s="56">
        <v>26.7</v>
      </c>
      <c r="L250" s="56">
        <v>37</v>
      </c>
      <c r="M250" s="56">
        <v>14.8</v>
      </c>
      <c r="N250" s="56">
        <v>9.8</v>
      </c>
      <c r="O250" s="56">
        <v>7.4</v>
      </c>
      <c r="P250" s="56">
        <v>0.7</v>
      </c>
      <c r="Q250" s="50">
        <v>1542</v>
      </c>
      <c r="R250" s="50">
        <v>1098</v>
      </c>
      <c r="S250" s="50">
        <v>2105</v>
      </c>
      <c r="T250" s="51">
        <v>4745</v>
      </c>
      <c r="U250" s="56">
        <v>2.5</v>
      </c>
      <c r="V250" s="56">
        <v>13.6</v>
      </c>
      <c r="W250" s="56">
        <v>139.4</v>
      </c>
      <c r="X250" s="56">
        <v>23.2</v>
      </c>
      <c r="Y250" s="56">
        <v>151.4</v>
      </c>
      <c r="Z250" s="56">
        <v>34.6</v>
      </c>
      <c r="AA250" s="56">
        <v>23.7</v>
      </c>
      <c r="AB250" s="56">
        <v>31.9</v>
      </c>
      <c r="AC250" s="56">
        <v>16.3</v>
      </c>
      <c r="AD250" s="56">
        <v>37.9</v>
      </c>
      <c r="AE250" s="56">
        <v>29.7</v>
      </c>
      <c r="AF250" s="56">
        <v>28.5</v>
      </c>
      <c r="AG250" s="56">
        <v>20.4</v>
      </c>
      <c r="AH250" s="56">
        <v>11</v>
      </c>
      <c r="AI250" s="56">
        <v>3.4</v>
      </c>
      <c r="AJ250" s="56">
        <v>114.2</v>
      </c>
      <c r="AK250" s="56">
        <v>62.2</v>
      </c>
      <c r="AL250" s="56">
        <v>6.3</v>
      </c>
      <c r="AM250" s="56">
        <v>111.5</v>
      </c>
      <c r="AN250" s="56">
        <v>2830.1</v>
      </c>
      <c r="AO250" s="56">
        <v>3224.2</v>
      </c>
      <c r="AP250" s="56">
        <v>6054.2</v>
      </c>
      <c r="AQ250" s="56">
        <v>1875.9</v>
      </c>
      <c r="AR250" s="56">
        <v>6715.7</v>
      </c>
      <c r="AS250" s="56">
        <v>8591.7</v>
      </c>
    </row>
    <row r="251" spans="1:45">
      <c r="A251" s="54">
        <v>2021</v>
      </c>
      <c r="B251" s="54">
        <v>510000</v>
      </c>
      <c r="C251" s="55" t="s">
        <v>75</v>
      </c>
      <c r="D251" s="49">
        <v>1</v>
      </c>
      <c r="E251" s="49">
        <v>0</v>
      </c>
      <c r="F251" s="49">
        <v>0</v>
      </c>
      <c r="G251" s="49">
        <v>0</v>
      </c>
      <c r="H251" s="56">
        <v>55.598</v>
      </c>
      <c r="I251" s="56">
        <v>44.402</v>
      </c>
      <c r="J251" s="56">
        <v>4.548</v>
      </c>
      <c r="K251" s="56">
        <v>25.373</v>
      </c>
      <c r="L251" s="56">
        <v>36.7</v>
      </c>
      <c r="M251" s="56">
        <v>15.041</v>
      </c>
      <c r="N251" s="56">
        <v>9.997</v>
      </c>
      <c r="O251" s="56">
        <v>7.423</v>
      </c>
      <c r="P251" s="56">
        <v>0.918</v>
      </c>
      <c r="Q251" s="50">
        <v>1506</v>
      </c>
      <c r="R251" s="50">
        <v>1111</v>
      </c>
      <c r="S251" s="50">
        <v>2110</v>
      </c>
      <c r="T251" s="51">
        <v>4727</v>
      </c>
      <c r="U251" s="56">
        <v>2.2</v>
      </c>
      <c r="V251" s="56">
        <v>11.6</v>
      </c>
      <c r="W251" s="56">
        <v>144.4</v>
      </c>
      <c r="X251" s="56">
        <v>23</v>
      </c>
      <c r="Y251" s="56">
        <v>142.3</v>
      </c>
      <c r="Z251" s="56">
        <v>34.4</v>
      </c>
      <c r="AA251" s="56">
        <v>25.3</v>
      </c>
      <c r="AB251" s="56">
        <v>35</v>
      </c>
      <c r="AC251" s="56">
        <v>16.4</v>
      </c>
      <c r="AD251" s="56">
        <v>41.8</v>
      </c>
      <c r="AE251" s="56">
        <v>31.9</v>
      </c>
      <c r="AF251" s="56">
        <v>30.3</v>
      </c>
      <c r="AG251" s="56">
        <v>22.5</v>
      </c>
      <c r="AH251" s="56">
        <v>10.8</v>
      </c>
      <c r="AI251" s="56">
        <v>3.9</v>
      </c>
      <c r="AJ251" s="56">
        <v>112.9</v>
      </c>
      <c r="AK251" s="56">
        <v>65.6</v>
      </c>
      <c r="AL251" s="56">
        <v>6.8</v>
      </c>
      <c r="AM251" s="56">
        <v>110.4</v>
      </c>
      <c r="AN251" s="56">
        <v>3178.543</v>
      </c>
      <c r="AO251" s="56">
        <v>3181.053</v>
      </c>
      <c r="AP251" s="56">
        <v>6359.596</v>
      </c>
      <c r="AQ251" s="56">
        <v>1945.797</v>
      </c>
      <c r="AR251" s="56">
        <v>6640.432</v>
      </c>
      <c r="AS251" s="56">
        <v>8586.229</v>
      </c>
    </row>
    <row r="252" spans="1:45">
      <c r="A252" s="54">
        <v>2022</v>
      </c>
      <c r="B252" s="54">
        <v>510000</v>
      </c>
      <c r="C252" s="55" t="s">
        <v>75</v>
      </c>
      <c r="D252" s="56">
        <v>1</v>
      </c>
      <c r="E252" s="56">
        <v>0</v>
      </c>
      <c r="F252" s="56">
        <v>0</v>
      </c>
      <c r="G252" s="56">
        <v>0</v>
      </c>
      <c r="H252" s="56">
        <v>55.228</v>
      </c>
      <c r="I252" s="56">
        <v>44.772</v>
      </c>
      <c r="J252" s="56">
        <v>4.371</v>
      </c>
      <c r="K252" s="56">
        <v>28.404</v>
      </c>
      <c r="L252" s="56">
        <v>35.438</v>
      </c>
      <c r="M252" s="56">
        <v>13.582</v>
      </c>
      <c r="N252" s="56">
        <v>9.784</v>
      </c>
      <c r="O252" s="56">
        <v>7.577</v>
      </c>
      <c r="P252" s="56">
        <v>0.844</v>
      </c>
      <c r="Q252" s="50">
        <v>1602</v>
      </c>
      <c r="R252" s="50">
        <v>1074</v>
      </c>
      <c r="S252" s="50">
        <v>2030</v>
      </c>
      <c r="T252" s="51">
        <v>4706</v>
      </c>
      <c r="U252" s="56">
        <v>2.3</v>
      </c>
      <c r="V252" s="56">
        <v>11.2</v>
      </c>
      <c r="W252" s="56">
        <v>148.7</v>
      </c>
      <c r="X252" s="56">
        <v>22.7</v>
      </c>
      <c r="Y252" s="56">
        <v>132.3</v>
      </c>
      <c r="Z252" s="56">
        <v>34.7</v>
      </c>
      <c r="AA252" s="56">
        <v>26.4</v>
      </c>
      <c r="AB252" s="56">
        <v>36.8</v>
      </c>
      <c r="AC252" s="56">
        <v>15.5</v>
      </c>
      <c r="AD252" s="56">
        <v>35.5</v>
      </c>
      <c r="AE252" s="56">
        <v>30.9</v>
      </c>
      <c r="AF252" s="56">
        <v>36.1</v>
      </c>
      <c r="AG252" s="56">
        <v>24.5</v>
      </c>
      <c r="AH252" s="56">
        <v>11.3</v>
      </c>
      <c r="AI252" s="56">
        <v>4.6</v>
      </c>
      <c r="AJ252" s="56">
        <v>117.7</v>
      </c>
      <c r="AK252" s="56">
        <v>69.2</v>
      </c>
      <c r="AL252" s="56">
        <v>7.3</v>
      </c>
      <c r="AM252" s="56">
        <v>113.8</v>
      </c>
      <c r="AN252" s="56">
        <v>3327.212</v>
      </c>
      <c r="AO252" s="56">
        <v>3185.254</v>
      </c>
      <c r="AP252" s="56">
        <v>6512.466</v>
      </c>
      <c r="AQ252" s="56">
        <v>1967.203</v>
      </c>
      <c r="AR252" s="56">
        <v>6426.689</v>
      </c>
      <c r="AS252" s="56">
        <v>8393.892</v>
      </c>
    </row>
    <row r="253" spans="1:45">
      <c r="A253" s="54">
        <v>2013</v>
      </c>
      <c r="B253" s="54">
        <v>120000</v>
      </c>
      <c r="C253" s="55" t="s">
        <v>76</v>
      </c>
      <c r="D253" s="49">
        <v>0</v>
      </c>
      <c r="E253" s="56">
        <v>1</v>
      </c>
      <c r="F253" s="49">
        <v>0</v>
      </c>
      <c r="G253" s="49">
        <v>0</v>
      </c>
      <c r="J253" s="56">
        <v>0.509</v>
      </c>
      <c r="K253" s="56">
        <v>7.546</v>
      </c>
      <c r="L253" s="56">
        <v>39.346</v>
      </c>
      <c r="M253" s="56">
        <v>20.844</v>
      </c>
      <c r="N253" s="56">
        <v>15.234</v>
      </c>
      <c r="O253" s="56">
        <v>15.31</v>
      </c>
      <c r="P253" s="56">
        <v>1.212</v>
      </c>
      <c r="Q253" s="50">
        <v>56</v>
      </c>
      <c r="R253" s="50">
        <v>302</v>
      </c>
      <c r="S253" s="50">
        <v>353</v>
      </c>
      <c r="T253" s="51">
        <v>711</v>
      </c>
      <c r="U253" s="56">
        <v>0.5</v>
      </c>
      <c r="V253" s="56">
        <v>7.6</v>
      </c>
      <c r="W253" s="56">
        <v>122.3</v>
      </c>
      <c r="X253" s="56">
        <v>4.5</v>
      </c>
      <c r="Y253" s="56">
        <v>31</v>
      </c>
      <c r="Z253" s="56">
        <v>14.3</v>
      </c>
      <c r="AA253" s="56">
        <v>3.6</v>
      </c>
      <c r="AB253" s="56">
        <v>17.2</v>
      </c>
      <c r="AC253" s="56">
        <v>6.6</v>
      </c>
      <c r="AD253" s="56">
        <v>8.1</v>
      </c>
      <c r="AE253" s="56">
        <v>9.1</v>
      </c>
      <c r="AF253" s="56">
        <v>5.8</v>
      </c>
      <c r="AG253" s="56">
        <v>10.7</v>
      </c>
      <c r="AH253" s="56">
        <v>4.1</v>
      </c>
      <c r="AI253" s="56">
        <v>10.8</v>
      </c>
      <c r="AJ253" s="56">
        <v>18.9</v>
      </c>
      <c r="AK253" s="56">
        <v>9.3</v>
      </c>
      <c r="AL253" s="56">
        <v>2.3</v>
      </c>
      <c r="AM253" s="56">
        <v>15.5</v>
      </c>
      <c r="AN253" s="56">
        <v>520.666</v>
      </c>
      <c r="AO253" s="56">
        <v>95.507</v>
      </c>
      <c r="AP253" s="56">
        <v>616.173</v>
      </c>
      <c r="AQ253" s="56">
        <v>493.079</v>
      </c>
      <c r="AR253" s="56">
        <v>508.44</v>
      </c>
      <c r="AS253" s="56">
        <v>1001.519</v>
      </c>
    </row>
    <row r="254" spans="1:45">
      <c r="A254" s="54">
        <v>2014</v>
      </c>
      <c r="B254" s="54">
        <v>120000</v>
      </c>
      <c r="C254" s="55" t="s">
        <v>76</v>
      </c>
      <c r="D254" s="56">
        <v>0</v>
      </c>
      <c r="E254" s="56">
        <v>1</v>
      </c>
      <c r="F254" s="56">
        <v>0</v>
      </c>
      <c r="G254" s="56">
        <v>0</v>
      </c>
      <c r="H254" s="56">
        <v>61.1</v>
      </c>
      <c r="I254" s="56">
        <v>38.9</v>
      </c>
      <c r="J254" s="56">
        <v>0.2</v>
      </c>
      <c r="K254" s="56">
        <v>6.7</v>
      </c>
      <c r="L254" s="56">
        <v>39.3</v>
      </c>
      <c r="M254" s="56">
        <v>19.7</v>
      </c>
      <c r="N254" s="56">
        <v>18.3</v>
      </c>
      <c r="O254" s="56">
        <v>14.5</v>
      </c>
      <c r="P254" s="56">
        <v>1.4</v>
      </c>
      <c r="Q254" s="50">
        <v>56</v>
      </c>
      <c r="R254" s="50">
        <v>280</v>
      </c>
      <c r="S254" s="50">
        <v>382</v>
      </c>
      <c r="T254" s="51">
        <v>718</v>
      </c>
      <c r="U254" s="56">
        <v>0.5</v>
      </c>
      <c r="V254" s="56">
        <v>6.6</v>
      </c>
      <c r="W254" s="56">
        <v>119</v>
      </c>
      <c r="X254" s="56">
        <v>4.5</v>
      </c>
      <c r="Y254" s="56">
        <v>31.3</v>
      </c>
      <c r="Z254" s="56">
        <v>14.3</v>
      </c>
      <c r="AA254" s="56">
        <v>3.8</v>
      </c>
      <c r="AB254" s="56">
        <v>17.3</v>
      </c>
      <c r="AC254" s="56">
        <v>6</v>
      </c>
      <c r="AD254" s="56">
        <v>8.9</v>
      </c>
      <c r="AE254" s="56">
        <v>6.7</v>
      </c>
      <c r="AF254" s="56">
        <v>6.7</v>
      </c>
      <c r="AG254" s="56">
        <v>10.7</v>
      </c>
      <c r="AH254" s="56">
        <v>4.1</v>
      </c>
      <c r="AI254" s="56">
        <v>11</v>
      </c>
      <c r="AJ254" s="56">
        <v>17.4</v>
      </c>
      <c r="AK254" s="56">
        <v>9.3</v>
      </c>
      <c r="AL254" s="56">
        <v>2.1</v>
      </c>
      <c r="AM254" s="56">
        <v>15.4</v>
      </c>
      <c r="AN254" s="56">
        <v>545.4</v>
      </c>
      <c r="AO254" s="56">
        <v>106.1</v>
      </c>
      <c r="AP254" s="56">
        <v>651.5</v>
      </c>
      <c r="AQ254" s="56">
        <v>509.6</v>
      </c>
      <c r="AR254" s="56">
        <v>514</v>
      </c>
      <c r="AS254" s="56">
        <v>1023.6</v>
      </c>
    </row>
    <row r="255" spans="1:45">
      <c r="A255" s="54">
        <v>2015</v>
      </c>
      <c r="B255" s="54">
        <v>120000</v>
      </c>
      <c r="C255" s="55" t="s">
        <v>76</v>
      </c>
      <c r="D255" s="49">
        <v>0</v>
      </c>
      <c r="E255" s="49">
        <v>1</v>
      </c>
      <c r="F255" s="49">
        <v>0</v>
      </c>
      <c r="G255" s="49">
        <v>0</v>
      </c>
      <c r="H255" s="56">
        <v>58.027</v>
      </c>
      <c r="I255" s="56">
        <v>41.973</v>
      </c>
      <c r="J255" s="56">
        <v>0.494</v>
      </c>
      <c r="K255" s="56">
        <v>8.374</v>
      </c>
      <c r="L255" s="56">
        <v>33.536</v>
      </c>
      <c r="M255" s="56">
        <v>12.088</v>
      </c>
      <c r="N255" s="56">
        <v>14.795</v>
      </c>
      <c r="O255" s="56">
        <v>17.29</v>
      </c>
      <c r="P255" s="56">
        <v>2.323</v>
      </c>
      <c r="Q255" s="50">
        <v>53</v>
      </c>
      <c r="R255" s="50">
        <v>256</v>
      </c>
      <c r="S255" s="50">
        <v>409</v>
      </c>
      <c r="T255" s="51">
        <v>718</v>
      </c>
      <c r="U255" s="56">
        <v>0.5</v>
      </c>
      <c r="V255" s="56">
        <v>6.5</v>
      </c>
      <c r="W255" s="56">
        <v>110.8</v>
      </c>
      <c r="X255" s="56">
        <v>4.5</v>
      </c>
      <c r="Y255" s="56">
        <v>29.5</v>
      </c>
      <c r="Z255" s="56">
        <v>15</v>
      </c>
      <c r="AA255" s="56">
        <v>4.4</v>
      </c>
      <c r="AB255" s="56">
        <v>17.8</v>
      </c>
      <c r="AC255" s="56">
        <v>5.2</v>
      </c>
      <c r="AD255" s="56">
        <v>12.1</v>
      </c>
      <c r="AE255" s="56">
        <v>7.3</v>
      </c>
      <c r="AF255" s="56">
        <v>8.2</v>
      </c>
      <c r="AG255" s="56">
        <v>11.3</v>
      </c>
      <c r="AH255" s="56">
        <v>4.1</v>
      </c>
      <c r="AI255" s="56">
        <v>11</v>
      </c>
      <c r="AJ255" s="56">
        <v>18</v>
      </c>
      <c r="AK255" s="56">
        <v>9.7</v>
      </c>
      <c r="AL255" s="56">
        <v>2.2</v>
      </c>
      <c r="AM255" s="56">
        <v>16.5</v>
      </c>
      <c r="AN255" s="56">
        <v>565.179</v>
      </c>
      <c r="AO255" s="56">
        <v>121.102</v>
      </c>
      <c r="AP255" s="56">
        <v>686.281</v>
      </c>
      <c r="AQ255" s="56">
        <v>522</v>
      </c>
      <c r="AR255" s="56">
        <v>532.115</v>
      </c>
      <c r="AS255" s="56">
        <v>1054.115</v>
      </c>
    </row>
    <row r="256" spans="1:45">
      <c r="A256" s="54">
        <v>2016</v>
      </c>
      <c r="B256" s="54">
        <v>120000</v>
      </c>
      <c r="C256" s="55" t="s">
        <v>76</v>
      </c>
      <c r="D256" s="56">
        <v>0</v>
      </c>
      <c r="E256" s="56">
        <v>1</v>
      </c>
      <c r="F256" s="56">
        <v>0</v>
      </c>
      <c r="G256" s="56">
        <v>0</v>
      </c>
      <c r="H256" s="56">
        <v>58.291</v>
      </c>
      <c r="I256" s="56">
        <v>41.709</v>
      </c>
      <c r="J256" s="56">
        <v>0.526</v>
      </c>
      <c r="K256" s="56">
        <v>8.518</v>
      </c>
      <c r="L256" s="56">
        <v>33.731</v>
      </c>
      <c r="M256" s="56">
        <v>11.287</v>
      </c>
      <c r="N256" s="56">
        <v>14.492</v>
      </c>
      <c r="O256" s="56">
        <v>17.621</v>
      </c>
      <c r="P256" s="56">
        <v>2.159</v>
      </c>
      <c r="Q256" s="50">
        <v>51</v>
      </c>
      <c r="R256" s="50">
        <v>239</v>
      </c>
      <c r="S256" s="50">
        <v>415</v>
      </c>
      <c r="T256" s="51">
        <v>705</v>
      </c>
      <c r="U256" s="56">
        <v>0.8</v>
      </c>
      <c r="V256" s="56">
        <v>4.4</v>
      </c>
      <c r="W256" s="56">
        <v>99.4</v>
      </c>
      <c r="X256" s="56">
        <v>4.3</v>
      </c>
      <c r="Y256" s="56">
        <v>28.2</v>
      </c>
      <c r="Z256" s="56">
        <v>14.7</v>
      </c>
      <c r="AA256" s="56">
        <v>4.8</v>
      </c>
      <c r="AB256" s="56">
        <v>18.2</v>
      </c>
      <c r="AC256" s="56">
        <v>5.1</v>
      </c>
      <c r="AD256" s="56">
        <v>16</v>
      </c>
      <c r="AE256" s="56">
        <v>8</v>
      </c>
      <c r="AF256" s="56">
        <v>9.3</v>
      </c>
      <c r="AG256" s="56">
        <v>11.5</v>
      </c>
      <c r="AH256" s="56">
        <v>4.4</v>
      </c>
      <c r="AI256" s="56">
        <v>9.4</v>
      </c>
      <c r="AJ256" s="56">
        <v>18</v>
      </c>
      <c r="AK256" s="56">
        <v>10.1</v>
      </c>
      <c r="AL256" s="56">
        <v>2.1</v>
      </c>
      <c r="AM256" s="56">
        <v>17.4</v>
      </c>
      <c r="AN256" s="56">
        <v>639.031</v>
      </c>
      <c r="AO256" s="56">
        <v>134.467</v>
      </c>
      <c r="AP256" s="56">
        <v>773.498</v>
      </c>
      <c r="AQ256" s="56">
        <v>535.684</v>
      </c>
      <c r="AR256" s="56">
        <v>531.102</v>
      </c>
      <c r="AS256" s="56">
        <v>1066.786</v>
      </c>
    </row>
    <row r="257" spans="1:45">
      <c r="A257" s="54">
        <v>2017</v>
      </c>
      <c r="B257" s="54">
        <v>120000</v>
      </c>
      <c r="C257" s="55" t="s">
        <v>76</v>
      </c>
      <c r="D257" s="49">
        <v>0</v>
      </c>
      <c r="E257" s="56">
        <v>1</v>
      </c>
      <c r="F257" s="49">
        <v>0</v>
      </c>
      <c r="G257" s="49">
        <v>0</v>
      </c>
      <c r="H257" s="56">
        <v>57.557</v>
      </c>
      <c r="I257" s="56">
        <v>42.443</v>
      </c>
      <c r="J257" s="56">
        <v>0.421</v>
      </c>
      <c r="K257" s="56">
        <v>7.123</v>
      </c>
      <c r="L257" s="56">
        <v>34.472</v>
      </c>
      <c r="M257" s="56">
        <v>11.757</v>
      </c>
      <c r="N257" s="56">
        <v>13.572</v>
      </c>
      <c r="O257" s="56">
        <v>18.671</v>
      </c>
      <c r="P257" s="56">
        <v>2.302</v>
      </c>
      <c r="Q257" s="50">
        <v>48</v>
      </c>
      <c r="R257" s="50">
        <v>222</v>
      </c>
      <c r="S257" s="50">
        <v>414</v>
      </c>
      <c r="T257" s="51">
        <v>684</v>
      </c>
      <c r="U257" s="56">
        <v>0.6</v>
      </c>
      <c r="V257" s="56">
        <v>6.6</v>
      </c>
      <c r="W257" s="56">
        <v>78.2</v>
      </c>
      <c r="X257" s="56">
        <v>4.1</v>
      </c>
      <c r="Y257" s="56">
        <v>28.1</v>
      </c>
      <c r="Z257" s="56">
        <v>14.5</v>
      </c>
      <c r="AA257" s="56">
        <v>5.3</v>
      </c>
      <c r="AB257" s="56">
        <v>15.3</v>
      </c>
      <c r="AC257" s="56">
        <v>4.9</v>
      </c>
      <c r="AD257" s="56">
        <v>19.2</v>
      </c>
      <c r="AE257" s="56">
        <v>8.2</v>
      </c>
      <c r="AF257" s="56">
        <v>12.7</v>
      </c>
      <c r="AG257" s="56">
        <v>11.9</v>
      </c>
      <c r="AH257" s="56">
        <v>4.1</v>
      </c>
      <c r="AI257" s="56">
        <v>6.5</v>
      </c>
      <c r="AJ257" s="56">
        <v>18</v>
      </c>
      <c r="AK257" s="56">
        <v>11.1</v>
      </c>
      <c r="AL257" s="56">
        <v>2.5</v>
      </c>
      <c r="AM257" s="56">
        <v>17.5</v>
      </c>
      <c r="AN257" s="56">
        <v>655.015</v>
      </c>
      <c r="AO257" s="56">
        <v>156.486</v>
      </c>
      <c r="AP257" s="56">
        <v>811.501</v>
      </c>
      <c r="AQ257" s="56">
        <v>554.143</v>
      </c>
      <c r="AR257" s="56">
        <v>534.312</v>
      </c>
      <c r="AS257" s="56">
        <v>1088.455</v>
      </c>
    </row>
    <row r="258" spans="1:45">
      <c r="A258" s="54">
        <v>2018</v>
      </c>
      <c r="B258" s="54">
        <v>120000</v>
      </c>
      <c r="C258" s="55" t="s">
        <v>76</v>
      </c>
      <c r="D258" s="56">
        <v>0</v>
      </c>
      <c r="E258" s="56">
        <v>1</v>
      </c>
      <c r="F258" s="56">
        <v>0</v>
      </c>
      <c r="G258" s="56">
        <v>0</v>
      </c>
      <c r="H258" s="56">
        <v>58.18</v>
      </c>
      <c r="I258" s="56">
        <v>41.82</v>
      </c>
      <c r="J258" s="56">
        <v>0.451</v>
      </c>
      <c r="K258" s="56">
        <v>6.815</v>
      </c>
      <c r="L258" s="56">
        <v>31.782</v>
      </c>
      <c r="M258" s="56">
        <v>9.709</v>
      </c>
      <c r="N258" s="56">
        <v>14.141</v>
      </c>
      <c r="O258" s="56">
        <v>21.807</v>
      </c>
      <c r="P258" s="56">
        <v>2.531</v>
      </c>
      <c r="Q258" s="50">
        <v>45</v>
      </c>
      <c r="R258" s="50">
        <v>214</v>
      </c>
      <c r="S258" s="50">
        <v>413</v>
      </c>
      <c r="T258" s="51">
        <v>672</v>
      </c>
      <c r="U258" s="56">
        <v>0.5</v>
      </c>
      <c r="V258" s="56">
        <v>6</v>
      </c>
      <c r="W258" s="56">
        <v>69</v>
      </c>
      <c r="X258" s="56">
        <v>4</v>
      </c>
      <c r="Y258" s="56">
        <v>26.6</v>
      </c>
      <c r="Z258" s="56">
        <v>13.2</v>
      </c>
      <c r="AA258" s="56">
        <v>6.4</v>
      </c>
      <c r="AB258" s="56">
        <v>19.2</v>
      </c>
      <c r="AC258" s="56">
        <v>5.6</v>
      </c>
      <c r="AD258" s="56">
        <v>17.1</v>
      </c>
      <c r="AE258" s="56">
        <v>10.4</v>
      </c>
      <c r="AF258" s="56">
        <v>13.2</v>
      </c>
      <c r="AG258" s="56">
        <v>10.8</v>
      </c>
      <c r="AH258" s="56">
        <v>3.3</v>
      </c>
      <c r="AI258" s="56">
        <v>4.7</v>
      </c>
      <c r="AJ258" s="56">
        <v>18.4</v>
      </c>
      <c r="AK258" s="56">
        <v>10.8</v>
      </c>
      <c r="AL258" s="56">
        <v>2.3</v>
      </c>
      <c r="AM258" s="56">
        <v>18.4</v>
      </c>
      <c r="AN258" s="56">
        <v>683.159</v>
      </c>
      <c r="AO258" s="56">
        <v>161.152</v>
      </c>
      <c r="AP258" s="56">
        <v>844.311</v>
      </c>
      <c r="AQ258" s="56">
        <v>575.261</v>
      </c>
      <c r="AR258" s="56">
        <v>541.46</v>
      </c>
      <c r="AS258" s="56">
        <v>1116.72</v>
      </c>
    </row>
    <row r="259" spans="1:45">
      <c r="A259" s="54">
        <v>2019</v>
      </c>
      <c r="B259" s="54">
        <v>120000</v>
      </c>
      <c r="C259" s="55" t="s">
        <v>76</v>
      </c>
      <c r="D259" s="49">
        <v>0</v>
      </c>
      <c r="E259" s="49">
        <v>1</v>
      </c>
      <c r="F259" s="49">
        <v>0</v>
      </c>
      <c r="G259" s="49">
        <v>0</v>
      </c>
      <c r="H259" s="56">
        <v>65</v>
      </c>
      <c r="I259" s="56">
        <v>35</v>
      </c>
      <c r="J259" s="56">
        <v>0.4</v>
      </c>
      <c r="K259" s="56">
        <v>6</v>
      </c>
      <c r="L259" s="56">
        <v>29.6</v>
      </c>
      <c r="M259" s="56">
        <v>20.9</v>
      </c>
      <c r="N259" s="56">
        <v>17.7</v>
      </c>
      <c r="O259" s="56">
        <v>22</v>
      </c>
      <c r="P259" s="56">
        <v>3.5</v>
      </c>
      <c r="Q259" s="50">
        <v>43</v>
      </c>
      <c r="R259" s="50">
        <v>200</v>
      </c>
      <c r="S259" s="50">
        <v>416</v>
      </c>
      <c r="T259" s="51">
        <v>659</v>
      </c>
      <c r="U259" s="56">
        <v>0.3</v>
      </c>
      <c r="V259" s="56">
        <v>5.8</v>
      </c>
      <c r="W259" s="56">
        <v>67.3</v>
      </c>
      <c r="X259" s="56">
        <v>4.2</v>
      </c>
      <c r="Y259" s="56">
        <v>25.1</v>
      </c>
      <c r="Z259" s="56">
        <v>14.9</v>
      </c>
      <c r="AA259" s="56">
        <v>6.6</v>
      </c>
      <c r="AB259" s="56">
        <v>20</v>
      </c>
      <c r="AC259" s="56">
        <v>6.3</v>
      </c>
      <c r="AD259" s="56">
        <v>19.8</v>
      </c>
      <c r="AE259" s="56">
        <v>10.8</v>
      </c>
      <c r="AF259" s="56">
        <v>15.3</v>
      </c>
      <c r="AG259" s="56">
        <v>11.1</v>
      </c>
      <c r="AH259" s="56">
        <v>3.7</v>
      </c>
      <c r="AI259" s="56">
        <v>6.5</v>
      </c>
      <c r="AJ259" s="56">
        <v>20.2</v>
      </c>
      <c r="AK259" s="56">
        <v>11.7</v>
      </c>
      <c r="AL259" s="56">
        <v>2.1</v>
      </c>
      <c r="AM259" s="56">
        <v>17.6</v>
      </c>
      <c r="AN259" s="56">
        <v>695.6</v>
      </c>
      <c r="AO259" s="56">
        <v>164.5</v>
      </c>
      <c r="AP259" s="56">
        <v>860.1</v>
      </c>
      <c r="AQ259" s="56">
        <v>595</v>
      </c>
      <c r="AR259" s="56">
        <v>541.9</v>
      </c>
      <c r="AS259" s="56">
        <v>1137</v>
      </c>
    </row>
    <row r="260" spans="1:45">
      <c r="A260" s="54">
        <v>2020</v>
      </c>
      <c r="B260" s="54">
        <v>120000</v>
      </c>
      <c r="C260" s="55" t="s">
        <v>76</v>
      </c>
      <c r="D260" s="56">
        <v>0</v>
      </c>
      <c r="E260" s="56">
        <v>1</v>
      </c>
      <c r="F260" s="56">
        <v>0</v>
      </c>
      <c r="G260" s="56">
        <v>0</v>
      </c>
      <c r="H260" s="56">
        <v>64.9</v>
      </c>
      <c r="I260" s="56">
        <v>35.1</v>
      </c>
      <c r="J260" s="56">
        <v>0.3</v>
      </c>
      <c r="K260" s="56">
        <v>5.6</v>
      </c>
      <c r="L260" s="56">
        <v>31.4</v>
      </c>
      <c r="M260" s="56">
        <v>20.9</v>
      </c>
      <c r="N260" s="56">
        <v>16.8</v>
      </c>
      <c r="O260" s="56">
        <v>22.2</v>
      </c>
      <c r="P260" s="56">
        <v>3</v>
      </c>
      <c r="Q260" s="50">
        <v>36</v>
      </c>
      <c r="R260" s="50">
        <v>221</v>
      </c>
      <c r="S260" s="50">
        <v>390</v>
      </c>
      <c r="T260" s="51">
        <v>647</v>
      </c>
      <c r="U260" s="56">
        <v>0.3</v>
      </c>
      <c r="V260" s="56">
        <v>5.7</v>
      </c>
      <c r="W260" s="56">
        <v>65.1</v>
      </c>
      <c r="X260" s="56">
        <v>4.1</v>
      </c>
      <c r="Y260" s="56">
        <v>23</v>
      </c>
      <c r="Z260" s="56">
        <v>14.7</v>
      </c>
      <c r="AA260" s="56">
        <v>7</v>
      </c>
      <c r="AB260" s="56">
        <v>18.2</v>
      </c>
      <c r="AC260" s="56">
        <v>5.6</v>
      </c>
      <c r="AD260" s="56">
        <v>18</v>
      </c>
      <c r="AE260" s="56">
        <v>9.2</v>
      </c>
      <c r="AF260" s="56">
        <v>13.6</v>
      </c>
      <c r="AG260" s="56">
        <v>11.4</v>
      </c>
      <c r="AH260" s="56">
        <v>3.3</v>
      </c>
      <c r="AI260" s="56">
        <v>6.3</v>
      </c>
      <c r="AJ260" s="56">
        <v>19.3</v>
      </c>
      <c r="AK260" s="56">
        <v>11.7</v>
      </c>
      <c r="AL260" s="56">
        <v>1.7</v>
      </c>
      <c r="AM260" s="56">
        <v>17.3</v>
      </c>
      <c r="AN260" s="56">
        <v>730.8</v>
      </c>
      <c r="AO260" s="56">
        <v>169.7</v>
      </c>
      <c r="AP260" s="56">
        <v>900.6</v>
      </c>
      <c r="AQ260" s="56">
        <v>618.4</v>
      </c>
      <c r="AR260" s="56">
        <v>545.7</v>
      </c>
      <c r="AS260" s="56">
        <v>1164.1</v>
      </c>
    </row>
    <row r="261" spans="1:45">
      <c r="A261" s="54">
        <v>2021</v>
      </c>
      <c r="B261" s="54">
        <v>120000</v>
      </c>
      <c r="C261" s="55" t="s">
        <v>76</v>
      </c>
      <c r="D261" s="49">
        <v>0</v>
      </c>
      <c r="E261" s="56">
        <v>1</v>
      </c>
      <c r="F261" s="49">
        <v>0</v>
      </c>
      <c r="G261" s="49">
        <v>0</v>
      </c>
      <c r="H261" s="56">
        <v>59.281</v>
      </c>
      <c r="I261" s="56">
        <v>40.719</v>
      </c>
      <c r="J261" s="56">
        <v>0.485</v>
      </c>
      <c r="K261" s="56">
        <v>5.29</v>
      </c>
      <c r="L261" s="56">
        <v>29.896</v>
      </c>
      <c r="M261" s="56">
        <v>18.598</v>
      </c>
      <c r="N261" s="56">
        <v>17.604</v>
      </c>
      <c r="O261" s="56">
        <v>24.238</v>
      </c>
      <c r="P261" s="56">
        <v>3.89</v>
      </c>
      <c r="Q261" s="50">
        <v>34</v>
      </c>
      <c r="R261" s="50">
        <v>219</v>
      </c>
      <c r="S261" s="50">
        <v>388</v>
      </c>
      <c r="T261" s="51">
        <v>641</v>
      </c>
      <c r="U261" s="56">
        <v>0.3</v>
      </c>
      <c r="V261" s="56">
        <v>5.4</v>
      </c>
      <c r="W261" s="56">
        <v>63.7</v>
      </c>
      <c r="X261" s="56">
        <v>4.2</v>
      </c>
      <c r="Y261" s="56">
        <v>21</v>
      </c>
      <c r="Z261" s="56">
        <v>14.9</v>
      </c>
      <c r="AA261" s="56">
        <v>8.3</v>
      </c>
      <c r="AB261" s="56">
        <v>17.9</v>
      </c>
      <c r="AC261" s="56">
        <v>5.7</v>
      </c>
      <c r="AD261" s="56">
        <v>15.8</v>
      </c>
      <c r="AE261" s="56">
        <v>9.8</v>
      </c>
      <c r="AF261" s="56">
        <v>13.4</v>
      </c>
      <c r="AG261" s="56">
        <v>11.6</v>
      </c>
      <c r="AH261" s="56">
        <v>3.1</v>
      </c>
      <c r="AI261" s="56">
        <v>5.7</v>
      </c>
      <c r="AJ261" s="56">
        <v>21.4</v>
      </c>
      <c r="AK261" s="56">
        <v>12.4</v>
      </c>
      <c r="AL261" s="56">
        <v>1.7</v>
      </c>
      <c r="AM261" s="56">
        <v>20</v>
      </c>
      <c r="AN261" s="56">
        <v>765.139</v>
      </c>
      <c r="AO261" s="56">
        <v>171.961</v>
      </c>
      <c r="AP261" s="56">
        <v>937.1</v>
      </c>
      <c r="AQ261" s="56">
        <v>637.637</v>
      </c>
      <c r="AR261" s="56">
        <v>537.378</v>
      </c>
      <c r="AS261" s="56">
        <v>1175.015</v>
      </c>
    </row>
    <row r="262" spans="1:45">
      <c r="A262" s="54">
        <v>2022</v>
      </c>
      <c r="B262" s="54">
        <v>120000</v>
      </c>
      <c r="C262" s="55" t="s">
        <v>76</v>
      </c>
      <c r="D262" s="56">
        <v>0</v>
      </c>
      <c r="E262" s="56">
        <v>1</v>
      </c>
      <c r="F262" s="56">
        <v>0</v>
      </c>
      <c r="G262" s="56">
        <v>0</v>
      </c>
      <c r="H262" s="56">
        <v>59.764</v>
      </c>
      <c r="I262" s="56">
        <v>40.236</v>
      </c>
      <c r="J262" s="56">
        <v>0.347</v>
      </c>
      <c r="K262" s="56">
        <v>6.151</v>
      </c>
      <c r="L262" s="56">
        <v>28.912</v>
      </c>
      <c r="M262" s="56">
        <v>16.397</v>
      </c>
      <c r="N262" s="56">
        <v>17.463</v>
      </c>
      <c r="O262" s="56">
        <v>26.637</v>
      </c>
      <c r="P262" s="56">
        <v>4.093</v>
      </c>
      <c r="Q262" s="50">
        <v>33</v>
      </c>
      <c r="R262" s="50">
        <v>214</v>
      </c>
      <c r="S262" s="50">
        <v>374</v>
      </c>
      <c r="T262" s="51">
        <v>621</v>
      </c>
      <c r="U262" s="56">
        <v>0.3</v>
      </c>
      <c r="V262" s="56">
        <v>5.3</v>
      </c>
      <c r="W262" s="56">
        <v>63.2</v>
      </c>
      <c r="X262" s="56">
        <v>4.2</v>
      </c>
      <c r="Y262" s="56">
        <v>18.3</v>
      </c>
      <c r="Z262" s="56">
        <v>15</v>
      </c>
      <c r="AA262" s="56">
        <v>7</v>
      </c>
      <c r="AB262" s="56">
        <v>15.6</v>
      </c>
      <c r="AC262" s="56">
        <v>4.5</v>
      </c>
      <c r="AD262" s="56">
        <v>13.8</v>
      </c>
      <c r="AE262" s="56">
        <v>9.5</v>
      </c>
      <c r="AF262" s="56">
        <v>12.7</v>
      </c>
      <c r="AG262" s="56">
        <v>11.1</v>
      </c>
      <c r="AH262" s="56">
        <v>2.7</v>
      </c>
      <c r="AI262" s="56">
        <v>5.5</v>
      </c>
      <c r="AJ262" s="56">
        <v>21</v>
      </c>
      <c r="AK262" s="56">
        <v>12.4</v>
      </c>
      <c r="AL262" s="56">
        <v>1.4</v>
      </c>
      <c r="AM262" s="56">
        <v>19.9</v>
      </c>
      <c r="AN262" s="56">
        <v>800.055</v>
      </c>
      <c r="AO262" s="56">
        <v>171.563</v>
      </c>
      <c r="AP262" s="56">
        <v>971.619</v>
      </c>
      <c r="AQ262" s="56">
        <v>642.596</v>
      </c>
      <c r="AR262" s="56">
        <v>533.8</v>
      </c>
      <c r="AS262" s="56">
        <v>1176.396</v>
      </c>
    </row>
    <row r="263" spans="1:45">
      <c r="A263" s="54">
        <v>2013</v>
      </c>
      <c r="B263" s="54">
        <v>540000</v>
      </c>
      <c r="C263" s="55" t="s">
        <v>77</v>
      </c>
      <c r="D263" s="56">
        <v>1</v>
      </c>
      <c r="E263" s="49">
        <v>0</v>
      </c>
      <c r="F263" s="49">
        <v>0</v>
      </c>
      <c r="G263" s="49">
        <v>0</v>
      </c>
      <c r="J263" s="56">
        <v>7.998</v>
      </c>
      <c r="K263" s="56">
        <v>56.999</v>
      </c>
      <c r="L263" s="56">
        <v>22.87</v>
      </c>
      <c r="M263" s="56">
        <v>6.196</v>
      </c>
      <c r="N263" s="56">
        <v>3.347</v>
      </c>
      <c r="O263" s="56">
        <v>2.589</v>
      </c>
      <c r="P263" s="65"/>
      <c r="Q263" s="50">
        <v>78.93</v>
      </c>
      <c r="R263" s="50">
        <v>24.68</v>
      </c>
      <c r="S263" s="50">
        <v>71.4</v>
      </c>
      <c r="T263" s="51">
        <v>175</v>
      </c>
      <c r="U263" s="56">
        <v>0.8</v>
      </c>
      <c r="V263" s="56">
        <v>0.6</v>
      </c>
      <c r="W263" s="56">
        <v>1.1</v>
      </c>
      <c r="X263" s="56">
        <v>1</v>
      </c>
      <c r="Y263" s="56">
        <v>1.8</v>
      </c>
      <c r="Z263" s="56">
        <v>0.7</v>
      </c>
      <c r="AA263" s="56">
        <v>0.5</v>
      </c>
      <c r="AB263" s="56">
        <v>0.9</v>
      </c>
      <c r="AC263" s="56">
        <v>0.6</v>
      </c>
      <c r="AD263" s="56">
        <v>1</v>
      </c>
      <c r="AE263" s="56">
        <v>0.1</v>
      </c>
      <c r="AF263" s="56">
        <v>0.5</v>
      </c>
      <c r="AG263" s="56">
        <v>1.1</v>
      </c>
      <c r="AH263" s="56">
        <v>0.2</v>
      </c>
      <c r="AI263" s="56">
        <v>0.1</v>
      </c>
      <c r="AJ263" s="56">
        <v>4.4</v>
      </c>
      <c r="AK263" s="56">
        <v>1.7</v>
      </c>
      <c r="AL263" s="56">
        <v>0.7</v>
      </c>
      <c r="AM263" s="56">
        <v>13.2</v>
      </c>
      <c r="AN263" s="56">
        <v>14.014</v>
      </c>
      <c r="AO263" s="56">
        <v>140.444</v>
      </c>
      <c r="AP263" s="56">
        <v>154.458</v>
      </c>
      <c r="AQ263" s="56">
        <v>30.558</v>
      </c>
      <c r="AR263" s="56">
        <v>24.251</v>
      </c>
      <c r="AS263" s="56">
        <v>54.809</v>
      </c>
    </row>
    <row r="264" spans="1:45">
      <c r="A264" s="54">
        <v>2014</v>
      </c>
      <c r="B264" s="54">
        <v>540000</v>
      </c>
      <c r="C264" s="55" t="s">
        <v>77</v>
      </c>
      <c r="D264" s="49">
        <v>1</v>
      </c>
      <c r="E264" s="56">
        <v>0</v>
      </c>
      <c r="F264" s="56">
        <v>0</v>
      </c>
      <c r="G264" s="56">
        <v>0</v>
      </c>
      <c r="H264" s="56">
        <v>53.4</v>
      </c>
      <c r="I264" s="56">
        <v>46.6</v>
      </c>
      <c r="J264" s="56">
        <v>19.9</v>
      </c>
      <c r="K264" s="56">
        <v>46.3</v>
      </c>
      <c r="L264" s="56">
        <v>20.6</v>
      </c>
      <c r="M264" s="56">
        <v>7.3</v>
      </c>
      <c r="N264" s="56">
        <v>2.9</v>
      </c>
      <c r="O264" s="56">
        <v>3</v>
      </c>
      <c r="P264" s="65"/>
      <c r="Q264" s="50">
        <v>76.91</v>
      </c>
      <c r="R264" s="50">
        <v>25.87</v>
      </c>
      <c r="S264" s="50">
        <v>73.22</v>
      </c>
      <c r="T264" s="51">
        <v>176</v>
      </c>
      <c r="U264" s="56">
        <v>1.1</v>
      </c>
      <c r="V264" s="56">
        <v>0.6</v>
      </c>
      <c r="W264" s="56">
        <v>1.1</v>
      </c>
      <c r="X264" s="56">
        <v>1</v>
      </c>
      <c r="Y264" s="56">
        <v>1.9</v>
      </c>
      <c r="Z264" s="56">
        <v>0.9</v>
      </c>
      <c r="AA264" s="56">
        <v>0.5</v>
      </c>
      <c r="AB264" s="56">
        <v>1</v>
      </c>
      <c r="AC264" s="56">
        <v>0.5</v>
      </c>
      <c r="AD264" s="56">
        <v>0.9</v>
      </c>
      <c r="AE264" s="56">
        <v>0.1</v>
      </c>
      <c r="AF264" s="56">
        <v>0.5</v>
      </c>
      <c r="AG264" s="56">
        <v>1.1</v>
      </c>
      <c r="AH264" s="56">
        <v>0.2</v>
      </c>
      <c r="AI264" s="56">
        <v>0.2</v>
      </c>
      <c r="AJ264" s="56">
        <v>4.7</v>
      </c>
      <c r="AK264" s="56">
        <v>1.8</v>
      </c>
      <c r="AL264" s="56">
        <v>0.7</v>
      </c>
      <c r="AM264" s="56">
        <v>13.7</v>
      </c>
      <c r="AN264" s="56">
        <v>15.2</v>
      </c>
      <c r="AO264" s="56">
        <v>140.9</v>
      </c>
      <c r="AP264" s="56">
        <v>156.1</v>
      </c>
      <c r="AQ264" s="56">
        <v>33</v>
      </c>
      <c r="AR264" s="56">
        <v>25.9</v>
      </c>
      <c r="AS264" s="56">
        <v>58.9</v>
      </c>
    </row>
    <row r="265" spans="1:45">
      <c r="A265" s="54">
        <v>2015</v>
      </c>
      <c r="B265" s="54">
        <v>540000</v>
      </c>
      <c r="C265" s="55" t="s">
        <v>77</v>
      </c>
      <c r="D265" s="56">
        <v>1</v>
      </c>
      <c r="E265" s="49">
        <v>0</v>
      </c>
      <c r="F265" s="49">
        <v>0</v>
      </c>
      <c r="G265" s="49">
        <v>0</v>
      </c>
      <c r="H265" s="56">
        <v>57.288</v>
      </c>
      <c r="I265" s="56">
        <v>42.712</v>
      </c>
      <c r="J265" s="56">
        <v>30.539</v>
      </c>
      <c r="K265" s="56">
        <v>40.693</v>
      </c>
      <c r="L265" s="56">
        <v>13.578</v>
      </c>
      <c r="M265" s="56">
        <v>3.015</v>
      </c>
      <c r="N265" s="56">
        <v>5.861</v>
      </c>
      <c r="O265" s="56">
        <v>4.046</v>
      </c>
      <c r="P265" s="56">
        <v>0.148</v>
      </c>
      <c r="Q265" s="50">
        <v>74.57</v>
      </c>
      <c r="R265" s="50">
        <v>24.07</v>
      </c>
      <c r="S265" s="50">
        <v>82.36</v>
      </c>
      <c r="T265" s="51">
        <v>181</v>
      </c>
      <c r="U265" s="56">
        <v>1.1</v>
      </c>
      <c r="V265" s="56">
        <v>0.5</v>
      </c>
      <c r="W265" s="56">
        <v>1.2</v>
      </c>
      <c r="X265" s="56">
        <v>1.1</v>
      </c>
      <c r="Y265" s="56">
        <v>2</v>
      </c>
      <c r="Z265" s="56">
        <v>0.9</v>
      </c>
      <c r="AA265" s="56">
        <v>0.5</v>
      </c>
      <c r="AB265" s="56">
        <v>1.2</v>
      </c>
      <c r="AC265" s="56">
        <v>0.5</v>
      </c>
      <c r="AD265" s="56">
        <v>0.9</v>
      </c>
      <c r="AE265" s="56">
        <v>0.2</v>
      </c>
      <c r="AF265" s="56">
        <v>0.3</v>
      </c>
      <c r="AG265" s="56">
        <v>1.2</v>
      </c>
      <c r="AH265" s="56">
        <v>0.2</v>
      </c>
      <c r="AI265" s="56">
        <v>0.2</v>
      </c>
      <c r="AJ265" s="56">
        <v>4.8</v>
      </c>
      <c r="AK265" s="56">
        <v>1.8</v>
      </c>
      <c r="AL265" s="56">
        <v>0.7</v>
      </c>
      <c r="AM265" s="56">
        <v>14.2</v>
      </c>
      <c r="AN265" s="56">
        <v>16.225</v>
      </c>
      <c r="AO265" s="56">
        <v>157.658</v>
      </c>
      <c r="AP265" s="56">
        <v>173.883</v>
      </c>
      <c r="AQ265" s="56">
        <v>34.328</v>
      </c>
      <c r="AR265" s="56">
        <v>27.504</v>
      </c>
      <c r="AS265" s="56">
        <v>61.831</v>
      </c>
    </row>
    <row r="266" spans="1:45">
      <c r="A266" s="54">
        <v>2016</v>
      </c>
      <c r="B266" s="54">
        <v>540000</v>
      </c>
      <c r="C266" s="55" t="s">
        <v>77</v>
      </c>
      <c r="D266" s="56">
        <v>1</v>
      </c>
      <c r="E266" s="56">
        <v>0</v>
      </c>
      <c r="F266" s="56">
        <v>0</v>
      </c>
      <c r="G266" s="56">
        <v>0</v>
      </c>
      <c r="H266" s="56">
        <v>59.494</v>
      </c>
      <c r="I266" s="56">
        <v>40.506</v>
      </c>
      <c r="J266" s="56">
        <v>23.126</v>
      </c>
      <c r="K266" s="56">
        <v>46.518</v>
      </c>
      <c r="L266" s="56">
        <v>12.784</v>
      </c>
      <c r="M266" s="56">
        <v>3.164</v>
      </c>
      <c r="N266" s="56">
        <v>6.309</v>
      </c>
      <c r="O266" s="56">
        <v>5.564</v>
      </c>
      <c r="P266" s="56">
        <v>0.226</v>
      </c>
      <c r="Q266" s="50">
        <v>69.79</v>
      </c>
      <c r="R266" s="50">
        <v>30.38</v>
      </c>
      <c r="S266" s="50">
        <v>84.83</v>
      </c>
      <c r="T266" s="51">
        <v>185</v>
      </c>
      <c r="U266" s="56">
        <v>0.3</v>
      </c>
      <c r="V266" s="56">
        <v>0.5</v>
      </c>
      <c r="W266" s="56">
        <v>0.9</v>
      </c>
      <c r="X266" s="56">
        <v>0.7</v>
      </c>
      <c r="Y266" s="56">
        <v>1.5</v>
      </c>
      <c r="Z266" s="56">
        <v>0.9</v>
      </c>
      <c r="AA266" s="56">
        <v>0.5</v>
      </c>
      <c r="AB266" s="56">
        <v>1</v>
      </c>
      <c r="AC266" s="56">
        <v>0.5</v>
      </c>
      <c r="AD266" s="56">
        <v>0.9</v>
      </c>
      <c r="AE266" s="56">
        <v>0.2</v>
      </c>
      <c r="AF266" s="56">
        <v>0.4</v>
      </c>
      <c r="AG266" s="56">
        <v>1.2</v>
      </c>
      <c r="AH266" s="56">
        <v>0.2</v>
      </c>
      <c r="AI266" s="56">
        <v>0.2</v>
      </c>
      <c r="AJ266" s="56">
        <v>4.9</v>
      </c>
      <c r="AK266" s="56">
        <v>1.9</v>
      </c>
      <c r="AL266" s="56">
        <v>0.7</v>
      </c>
      <c r="AM266" s="56">
        <v>14</v>
      </c>
      <c r="AN266" s="56">
        <v>21.065</v>
      </c>
      <c r="AO266" s="56">
        <v>158.48</v>
      </c>
      <c r="AP266" s="56">
        <v>179.545</v>
      </c>
      <c r="AQ266" s="56">
        <v>36.83</v>
      </c>
      <c r="AR266" s="56">
        <v>28.542</v>
      </c>
      <c r="AS266" s="56">
        <v>65.372</v>
      </c>
    </row>
    <row r="267" spans="1:45">
      <c r="A267" s="54">
        <v>2017</v>
      </c>
      <c r="B267" s="54">
        <v>540000</v>
      </c>
      <c r="C267" s="55" t="s">
        <v>77</v>
      </c>
      <c r="D267" s="49">
        <v>1</v>
      </c>
      <c r="E267" s="49">
        <v>0</v>
      </c>
      <c r="F267" s="49">
        <v>0</v>
      </c>
      <c r="G267" s="49">
        <v>0</v>
      </c>
      <c r="H267" s="56">
        <v>61.46</v>
      </c>
      <c r="I267" s="56">
        <v>38.54</v>
      </c>
      <c r="J267" s="56">
        <v>23.659</v>
      </c>
      <c r="K267" s="56">
        <v>46.434</v>
      </c>
      <c r="L267" s="56">
        <v>12.835</v>
      </c>
      <c r="M267" s="56">
        <v>3.35</v>
      </c>
      <c r="N267" s="56">
        <v>5.974</v>
      </c>
      <c r="O267" s="56">
        <v>5.533</v>
      </c>
      <c r="P267" s="56">
        <v>0.244</v>
      </c>
      <c r="Q267" s="50">
        <v>69.75</v>
      </c>
      <c r="R267" s="50">
        <v>33.1</v>
      </c>
      <c r="S267" s="50">
        <v>84.15</v>
      </c>
      <c r="T267" s="51">
        <v>187</v>
      </c>
      <c r="U267" s="56">
        <v>0.3</v>
      </c>
      <c r="V267" s="56">
        <v>0.5</v>
      </c>
      <c r="W267" s="56">
        <v>0.9</v>
      </c>
      <c r="X267" s="56">
        <v>1.2</v>
      </c>
      <c r="Y267" s="56">
        <v>1.8</v>
      </c>
      <c r="Z267" s="56">
        <v>0.9</v>
      </c>
      <c r="AA267" s="56">
        <v>0.5</v>
      </c>
      <c r="AB267" s="56">
        <v>0.9</v>
      </c>
      <c r="AC267" s="56">
        <v>0.5</v>
      </c>
      <c r="AD267" s="56">
        <v>1.3</v>
      </c>
      <c r="AE267" s="56">
        <v>0.2</v>
      </c>
      <c r="AF267" s="56">
        <v>0.5</v>
      </c>
      <c r="AG267" s="56">
        <v>1</v>
      </c>
      <c r="AH267" s="56">
        <v>0.2</v>
      </c>
      <c r="AI267" s="56">
        <v>0.2</v>
      </c>
      <c r="AJ267" s="56">
        <v>5.1</v>
      </c>
      <c r="AK267" s="56">
        <v>2</v>
      </c>
      <c r="AL267" s="56">
        <v>0.8</v>
      </c>
      <c r="AM267" s="56">
        <v>14.4</v>
      </c>
      <c r="AN267" s="56">
        <v>42.867</v>
      </c>
      <c r="AO267" s="56">
        <v>183.138</v>
      </c>
      <c r="AP267" s="56">
        <v>226.005</v>
      </c>
      <c r="AQ267" s="56">
        <v>39.981</v>
      </c>
      <c r="AR267" s="56">
        <v>29.892</v>
      </c>
      <c r="AS267" s="56">
        <v>69.873</v>
      </c>
    </row>
    <row r="268" spans="1:45">
      <c r="A268" s="54">
        <v>2018</v>
      </c>
      <c r="B268" s="54">
        <v>540000</v>
      </c>
      <c r="C268" s="55" t="s">
        <v>77</v>
      </c>
      <c r="D268" s="56">
        <v>1</v>
      </c>
      <c r="E268" s="56">
        <v>0</v>
      </c>
      <c r="F268" s="56">
        <v>0</v>
      </c>
      <c r="G268" s="56">
        <v>0</v>
      </c>
      <c r="H268" s="56">
        <v>58.59</v>
      </c>
      <c r="I268" s="56">
        <v>41.41</v>
      </c>
      <c r="J268" s="56">
        <v>21.937</v>
      </c>
      <c r="K268" s="56">
        <v>44.026</v>
      </c>
      <c r="L268" s="56">
        <v>15.401</v>
      </c>
      <c r="M268" s="56">
        <v>4.083</v>
      </c>
      <c r="N268" s="56">
        <v>5.474</v>
      </c>
      <c r="O268" s="56">
        <v>7.403</v>
      </c>
      <c r="P268" s="56">
        <v>0.118</v>
      </c>
      <c r="Q268" s="50">
        <v>68.31</v>
      </c>
      <c r="R268" s="50">
        <v>36.83</v>
      </c>
      <c r="S268" s="50">
        <v>81.87</v>
      </c>
      <c r="T268" s="51">
        <v>187</v>
      </c>
      <c r="U268" s="56">
        <v>0.2</v>
      </c>
      <c r="V268" s="56">
        <v>0.5</v>
      </c>
      <c r="W268" s="56">
        <v>0.9</v>
      </c>
      <c r="X268" s="56">
        <v>1.3</v>
      </c>
      <c r="Y268" s="56">
        <v>2.1</v>
      </c>
      <c r="Z268" s="56">
        <v>1</v>
      </c>
      <c r="AA268" s="56">
        <v>0.4</v>
      </c>
      <c r="AB268" s="56">
        <v>0.9</v>
      </c>
      <c r="AC268" s="56">
        <v>0.5</v>
      </c>
      <c r="AD268" s="56">
        <v>1</v>
      </c>
      <c r="AE268" s="56">
        <v>0.2</v>
      </c>
      <c r="AF268" s="56">
        <v>0.7</v>
      </c>
      <c r="AG268" s="56">
        <v>0.8</v>
      </c>
      <c r="AH268" s="56">
        <v>0.5</v>
      </c>
      <c r="AI268" s="56"/>
      <c r="AJ268" s="56">
        <v>6.2</v>
      </c>
      <c r="AK268" s="56">
        <v>1.8</v>
      </c>
      <c r="AL268" s="56">
        <v>0.9</v>
      </c>
      <c r="AM268" s="56">
        <v>16.7</v>
      </c>
      <c r="AN268" s="56">
        <v>46.213</v>
      </c>
      <c r="AO268" s="56">
        <v>165.91</v>
      </c>
      <c r="AP268" s="56">
        <v>212.123</v>
      </c>
      <c r="AQ268" s="56">
        <v>43.875</v>
      </c>
      <c r="AR268" s="56">
        <v>298.819</v>
      </c>
      <c r="AS268" s="56">
        <v>342.693</v>
      </c>
    </row>
    <row r="269" spans="1:45">
      <c r="A269" s="54">
        <v>2019</v>
      </c>
      <c r="B269" s="54">
        <v>540000</v>
      </c>
      <c r="C269" s="55" t="s">
        <v>77</v>
      </c>
      <c r="D269" s="56">
        <v>1</v>
      </c>
      <c r="E269" s="49">
        <v>0</v>
      </c>
      <c r="F269" s="49">
        <v>0</v>
      </c>
      <c r="G269" s="49">
        <v>0</v>
      </c>
      <c r="H269" s="56">
        <v>52.5</v>
      </c>
      <c r="I269" s="56">
        <v>47.5</v>
      </c>
      <c r="J269" s="56">
        <v>13.2</v>
      </c>
      <c r="K269" s="56">
        <v>55.4</v>
      </c>
      <c r="L269" s="56">
        <v>12.3</v>
      </c>
      <c r="M269" s="56">
        <v>5.6</v>
      </c>
      <c r="N269" s="56">
        <v>5.8</v>
      </c>
      <c r="O269" s="56">
        <v>7.4</v>
      </c>
      <c r="P269" s="56">
        <v>0.2</v>
      </c>
      <c r="Q269" s="50">
        <v>67.74</v>
      </c>
      <c r="R269" s="50">
        <v>41.3</v>
      </c>
      <c r="S269" s="50">
        <v>80.96</v>
      </c>
      <c r="T269" s="51">
        <v>190</v>
      </c>
      <c r="U269" s="56">
        <v>0.2</v>
      </c>
      <c r="V269" s="56">
        <v>0.6</v>
      </c>
      <c r="W269" s="56">
        <v>1.4</v>
      </c>
      <c r="X269" s="56">
        <v>1.4</v>
      </c>
      <c r="Y269" s="56">
        <v>4.3</v>
      </c>
      <c r="Z269" s="56">
        <v>2.6</v>
      </c>
      <c r="AA269" s="56">
        <v>0.9</v>
      </c>
      <c r="AB269" s="56">
        <v>2.4</v>
      </c>
      <c r="AC269" s="56">
        <v>0.6</v>
      </c>
      <c r="AD269" s="56">
        <v>1.4</v>
      </c>
      <c r="AE269" s="56">
        <v>0.5</v>
      </c>
      <c r="AF269" s="56">
        <v>1.5</v>
      </c>
      <c r="AG269" s="56">
        <v>1.2</v>
      </c>
      <c r="AH269" s="56">
        <v>0.5</v>
      </c>
      <c r="AI269" s="56">
        <v>0.2</v>
      </c>
      <c r="AJ269" s="56">
        <v>5.4</v>
      </c>
      <c r="AK269" s="56">
        <v>1.9</v>
      </c>
      <c r="AL269" s="56">
        <v>0.6</v>
      </c>
      <c r="AM269" s="56">
        <v>17.3</v>
      </c>
      <c r="AN269" s="56">
        <v>48.2</v>
      </c>
      <c r="AO269" s="56">
        <v>166</v>
      </c>
      <c r="AP269" s="56">
        <v>214.2</v>
      </c>
      <c r="AQ269" s="56">
        <v>47.7</v>
      </c>
      <c r="AR269" s="56">
        <v>299.4</v>
      </c>
      <c r="AS269" s="56">
        <v>347.1</v>
      </c>
    </row>
    <row r="270" spans="1:45">
      <c r="A270" s="54">
        <v>2020</v>
      </c>
      <c r="B270" s="54">
        <v>540000</v>
      </c>
      <c r="C270" s="55" t="s">
        <v>77</v>
      </c>
      <c r="D270" s="49">
        <v>1</v>
      </c>
      <c r="E270" s="56">
        <v>0</v>
      </c>
      <c r="F270" s="56">
        <v>0</v>
      </c>
      <c r="G270" s="56">
        <v>0</v>
      </c>
      <c r="H270" s="56">
        <v>53.3</v>
      </c>
      <c r="I270" s="56">
        <v>46.7</v>
      </c>
      <c r="J270" s="56">
        <v>19.6</v>
      </c>
      <c r="K270" s="56">
        <v>50.8</v>
      </c>
      <c r="L270" s="56">
        <v>12.9</v>
      </c>
      <c r="M270" s="56">
        <v>4.4</v>
      </c>
      <c r="N270" s="56">
        <v>5</v>
      </c>
      <c r="O270" s="56">
        <v>7.2</v>
      </c>
      <c r="P270" s="56">
        <v>0.2</v>
      </c>
      <c r="Q270" s="50">
        <v>69</v>
      </c>
      <c r="R270" s="50">
        <v>30</v>
      </c>
      <c r="S270" s="50">
        <v>94</v>
      </c>
      <c r="T270" s="51">
        <v>193</v>
      </c>
      <c r="U270" s="56">
        <v>0.3</v>
      </c>
      <c r="V270" s="56">
        <v>0.7</v>
      </c>
      <c r="W270" s="56">
        <v>1.7</v>
      </c>
      <c r="X270" s="56">
        <v>1.1</v>
      </c>
      <c r="Y270" s="56">
        <v>3.5</v>
      </c>
      <c r="Z270" s="56">
        <v>2.1</v>
      </c>
      <c r="AA270" s="56">
        <v>1.1</v>
      </c>
      <c r="AB270" s="56">
        <v>2.5</v>
      </c>
      <c r="AC270" s="56">
        <v>0.8</v>
      </c>
      <c r="AD270" s="56">
        <v>1.1</v>
      </c>
      <c r="AE270" s="56">
        <v>0.6</v>
      </c>
      <c r="AF270" s="56">
        <v>1.8</v>
      </c>
      <c r="AG270" s="56">
        <v>1</v>
      </c>
      <c r="AH270" s="56">
        <v>0.6</v>
      </c>
      <c r="AI270" s="56">
        <v>0.2</v>
      </c>
      <c r="AJ270" s="56">
        <v>5.1</v>
      </c>
      <c r="AK270" s="56">
        <v>1.9</v>
      </c>
      <c r="AL270" s="56">
        <v>0.7</v>
      </c>
      <c r="AM270" s="56">
        <v>14.8</v>
      </c>
      <c r="AN270" s="56">
        <v>52.6</v>
      </c>
      <c r="AO270" s="56">
        <v>168.4</v>
      </c>
      <c r="AP270" s="56">
        <v>221</v>
      </c>
      <c r="AQ270" s="56">
        <v>50.4</v>
      </c>
      <c r="AR270" s="56">
        <v>292.3</v>
      </c>
      <c r="AS270" s="56">
        <v>342.8</v>
      </c>
    </row>
    <row r="271" spans="1:45">
      <c r="A271" s="54">
        <v>2021</v>
      </c>
      <c r="B271" s="54">
        <v>540000</v>
      </c>
      <c r="C271" s="55" t="s">
        <v>77</v>
      </c>
      <c r="D271" s="56">
        <v>1</v>
      </c>
      <c r="E271" s="49">
        <v>0</v>
      </c>
      <c r="F271" s="49">
        <v>0</v>
      </c>
      <c r="G271" s="49">
        <v>0</v>
      </c>
      <c r="H271" s="56">
        <v>58.593</v>
      </c>
      <c r="I271" s="56">
        <v>41.407</v>
      </c>
      <c r="J271" s="56">
        <v>23.307</v>
      </c>
      <c r="K271" s="56">
        <v>34.824</v>
      </c>
      <c r="L271" s="56">
        <v>18.483</v>
      </c>
      <c r="M271" s="56">
        <v>5.415</v>
      </c>
      <c r="N271" s="56">
        <v>7.419</v>
      </c>
      <c r="O271" s="56">
        <v>10.236</v>
      </c>
      <c r="P271" s="56">
        <v>0.315</v>
      </c>
      <c r="Q271" s="50">
        <v>69</v>
      </c>
      <c r="R271" s="50">
        <v>30</v>
      </c>
      <c r="S271" s="50">
        <v>95</v>
      </c>
      <c r="T271" s="51">
        <v>194</v>
      </c>
      <c r="U271" s="56">
        <v>0.2</v>
      </c>
      <c r="V271" s="56">
        <v>0.7</v>
      </c>
      <c r="W271" s="56">
        <v>1.7</v>
      </c>
      <c r="X271" s="56">
        <v>1.5</v>
      </c>
      <c r="Y271" s="56">
        <v>3.4</v>
      </c>
      <c r="Z271" s="56">
        <v>2.3</v>
      </c>
      <c r="AA271" s="56">
        <v>1.3</v>
      </c>
      <c r="AB271" s="56">
        <v>2.6</v>
      </c>
      <c r="AC271" s="56">
        <v>0.7</v>
      </c>
      <c r="AD271" s="56">
        <v>2</v>
      </c>
      <c r="AE271" s="56">
        <v>0.8</v>
      </c>
      <c r="AF271" s="56">
        <v>1.9</v>
      </c>
      <c r="AG271" s="56">
        <v>1.1</v>
      </c>
      <c r="AH271" s="56">
        <v>0.7</v>
      </c>
      <c r="AI271" s="56">
        <v>0.3</v>
      </c>
      <c r="AJ271" s="56">
        <v>5.3</v>
      </c>
      <c r="AK271" s="56">
        <v>2.1</v>
      </c>
      <c r="AL271" s="56">
        <v>0.7</v>
      </c>
      <c r="AM271" s="56">
        <v>15.4</v>
      </c>
      <c r="AN271" s="56">
        <v>59.514</v>
      </c>
      <c r="AO271" s="56">
        <v>174.934</v>
      </c>
      <c r="AP271" s="56">
        <v>234.448</v>
      </c>
      <c r="AQ271" s="56">
        <v>55.056</v>
      </c>
      <c r="AR271" s="56">
        <v>290.955</v>
      </c>
      <c r="AS271" s="56">
        <v>346.011</v>
      </c>
    </row>
    <row r="272" spans="1:45">
      <c r="A272" s="54">
        <v>2022</v>
      </c>
      <c r="B272" s="54">
        <v>540000</v>
      </c>
      <c r="C272" s="55" t="s">
        <v>77</v>
      </c>
      <c r="D272" s="56">
        <v>1</v>
      </c>
      <c r="E272" s="56">
        <v>0</v>
      </c>
      <c r="F272" s="56">
        <v>0</v>
      </c>
      <c r="G272" s="56">
        <v>0</v>
      </c>
      <c r="H272" s="56">
        <v>55.718</v>
      </c>
      <c r="I272" s="56">
        <v>44.282</v>
      </c>
      <c r="J272" s="56">
        <v>22.381</v>
      </c>
      <c r="K272" s="56">
        <v>41.566</v>
      </c>
      <c r="L272" s="56">
        <v>14.602</v>
      </c>
      <c r="M272" s="56">
        <v>4.267</v>
      </c>
      <c r="N272" s="56">
        <v>7.265</v>
      </c>
      <c r="O272" s="56">
        <v>9.754</v>
      </c>
      <c r="P272" s="56">
        <v>0.165</v>
      </c>
      <c r="Q272" s="50">
        <v>71</v>
      </c>
      <c r="R272" s="50">
        <v>29</v>
      </c>
      <c r="S272" s="50">
        <v>92</v>
      </c>
      <c r="T272" s="51">
        <v>192</v>
      </c>
      <c r="U272" s="56">
        <v>0.2</v>
      </c>
      <c r="V272" s="56">
        <v>0.8</v>
      </c>
      <c r="W272" s="56">
        <v>1.6</v>
      </c>
      <c r="X272" s="56">
        <v>1.4</v>
      </c>
      <c r="Y272" s="56">
        <v>2.8</v>
      </c>
      <c r="Z272" s="56">
        <v>2.2</v>
      </c>
      <c r="AA272" s="56">
        <v>1.2</v>
      </c>
      <c r="AB272" s="56">
        <v>2.3</v>
      </c>
      <c r="AC272" s="56">
        <v>0.6</v>
      </c>
      <c r="AD272" s="56">
        <v>1.9</v>
      </c>
      <c r="AE272" s="56">
        <v>0.7</v>
      </c>
      <c r="AF272" s="56">
        <v>1.7</v>
      </c>
      <c r="AG272" s="56">
        <v>1.1</v>
      </c>
      <c r="AH272" s="56">
        <v>0.6</v>
      </c>
      <c r="AI272" s="56">
        <v>0.2</v>
      </c>
      <c r="AJ272" s="56">
        <v>5.3</v>
      </c>
      <c r="AK272" s="56">
        <v>2.2</v>
      </c>
      <c r="AL272" s="56">
        <v>0.6</v>
      </c>
      <c r="AM272" s="56">
        <v>15.2</v>
      </c>
      <c r="AN272" s="56"/>
      <c r="AO272" s="56">
        <v>174.784</v>
      </c>
      <c r="AP272" s="56"/>
      <c r="AQ272" s="56">
        <v>55.606</v>
      </c>
      <c r="AR272" s="56">
        <v>284.012</v>
      </c>
      <c r="AS272" s="56">
        <v>339.618</v>
      </c>
    </row>
    <row r="273" spans="1:45">
      <c r="A273" s="54">
        <v>2013</v>
      </c>
      <c r="B273" s="54">
        <v>650000</v>
      </c>
      <c r="C273" s="55" t="s">
        <v>78</v>
      </c>
      <c r="D273" s="49">
        <v>1</v>
      </c>
      <c r="E273" s="49">
        <v>0</v>
      </c>
      <c r="F273" s="49">
        <v>0</v>
      </c>
      <c r="G273" s="49">
        <v>0</v>
      </c>
      <c r="J273" s="56">
        <v>0.906</v>
      </c>
      <c r="K273" s="56">
        <v>24.784</v>
      </c>
      <c r="L273" s="56">
        <v>42.719</v>
      </c>
      <c r="M273" s="56">
        <v>13.478</v>
      </c>
      <c r="N273" s="56">
        <v>11.264</v>
      </c>
      <c r="O273" s="56">
        <v>6.435</v>
      </c>
      <c r="P273" s="56">
        <v>0.414</v>
      </c>
      <c r="Q273" s="50">
        <v>581.8</v>
      </c>
      <c r="R273" s="50">
        <v>205.43</v>
      </c>
      <c r="S273" s="50">
        <v>411.46</v>
      </c>
      <c r="T273" s="51">
        <v>1260</v>
      </c>
      <c r="U273" s="56">
        <v>54.9</v>
      </c>
      <c r="V273" s="56">
        <v>19.7</v>
      </c>
      <c r="W273" s="56">
        <v>33.7</v>
      </c>
      <c r="X273" s="56">
        <v>8.3</v>
      </c>
      <c r="Y273" s="56">
        <v>26.3</v>
      </c>
      <c r="Z273" s="56">
        <v>17.5</v>
      </c>
      <c r="AA273" s="56">
        <v>2.9</v>
      </c>
      <c r="AB273" s="56">
        <v>8.3</v>
      </c>
      <c r="AC273" s="56">
        <v>2.8</v>
      </c>
      <c r="AD273" s="56">
        <v>8.7</v>
      </c>
      <c r="AE273" s="56">
        <v>4</v>
      </c>
      <c r="AF273" s="56">
        <v>5.9</v>
      </c>
      <c r="AG273" s="56">
        <v>6.5</v>
      </c>
      <c r="AH273" s="56">
        <v>5.5</v>
      </c>
      <c r="AI273" s="56">
        <v>0.7</v>
      </c>
      <c r="AJ273" s="56">
        <v>37</v>
      </c>
      <c r="AK273" s="56">
        <v>16.7</v>
      </c>
      <c r="AL273" s="56">
        <v>3</v>
      </c>
      <c r="AM273" s="56">
        <v>47.2</v>
      </c>
      <c r="AN273" s="56">
        <v>476.337</v>
      </c>
      <c r="AO273" s="56">
        <v>543.554</v>
      </c>
      <c r="AP273" s="56">
        <v>1019.891</v>
      </c>
      <c r="AQ273" s="56">
        <v>487.97</v>
      </c>
      <c r="AR273" s="56">
        <v>389.11</v>
      </c>
      <c r="AS273" s="56">
        <v>877.079</v>
      </c>
    </row>
    <row r="274" spans="1:45">
      <c r="A274" s="54">
        <v>2014</v>
      </c>
      <c r="B274" s="54">
        <v>650000</v>
      </c>
      <c r="C274" s="55" t="s">
        <v>78</v>
      </c>
      <c r="D274" s="56">
        <v>1</v>
      </c>
      <c r="E274" s="56">
        <v>0</v>
      </c>
      <c r="F274" s="56">
        <v>0</v>
      </c>
      <c r="G274" s="56">
        <v>0</v>
      </c>
      <c r="H274" s="56">
        <v>55.6</v>
      </c>
      <c r="I274" s="56">
        <v>44.4</v>
      </c>
      <c r="J274" s="56">
        <v>1</v>
      </c>
      <c r="K274" s="56">
        <v>23.2</v>
      </c>
      <c r="L274" s="56">
        <v>44.6</v>
      </c>
      <c r="M274" s="56">
        <v>13.5</v>
      </c>
      <c r="N274" s="56">
        <v>11.7</v>
      </c>
      <c r="O274" s="56">
        <v>5.6</v>
      </c>
      <c r="P274" s="56">
        <v>0.4</v>
      </c>
      <c r="Q274" s="50">
        <v>574.1</v>
      </c>
      <c r="R274" s="50">
        <v>202.02</v>
      </c>
      <c r="S274" s="50">
        <v>438.73</v>
      </c>
      <c r="T274" s="51">
        <v>1265</v>
      </c>
      <c r="U274" s="56">
        <v>52.9</v>
      </c>
      <c r="V274" s="56">
        <v>19.2</v>
      </c>
      <c r="W274" s="56">
        <v>36</v>
      </c>
      <c r="X274" s="56">
        <v>9.5</v>
      </c>
      <c r="Y274" s="56">
        <v>25.4</v>
      </c>
      <c r="Z274" s="56">
        <v>17.4</v>
      </c>
      <c r="AA274" s="56">
        <v>2.8</v>
      </c>
      <c r="AB274" s="56">
        <v>8.3</v>
      </c>
      <c r="AC274" s="56">
        <v>2.4</v>
      </c>
      <c r="AD274" s="56">
        <v>8.9</v>
      </c>
      <c r="AE274" s="56">
        <v>4.5</v>
      </c>
      <c r="AF274" s="56">
        <v>7.4</v>
      </c>
      <c r="AG274" s="56">
        <v>6.6</v>
      </c>
      <c r="AH274" s="56">
        <v>5.6</v>
      </c>
      <c r="AI274" s="56">
        <v>0.7</v>
      </c>
      <c r="AJ274" s="56">
        <v>37.9</v>
      </c>
      <c r="AK274" s="56">
        <v>17.5</v>
      </c>
      <c r="AL274" s="56">
        <v>3</v>
      </c>
      <c r="AM274" s="56">
        <v>50.6</v>
      </c>
      <c r="AN274" s="56">
        <v>490.8</v>
      </c>
      <c r="AO274" s="56">
        <v>545.2</v>
      </c>
      <c r="AP274" s="56">
        <v>1036</v>
      </c>
      <c r="AQ274" s="56">
        <v>498</v>
      </c>
      <c r="AR274" s="56">
        <v>387.1</v>
      </c>
      <c r="AS274" s="56">
        <v>885.1</v>
      </c>
    </row>
    <row r="275" spans="1:45">
      <c r="A275" s="54">
        <v>2015</v>
      </c>
      <c r="B275" s="54">
        <v>650000</v>
      </c>
      <c r="C275" s="55" t="s">
        <v>78</v>
      </c>
      <c r="D275" s="56">
        <v>1</v>
      </c>
      <c r="E275" s="49">
        <v>0</v>
      </c>
      <c r="F275" s="49">
        <v>0</v>
      </c>
      <c r="G275" s="49">
        <v>0</v>
      </c>
      <c r="H275" s="56">
        <v>58.054</v>
      </c>
      <c r="I275" s="56">
        <v>41.946</v>
      </c>
      <c r="J275" s="56">
        <v>2.164</v>
      </c>
      <c r="K275" s="56">
        <v>16.928</v>
      </c>
      <c r="L275" s="56">
        <v>41.003</v>
      </c>
      <c r="M275" s="56">
        <v>10.624</v>
      </c>
      <c r="N275" s="56">
        <v>12.3</v>
      </c>
      <c r="O275" s="56">
        <v>9.895</v>
      </c>
      <c r="P275" s="56">
        <v>0.759</v>
      </c>
      <c r="Q275" s="50">
        <v>569.55</v>
      </c>
      <c r="R275" s="50">
        <v>195.81</v>
      </c>
      <c r="S275" s="50">
        <v>487.12</v>
      </c>
      <c r="T275" s="51">
        <v>1292</v>
      </c>
      <c r="U275" s="56">
        <v>51.7</v>
      </c>
      <c r="V275" s="56">
        <v>17.9</v>
      </c>
      <c r="W275" s="56">
        <v>34.8</v>
      </c>
      <c r="X275" s="56">
        <v>8.9</v>
      </c>
      <c r="Y275" s="56">
        <v>24.7</v>
      </c>
      <c r="Z275" s="56">
        <v>16.7</v>
      </c>
      <c r="AA275" s="56">
        <v>2.9</v>
      </c>
      <c r="AB275" s="56">
        <v>8.2</v>
      </c>
      <c r="AC275" s="56">
        <v>2.4</v>
      </c>
      <c r="AD275" s="56">
        <v>9</v>
      </c>
      <c r="AE275" s="56">
        <v>5.1</v>
      </c>
      <c r="AF275" s="56">
        <v>8.5</v>
      </c>
      <c r="AG275" s="56">
        <v>6.4</v>
      </c>
      <c r="AH275" s="56">
        <v>5.9</v>
      </c>
      <c r="AI275" s="56">
        <v>0.7</v>
      </c>
      <c r="AJ275" s="56">
        <v>38.4</v>
      </c>
      <c r="AK275" s="56">
        <v>18</v>
      </c>
      <c r="AL275" s="56">
        <v>3</v>
      </c>
      <c r="AM275" s="56">
        <v>53.9</v>
      </c>
      <c r="AN275" s="56">
        <v>499.446</v>
      </c>
      <c r="AO275" s="56">
        <v>546.126</v>
      </c>
      <c r="AP275" s="56">
        <v>1045.572</v>
      </c>
      <c r="AQ275" s="56">
        <v>505.855</v>
      </c>
      <c r="AR275" s="56">
        <v>385.166</v>
      </c>
      <c r="AS275" s="56">
        <v>891.021</v>
      </c>
    </row>
    <row r="276" spans="1:45">
      <c r="A276" s="54">
        <v>2016</v>
      </c>
      <c r="B276" s="54">
        <v>650000</v>
      </c>
      <c r="C276" s="55" t="s">
        <v>78</v>
      </c>
      <c r="D276" s="49">
        <v>1</v>
      </c>
      <c r="E276" s="56">
        <v>0</v>
      </c>
      <c r="F276" s="56">
        <v>0</v>
      </c>
      <c r="G276" s="56">
        <v>0</v>
      </c>
      <c r="H276" s="56">
        <v>56.696</v>
      </c>
      <c r="I276" s="56">
        <v>43.304</v>
      </c>
      <c r="J276" s="56">
        <v>2.068</v>
      </c>
      <c r="K276" s="56">
        <v>17.495</v>
      </c>
      <c r="L276" s="56">
        <v>41.463</v>
      </c>
      <c r="M276" s="56">
        <v>10.02</v>
      </c>
      <c r="N276" s="56">
        <v>11.797</v>
      </c>
      <c r="O276" s="56">
        <v>10.362</v>
      </c>
      <c r="P276" s="56">
        <v>0.871</v>
      </c>
      <c r="Q276" s="50">
        <v>573.87</v>
      </c>
      <c r="R276" s="50">
        <v>189.56</v>
      </c>
      <c r="S276" s="50">
        <v>532.58</v>
      </c>
      <c r="T276" s="51">
        <v>1320</v>
      </c>
      <c r="U276" s="56">
        <v>48.8</v>
      </c>
      <c r="V276" s="56">
        <v>16</v>
      </c>
      <c r="W276" s="56">
        <v>35.8</v>
      </c>
      <c r="X276" s="56">
        <v>9.6</v>
      </c>
      <c r="Y276" s="56">
        <v>25</v>
      </c>
      <c r="Z276" s="56">
        <v>16.6</v>
      </c>
      <c r="AA276" s="56">
        <v>2.9</v>
      </c>
      <c r="AB276" s="56">
        <v>8.9</v>
      </c>
      <c r="AC276" s="56">
        <v>2.3</v>
      </c>
      <c r="AD276" s="56">
        <v>9.4</v>
      </c>
      <c r="AE276" s="56">
        <v>5.4</v>
      </c>
      <c r="AF276" s="56">
        <v>8</v>
      </c>
      <c r="AG276" s="56">
        <v>6.4</v>
      </c>
      <c r="AH276" s="56">
        <v>5.7</v>
      </c>
      <c r="AI276" s="56">
        <v>0.7</v>
      </c>
      <c r="AJ276" s="56">
        <v>39.1</v>
      </c>
      <c r="AK276" s="56">
        <v>18.6</v>
      </c>
      <c r="AL276" s="56">
        <v>3</v>
      </c>
      <c r="AM276" s="56">
        <v>58.1</v>
      </c>
      <c r="AN276" s="56">
        <v>624.983</v>
      </c>
      <c r="AO276" s="56">
        <v>554.942</v>
      </c>
      <c r="AP276" s="56">
        <v>1179.926</v>
      </c>
      <c r="AQ276" s="56">
        <v>517.672</v>
      </c>
      <c r="AR276" s="56">
        <v>405.545</v>
      </c>
      <c r="AS276" s="56">
        <v>923.217</v>
      </c>
    </row>
    <row r="277" spans="1:45">
      <c r="A277" s="54">
        <v>2017</v>
      </c>
      <c r="B277" s="54">
        <v>650000</v>
      </c>
      <c r="C277" s="55" t="s">
        <v>78</v>
      </c>
      <c r="D277" s="56">
        <v>1</v>
      </c>
      <c r="E277" s="49">
        <v>0</v>
      </c>
      <c r="F277" s="49">
        <v>0</v>
      </c>
      <c r="G277" s="49">
        <v>0</v>
      </c>
      <c r="H277" s="56">
        <v>56.974</v>
      </c>
      <c r="I277" s="56">
        <v>43.026</v>
      </c>
      <c r="J277" s="56">
        <v>1.431</v>
      </c>
      <c r="K277" s="56">
        <v>16.27</v>
      </c>
      <c r="L277" s="56">
        <v>40.743</v>
      </c>
      <c r="M277" s="56">
        <v>10.615</v>
      </c>
      <c r="N277" s="56">
        <v>12.359</v>
      </c>
      <c r="O277" s="56">
        <v>10.767</v>
      </c>
      <c r="P277" s="56">
        <v>0.695</v>
      </c>
      <c r="Q277" s="50">
        <v>546.2</v>
      </c>
      <c r="R277" s="50">
        <v>192.65</v>
      </c>
      <c r="S277" s="50">
        <v>584.44</v>
      </c>
      <c r="T277" s="51">
        <v>1336</v>
      </c>
      <c r="U277" s="56">
        <v>49.7</v>
      </c>
      <c r="V277" s="56">
        <v>15.7</v>
      </c>
      <c r="W277" s="56">
        <v>35.6</v>
      </c>
      <c r="X277" s="56">
        <v>9.9</v>
      </c>
      <c r="Y277" s="56">
        <v>26.4</v>
      </c>
      <c r="Z277" s="56">
        <v>16.7</v>
      </c>
      <c r="AA277" s="56">
        <v>2.8</v>
      </c>
      <c r="AB277" s="56">
        <v>9</v>
      </c>
      <c r="AC277" s="56">
        <v>2.2</v>
      </c>
      <c r="AD277" s="56">
        <v>9.8</v>
      </c>
      <c r="AE277" s="56">
        <v>5.6</v>
      </c>
      <c r="AF277" s="56">
        <v>8.6</v>
      </c>
      <c r="AG277" s="56">
        <v>6.3</v>
      </c>
      <c r="AH277" s="56">
        <v>5.7</v>
      </c>
      <c r="AI277" s="56">
        <v>1</v>
      </c>
      <c r="AJ277" s="56">
        <v>40</v>
      </c>
      <c r="AK277" s="56">
        <v>18.9</v>
      </c>
      <c r="AL277" s="56">
        <v>2.9</v>
      </c>
      <c r="AM277" s="56">
        <v>68</v>
      </c>
      <c r="AN277" s="56">
        <v>646.38</v>
      </c>
      <c r="AO277" s="56">
        <v>607.426</v>
      </c>
      <c r="AP277" s="56">
        <v>1253.806</v>
      </c>
      <c r="AQ277" s="56">
        <v>534.556</v>
      </c>
      <c r="AR277" s="56">
        <v>505.013</v>
      </c>
      <c r="AS277" s="56">
        <v>1039.569</v>
      </c>
    </row>
    <row r="278" spans="1:45">
      <c r="A278" s="54">
        <v>2018</v>
      </c>
      <c r="B278" s="54">
        <v>650000</v>
      </c>
      <c r="C278" s="55" t="s">
        <v>78</v>
      </c>
      <c r="D278" s="56">
        <v>1</v>
      </c>
      <c r="E278" s="56">
        <v>0</v>
      </c>
      <c r="F278" s="56">
        <v>0</v>
      </c>
      <c r="G278" s="56">
        <v>0</v>
      </c>
      <c r="H278" s="56">
        <v>56.195</v>
      </c>
      <c r="I278" s="56">
        <v>43.805</v>
      </c>
      <c r="J278" s="56">
        <v>1.415</v>
      </c>
      <c r="K278" s="56">
        <v>15.672</v>
      </c>
      <c r="L278" s="56">
        <v>40.467</v>
      </c>
      <c r="M278" s="56">
        <v>10.65</v>
      </c>
      <c r="N278" s="56">
        <v>12.717</v>
      </c>
      <c r="O278" s="56">
        <v>11.287</v>
      </c>
      <c r="P278" s="56">
        <v>0.852</v>
      </c>
      <c r="Q278" s="50">
        <v>539.62</v>
      </c>
      <c r="R278" s="50">
        <v>180.99</v>
      </c>
      <c r="S278" s="50">
        <v>598</v>
      </c>
      <c r="T278" s="51">
        <v>1331</v>
      </c>
      <c r="U278" s="56">
        <v>10.2</v>
      </c>
      <c r="V278" s="56">
        <v>14.7</v>
      </c>
      <c r="W278" s="56">
        <v>32.5</v>
      </c>
      <c r="X278" s="56">
        <v>9.6</v>
      </c>
      <c r="Y278" s="56">
        <v>21.8</v>
      </c>
      <c r="Z278" s="56">
        <v>16.7</v>
      </c>
      <c r="AA278" s="56">
        <v>3.1</v>
      </c>
      <c r="AB278" s="56">
        <v>8.7</v>
      </c>
      <c r="AC278" s="56">
        <v>2.3</v>
      </c>
      <c r="AD278" s="56">
        <v>9.5</v>
      </c>
      <c r="AE278" s="56">
        <v>5.2</v>
      </c>
      <c r="AF278" s="56">
        <v>10</v>
      </c>
      <c r="AG278" s="56">
        <v>6.5</v>
      </c>
      <c r="AH278" s="56">
        <v>5.9</v>
      </c>
      <c r="AI278" s="56">
        <v>0.6</v>
      </c>
      <c r="AJ278" s="56">
        <v>46.1</v>
      </c>
      <c r="AK278" s="56">
        <v>19.8</v>
      </c>
      <c r="AL278" s="56">
        <v>2.7</v>
      </c>
      <c r="AM278" s="56">
        <v>79.5</v>
      </c>
      <c r="AN278" s="56">
        <v>695.274</v>
      </c>
      <c r="AO278" s="56">
        <v>731.137</v>
      </c>
      <c r="AP278" s="56">
        <v>1426.411</v>
      </c>
      <c r="AQ278" s="56">
        <v>441.586</v>
      </c>
      <c r="AR278" s="56">
        <v>1557.367</v>
      </c>
      <c r="AS278" s="56">
        <v>1998.953</v>
      </c>
    </row>
    <row r="279" spans="1:45">
      <c r="A279" s="54">
        <v>2019</v>
      </c>
      <c r="B279" s="54">
        <v>650000</v>
      </c>
      <c r="C279" s="55" t="s">
        <v>78</v>
      </c>
      <c r="D279" s="49">
        <v>1</v>
      </c>
      <c r="E279" s="49">
        <v>0</v>
      </c>
      <c r="F279" s="49">
        <v>0</v>
      </c>
      <c r="G279" s="49">
        <v>0</v>
      </c>
      <c r="H279" s="56">
        <v>52.8</v>
      </c>
      <c r="I279" s="56">
        <v>47.2</v>
      </c>
      <c r="J279" s="56">
        <v>1</v>
      </c>
      <c r="K279" s="56">
        <v>16.2</v>
      </c>
      <c r="L279" s="56">
        <v>38.8</v>
      </c>
      <c r="M279" s="56">
        <v>17.4</v>
      </c>
      <c r="N279" s="56">
        <v>14.9</v>
      </c>
      <c r="O279" s="56">
        <v>11</v>
      </c>
      <c r="P279" s="56">
        <v>0.7</v>
      </c>
      <c r="Q279" s="50">
        <v>489.16</v>
      </c>
      <c r="R279" s="50">
        <v>189.04</v>
      </c>
      <c r="S279" s="50">
        <v>658.42</v>
      </c>
      <c r="T279" s="51">
        <v>1343</v>
      </c>
      <c r="U279" s="56">
        <v>3.2</v>
      </c>
      <c r="V279" s="56">
        <v>14.1</v>
      </c>
      <c r="W279" s="56">
        <v>32.4</v>
      </c>
      <c r="X279" s="56">
        <v>10.2</v>
      </c>
      <c r="Y279" s="56">
        <v>20.4</v>
      </c>
      <c r="Z279" s="56">
        <v>16.7</v>
      </c>
      <c r="AA279" s="56">
        <v>3.6</v>
      </c>
      <c r="AB279" s="56">
        <v>10.4</v>
      </c>
      <c r="AC279" s="56">
        <v>2.5</v>
      </c>
      <c r="AD279" s="56">
        <v>11.2</v>
      </c>
      <c r="AE279" s="56">
        <v>6</v>
      </c>
      <c r="AF279" s="56">
        <v>10.9</v>
      </c>
      <c r="AG279" s="56">
        <v>6.6</v>
      </c>
      <c r="AH279" s="56">
        <v>5.8</v>
      </c>
      <c r="AI279" s="56">
        <v>0.5</v>
      </c>
      <c r="AJ279" s="56">
        <v>51.9</v>
      </c>
      <c r="AK279" s="56">
        <v>22.6</v>
      </c>
      <c r="AL279" s="56">
        <v>2.6</v>
      </c>
      <c r="AM279" s="56">
        <v>87.2</v>
      </c>
      <c r="AN279" s="56">
        <v>744.2</v>
      </c>
      <c r="AO279" s="56">
        <v>734.1</v>
      </c>
      <c r="AP279" s="56">
        <v>1478.4</v>
      </c>
      <c r="AQ279" s="56">
        <v>605.1</v>
      </c>
      <c r="AR279" s="56">
        <v>1688.1</v>
      </c>
      <c r="AS279" s="56">
        <v>2293.1</v>
      </c>
    </row>
    <row r="280" spans="1:45">
      <c r="A280" s="54">
        <v>2020</v>
      </c>
      <c r="B280" s="54">
        <v>650000</v>
      </c>
      <c r="C280" s="55" t="s">
        <v>78</v>
      </c>
      <c r="D280" s="56">
        <v>1</v>
      </c>
      <c r="E280" s="56">
        <v>0</v>
      </c>
      <c r="F280" s="56">
        <v>0</v>
      </c>
      <c r="G280" s="56">
        <v>0</v>
      </c>
      <c r="H280" s="56">
        <v>53.7</v>
      </c>
      <c r="I280" s="56">
        <v>46.3</v>
      </c>
      <c r="J280" s="56">
        <v>1.1</v>
      </c>
      <c r="K280" s="56">
        <v>16.8</v>
      </c>
      <c r="L280" s="56">
        <v>40.3</v>
      </c>
      <c r="M280" s="56">
        <v>16.5</v>
      </c>
      <c r="N280" s="56">
        <v>13.6</v>
      </c>
      <c r="O280" s="56">
        <v>11.1</v>
      </c>
      <c r="P280" s="56">
        <v>0.6</v>
      </c>
      <c r="Q280" s="50">
        <v>460</v>
      </c>
      <c r="R280" s="50">
        <v>191</v>
      </c>
      <c r="S280" s="50">
        <v>705</v>
      </c>
      <c r="T280" s="51">
        <v>1356</v>
      </c>
      <c r="U280" s="56">
        <v>1.8</v>
      </c>
      <c r="V280" s="56">
        <v>13.5</v>
      </c>
      <c r="W280" s="56">
        <v>32.8</v>
      </c>
      <c r="X280" s="56">
        <v>11.4</v>
      </c>
      <c r="Y280" s="56">
        <v>21.8</v>
      </c>
      <c r="Z280" s="56">
        <v>17.6</v>
      </c>
      <c r="AA280" s="56">
        <v>4</v>
      </c>
      <c r="AB280" s="56">
        <v>10.2</v>
      </c>
      <c r="AC280" s="56">
        <v>2.3</v>
      </c>
      <c r="AD280" s="56">
        <v>13.1</v>
      </c>
      <c r="AE280" s="56">
        <v>6.4</v>
      </c>
      <c r="AF280" s="56">
        <v>12.6</v>
      </c>
      <c r="AG280" s="56">
        <v>6.7</v>
      </c>
      <c r="AH280" s="56">
        <v>6.7</v>
      </c>
      <c r="AI280" s="56">
        <v>0.6</v>
      </c>
      <c r="AJ280" s="56">
        <v>51.6</v>
      </c>
      <c r="AK280" s="56">
        <v>23.8</v>
      </c>
      <c r="AL280" s="56">
        <v>2.7</v>
      </c>
      <c r="AM280" s="56">
        <v>83.5</v>
      </c>
      <c r="AN280" s="56">
        <v>767.1</v>
      </c>
      <c r="AO280" s="56">
        <v>744.7</v>
      </c>
      <c r="AP280" s="56">
        <v>1511.8</v>
      </c>
      <c r="AQ280" s="56">
        <v>629.1</v>
      </c>
      <c r="AR280" s="56">
        <v>1687.6</v>
      </c>
      <c r="AS280" s="56">
        <v>2316.8</v>
      </c>
    </row>
    <row r="281" spans="1:45">
      <c r="A281" s="54">
        <v>2021</v>
      </c>
      <c r="B281" s="54">
        <v>650000</v>
      </c>
      <c r="C281" s="55" t="s">
        <v>78</v>
      </c>
      <c r="D281" s="56">
        <v>1</v>
      </c>
      <c r="E281" s="49">
        <v>0</v>
      </c>
      <c r="F281" s="49">
        <v>0</v>
      </c>
      <c r="G281" s="49">
        <v>0</v>
      </c>
      <c r="H281" s="56">
        <v>56.676</v>
      </c>
      <c r="I281" s="56">
        <v>43.324</v>
      </c>
      <c r="J281" s="56">
        <v>0.938</v>
      </c>
      <c r="K281" s="56">
        <v>16.934</v>
      </c>
      <c r="L281" s="56">
        <v>42.157</v>
      </c>
      <c r="M281" s="56">
        <v>16.448</v>
      </c>
      <c r="N281" s="56">
        <v>13.345</v>
      </c>
      <c r="O281" s="56">
        <v>9.629</v>
      </c>
      <c r="P281" s="56">
        <v>0.549</v>
      </c>
      <c r="Q281" s="50">
        <v>455</v>
      </c>
      <c r="R281" s="50">
        <v>195</v>
      </c>
      <c r="S281" s="50">
        <v>710</v>
      </c>
      <c r="T281" s="51">
        <v>1360</v>
      </c>
      <c r="U281" s="56">
        <v>2.3</v>
      </c>
      <c r="V281" s="56">
        <v>13</v>
      </c>
      <c r="W281" s="56">
        <v>33.7</v>
      </c>
      <c r="X281" s="56">
        <v>11</v>
      </c>
      <c r="Y281" s="56">
        <v>19.1</v>
      </c>
      <c r="Z281" s="56">
        <v>17.6</v>
      </c>
      <c r="AA281" s="56">
        <v>4.1</v>
      </c>
      <c r="AB281" s="56">
        <v>10.5</v>
      </c>
      <c r="AC281" s="56">
        <v>2.7</v>
      </c>
      <c r="AD281" s="56">
        <v>11.3</v>
      </c>
      <c r="AE281" s="56">
        <v>6.7</v>
      </c>
      <c r="AF281" s="56">
        <v>10.6</v>
      </c>
      <c r="AG281" s="56">
        <v>7</v>
      </c>
      <c r="AH281" s="56">
        <v>6.6</v>
      </c>
      <c r="AI281" s="56">
        <v>0.7</v>
      </c>
      <c r="AJ281" s="56">
        <v>54</v>
      </c>
      <c r="AK281" s="56">
        <v>24</v>
      </c>
      <c r="AL281" s="56">
        <v>3.2</v>
      </c>
      <c r="AM281" s="56">
        <v>86.1</v>
      </c>
      <c r="AN281" s="56">
        <v>791.477</v>
      </c>
      <c r="AO281" s="56">
        <v>754.772</v>
      </c>
      <c r="AP281" s="56">
        <v>1546.248</v>
      </c>
      <c r="AQ281" s="56">
        <v>654.134</v>
      </c>
      <c r="AR281" s="56">
        <v>1672.303</v>
      </c>
      <c r="AS281" s="56">
        <v>2326.437</v>
      </c>
    </row>
    <row r="282" spans="1:45">
      <c r="A282" s="54">
        <v>2022</v>
      </c>
      <c r="B282" s="54">
        <v>650000</v>
      </c>
      <c r="C282" s="55" t="s">
        <v>78</v>
      </c>
      <c r="D282" s="49">
        <v>1</v>
      </c>
      <c r="E282" s="56">
        <v>0</v>
      </c>
      <c r="F282" s="56">
        <v>0</v>
      </c>
      <c r="G282" s="56">
        <v>0</v>
      </c>
      <c r="H282" s="56">
        <v>56.119</v>
      </c>
      <c r="I282" s="56">
        <v>43.881</v>
      </c>
      <c r="J282" s="56">
        <v>0.924</v>
      </c>
      <c r="K282" s="56">
        <v>21.884</v>
      </c>
      <c r="L282" s="56">
        <v>39.566</v>
      </c>
      <c r="M282" s="56">
        <v>14.13</v>
      </c>
      <c r="N282" s="56">
        <v>12.331</v>
      </c>
      <c r="O282" s="56">
        <v>10.568</v>
      </c>
      <c r="P282" s="56">
        <v>0.597</v>
      </c>
      <c r="Q282" s="50">
        <v>481</v>
      </c>
      <c r="R282" s="50">
        <v>161</v>
      </c>
      <c r="S282" s="50">
        <v>631</v>
      </c>
      <c r="T282" s="51">
        <v>1273</v>
      </c>
      <c r="U282" s="56">
        <v>2.4</v>
      </c>
      <c r="V282" s="56">
        <v>13.8</v>
      </c>
      <c r="W282" s="56">
        <v>31.7</v>
      </c>
      <c r="X282" s="56">
        <v>11.3</v>
      </c>
      <c r="Y282" s="56">
        <v>20.1</v>
      </c>
      <c r="Z282" s="56">
        <v>16.8</v>
      </c>
      <c r="AA282" s="56">
        <v>4.4</v>
      </c>
      <c r="AB282" s="56">
        <v>10</v>
      </c>
      <c r="AC282" s="56">
        <v>2.6</v>
      </c>
      <c r="AD282" s="56">
        <v>10.5</v>
      </c>
      <c r="AE282" s="56">
        <v>6.3</v>
      </c>
      <c r="AF282" s="56">
        <v>10.7</v>
      </c>
      <c r="AG282" s="56">
        <v>6.8</v>
      </c>
      <c r="AH282" s="56">
        <v>5.9</v>
      </c>
      <c r="AI282" s="56">
        <v>0.5</v>
      </c>
      <c r="AJ282" s="56">
        <v>51.9</v>
      </c>
      <c r="AK282" s="56">
        <v>24.2</v>
      </c>
      <c r="AL282" s="56">
        <v>2.8</v>
      </c>
      <c r="AM282" s="56">
        <v>84.5</v>
      </c>
      <c r="AN282" s="56"/>
      <c r="AO282" s="56">
        <v>762.806</v>
      </c>
      <c r="AP282" s="56"/>
      <c r="AQ282" s="56">
        <v>661.155</v>
      </c>
      <c r="AR282" s="56">
        <v>1671.734</v>
      </c>
      <c r="AS282" s="56">
        <v>2332.89</v>
      </c>
    </row>
    <row r="283" spans="1:45">
      <c r="A283" s="54">
        <v>2013</v>
      </c>
      <c r="B283" s="54">
        <v>530000</v>
      </c>
      <c r="C283" s="55" t="s">
        <v>79</v>
      </c>
      <c r="D283" s="56">
        <v>1</v>
      </c>
      <c r="E283" s="49">
        <v>0</v>
      </c>
      <c r="F283" s="49">
        <v>0</v>
      </c>
      <c r="G283" s="49">
        <v>0</v>
      </c>
      <c r="J283" s="56">
        <v>2.927</v>
      </c>
      <c r="K283" s="56">
        <v>38.689</v>
      </c>
      <c r="L283" s="56">
        <v>40.137</v>
      </c>
      <c r="M283" s="56">
        <v>8.248</v>
      </c>
      <c r="N283" s="56">
        <v>5.757</v>
      </c>
      <c r="O283" s="56">
        <v>3.941</v>
      </c>
      <c r="P283" s="56">
        <v>0.301</v>
      </c>
      <c r="Q283" s="50">
        <v>1559.25</v>
      </c>
      <c r="R283" s="50">
        <v>388.395</v>
      </c>
      <c r="S283" s="50">
        <v>887.355</v>
      </c>
      <c r="T283" s="51">
        <v>2835</v>
      </c>
      <c r="U283" s="56">
        <v>7.1</v>
      </c>
      <c r="V283" s="56">
        <v>22.9</v>
      </c>
      <c r="W283" s="56">
        <v>74</v>
      </c>
      <c r="X283" s="56">
        <v>10.3</v>
      </c>
      <c r="Y283" s="56">
        <v>73.7</v>
      </c>
      <c r="Z283" s="56">
        <v>16.8</v>
      </c>
      <c r="AA283" s="56">
        <v>6.6</v>
      </c>
      <c r="AB283" s="56">
        <v>25.5</v>
      </c>
      <c r="AC283" s="56">
        <v>9.6</v>
      </c>
      <c r="AD283" s="56">
        <v>9.9</v>
      </c>
      <c r="AE283" s="56">
        <v>10.1</v>
      </c>
      <c r="AF283" s="56">
        <v>9.4</v>
      </c>
      <c r="AG283" s="56">
        <v>9.2</v>
      </c>
      <c r="AH283" s="56">
        <v>7.8</v>
      </c>
      <c r="AI283" s="56">
        <v>1.4</v>
      </c>
      <c r="AJ283" s="56">
        <v>58</v>
      </c>
      <c r="AK283" s="56">
        <v>22.2</v>
      </c>
      <c r="AL283" s="56">
        <v>3.5</v>
      </c>
      <c r="AM283" s="56">
        <v>50.2</v>
      </c>
      <c r="AN283" s="56">
        <v>384.319</v>
      </c>
      <c r="AO283" s="56">
        <v>2152.721</v>
      </c>
      <c r="AP283" s="56">
        <v>2537.04</v>
      </c>
      <c r="AQ283" s="56">
        <v>457.966</v>
      </c>
      <c r="AR283" s="56">
        <v>660.789</v>
      </c>
      <c r="AS283" s="56">
        <v>1118.755</v>
      </c>
    </row>
    <row r="284" spans="1:45">
      <c r="A284" s="54">
        <v>2014</v>
      </c>
      <c r="B284" s="54">
        <v>530000</v>
      </c>
      <c r="C284" s="55" t="s">
        <v>79</v>
      </c>
      <c r="D284" s="56">
        <v>1</v>
      </c>
      <c r="E284" s="56">
        <v>0</v>
      </c>
      <c r="F284" s="56">
        <v>0</v>
      </c>
      <c r="G284" s="56">
        <v>0</v>
      </c>
      <c r="H284" s="56">
        <v>54.3</v>
      </c>
      <c r="I284" s="56">
        <v>45.7</v>
      </c>
      <c r="J284" s="56">
        <v>2.9</v>
      </c>
      <c r="K284" s="56">
        <v>41.2</v>
      </c>
      <c r="L284" s="56">
        <v>36.1</v>
      </c>
      <c r="M284" s="56">
        <v>9.5</v>
      </c>
      <c r="N284" s="56">
        <v>5.6</v>
      </c>
      <c r="O284" s="56">
        <v>4.4</v>
      </c>
      <c r="P284" s="56">
        <v>0.2</v>
      </c>
      <c r="Q284" s="50">
        <v>1515.27</v>
      </c>
      <c r="R284" s="50">
        <v>397.401</v>
      </c>
      <c r="S284" s="50">
        <v>946.329</v>
      </c>
      <c r="T284" s="51">
        <v>2859</v>
      </c>
      <c r="U284" s="56">
        <v>6.7</v>
      </c>
      <c r="V284" s="56">
        <v>17.3</v>
      </c>
      <c r="W284" s="56">
        <v>72.1</v>
      </c>
      <c r="X284" s="56">
        <v>10.3</v>
      </c>
      <c r="Y284" s="56">
        <v>67.6</v>
      </c>
      <c r="Z284" s="56">
        <v>17.1</v>
      </c>
      <c r="AA284" s="56">
        <v>5.2</v>
      </c>
      <c r="AB284" s="56">
        <v>26</v>
      </c>
      <c r="AC284" s="56">
        <v>8.7</v>
      </c>
      <c r="AD284" s="56">
        <v>10.1</v>
      </c>
      <c r="AE284" s="56">
        <v>11.1</v>
      </c>
      <c r="AF284" s="56">
        <v>9.3</v>
      </c>
      <c r="AG284" s="56">
        <v>10.1</v>
      </c>
      <c r="AH284" s="56">
        <v>7.6</v>
      </c>
      <c r="AI284" s="56">
        <v>1.4</v>
      </c>
      <c r="AJ284" s="56">
        <v>59.9</v>
      </c>
      <c r="AK284" s="56">
        <v>24.6</v>
      </c>
      <c r="AL284" s="56">
        <v>3.4</v>
      </c>
      <c r="AM284" s="56">
        <v>51.1</v>
      </c>
      <c r="AN284" s="56">
        <v>397.9</v>
      </c>
      <c r="AO284" s="56">
        <v>2160.5</v>
      </c>
      <c r="AP284" s="56">
        <v>2558.4</v>
      </c>
      <c r="AQ284" s="56">
        <v>462.6</v>
      </c>
      <c r="AR284" s="56">
        <v>673.3</v>
      </c>
      <c r="AS284" s="56">
        <v>1135.9</v>
      </c>
    </row>
    <row r="285" spans="1:45">
      <c r="A285" s="54">
        <v>2015</v>
      </c>
      <c r="B285" s="54">
        <v>530000</v>
      </c>
      <c r="C285" s="55" t="s">
        <v>79</v>
      </c>
      <c r="D285" s="49">
        <v>1</v>
      </c>
      <c r="E285" s="49">
        <v>0</v>
      </c>
      <c r="F285" s="49">
        <v>0</v>
      </c>
      <c r="G285" s="49">
        <v>0</v>
      </c>
      <c r="H285" s="56">
        <v>54.384</v>
      </c>
      <c r="I285" s="56">
        <v>45.616</v>
      </c>
      <c r="J285" s="56">
        <v>6.148</v>
      </c>
      <c r="K285" s="56">
        <v>34.273</v>
      </c>
      <c r="L285" s="56">
        <v>39.668</v>
      </c>
      <c r="M285" s="56">
        <v>5.711</v>
      </c>
      <c r="N285" s="56">
        <v>4.939</v>
      </c>
      <c r="O285" s="56">
        <v>4.609</v>
      </c>
      <c r="P285" s="56">
        <v>0.359</v>
      </c>
      <c r="Q285" s="50">
        <v>1478.4051</v>
      </c>
      <c r="R285" s="50">
        <v>400.866</v>
      </c>
      <c r="S285" s="50">
        <v>943.7289</v>
      </c>
      <c r="T285" s="51">
        <v>2823</v>
      </c>
      <c r="U285" s="56">
        <v>6.5</v>
      </c>
      <c r="V285" s="56">
        <v>15.3</v>
      </c>
      <c r="W285" s="56">
        <v>67.5</v>
      </c>
      <c r="X285" s="56">
        <v>10.6</v>
      </c>
      <c r="Y285" s="56">
        <v>68</v>
      </c>
      <c r="Z285" s="56">
        <v>17.1</v>
      </c>
      <c r="AA285" s="56">
        <v>4.9</v>
      </c>
      <c r="AB285" s="56">
        <v>25</v>
      </c>
      <c r="AC285" s="56">
        <v>8.4</v>
      </c>
      <c r="AD285" s="56">
        <v>9.9</v>
      </c>
      <c r="AE285" s="56">
        <v>10.9</v>
      </c>
      <c r="AF285" s="56">
        <v>9.6</v>
      </c>
      <c r="AG285" s="56">
        <v>10</v>
      </c>
      <c r="AH285" s="56">
        <v>7.5</v>
      </c>
      <c r="AI285" s="56">
        <v>1.4</v>
      </c>
      <c r="AJ285" s="56">
        <v>60</v>
      </c>
      <c r="AK285" s="56">
        <v>25.7</v>
      </c>
      <c r="AL285" s="56">
        <v>3.5</v>
      </c>
      <c r="AM285" s="56">
        <v>52.8</v>
      </c>
      <c r="AN285" s="56">
        <v>412.944</v>
      </c>
      <c r="AO285" s="56">
        <v>2253.301</v>
      </c>
      <c r="AP285" s="56">
        <v>2666.245</v>
      </c>
      <c r="AQ285" s="56">
        <v>468.286</v>
      </c>
      <c r="AR285" s="56">
        <v>672.476</v>
      </c>
      <c r="AS285" s="56">
        <v>1140.761</v>
      </c>
    </row>
    <row r="286" spans="1:45">
      <c r="A286" s="54">
        <v>2016</v>
      </c>
      <c r="B286" s="54">
        <v>530000</v>
      </c>
      <c r="C286" s="55" t="s">
        <v>79</v>
      </c>
      <c r="D286" s="56">
        <v>1</v>
      </c>
      <c r="E286" s="56">
        <v>0</v>
      </c>
      <c r="F286" s="56">
        <v>0</v>
      </c>
      <c r="G286" s="56">
        <v>0</v>
      </c>
      <c r="H286" s="56">
        <v>54.361</v>
      </c>
      <c r="I286" s="56">
        <v>45.639</v>
      </c>
      <c r="J286" s="56">
        <v>5.451</v>
      </c>
      <c r="K286" s="56">
        <v>34.037</v>
      </c>
      <c r="L286" s="56">
        <v>41.32</v>
      </c>
      <c r="M286" s="56">
        <v>5.707</v>
      </c>
      <c r="N286" s="56">
        <v>4.685</v>
      </c>
      <c r="O286" s="56">
        <v>4.286</v>
      </c>
      <c r="P286" s="56">
        <v>0.384</v>
      </c>
      <c r="Q286" s="50">
        <v>1474.0365</v>
      </c>
      <c r="R286" s="50">
        <v>415.9735</v>
      </c>
      <c r="S286" s="50">
        <v>964.99</v>
      </c>
      <c r="T286" s="51">
        <v>2855</v>
      </c>
      <c r="U286" s="56">
        <v>6.3</v>
      </c>
      <c r="V286" s="56">
        <v>13.6</v>
      </c>
      <c r="W286" s="56">
        <v>66.3</v>
      </c>
      <c r="X286" s="56">
        <v>10.7</v>
      </c>
      <c r="Y286" s="56">
        <v>71.7</v>
      </c>
      <c r="Z286" s="56">
        <v>17.3</v>
      </c>
      <c r="AA286" s="56">
        <v>5</v>
      </c>
      <c r="AB286" s="56">
        <v>24.8</v>
      </c>
      <c r="AC286" s="56">
        <v>8.2</v>
      </c>
      <c r="AD286" s="56">
        <v>10.4</v>
      </c>
      <c r="AE286" s="56">
        <v>11.2</v>
      </c>
      <c r="AF286" s="56">
        <v>10.4</v>
      </c>
      <c r="AG286" s="56">
        <v>10.1</v>
      </c>
      <c r="AH286" s="56">
        <v>7.5</v>
      </c>
      <c r="AI286" s="56">
        <v>1.6</v>
      </c>
      <c r="AJ286" s="56">
        <v>59.8</v>
      </c>
      <c r="AK286" s="56">
        <v>26.3</v>
      </c>
      <c r="AL286" s="56">
        <v>3.6</v>
      </c>
      <c r="AM286" s="56">
        <v>54.3</v>
      </c>
      <c r="AN286" s="56">
        <v>581.796</v>
      </c>
      <c r="AO286" s="56">
        <v>2257.532</v>
      </c>
      <c r="AP286" s="56">
        <v>2839.328</v>
      </c>
      <c r="AQ286" s="56">
        <v>479.134</v>
      </c>
      <c r="AR286" s="56">
        <v>684.491</v>
      </c>
      <c r="AS286" s="56">
        <v>1163.625</v>
      </c>
    </row>
    <row r="287" spans="1:45">
      <c r="A287" s="54">
        <v>2017</v>
      </c>
      <c r="B287" s="54">
        <v>530000</v>
      </c>
      <c r="C287" s="55" t="s">
        <v>79</v>
      </c>
      <c r="D287" s="56">
        <v>1</v>
      </c>
      <c r="E287" s="49">
        <v>0</v>
      </c>
      <c r="F287" s="49">
        <v>0</v>
      </c>
      <c r="G287" s="49">
        <v>0</v>
      </c>
      <c r="H287" s="56">
        <v>54.502</v>
      </c>
      <c r="I287" s="56">
        <v>45.498</v>
      </c>
      <c r="J287" s="56">
        <v>4.655</v>
      </c>
      <c r="K287" s="56">
        <v>32.614</v>
      </c>
      <c r="L287" s="56">
        <v>42.766</v>
      </c>
      <c r="M287" s="56">
        <v>6.114</v>
      </c>
      <c r="N287" s="56">
        <v>4.609</v>
      </c>
      <c r="O287" s="56">
        <v>4.478</v>
      </c>
      <c r="P287" s="56">
        <v>0.393</v>
      </c>
      <c r="Q287" s="50">
        <v>1380.1125</v>
      </c>
      <c r="R287" s="50">
        <v>437.1064</v>
      </c>
      <c r="S287" s="50">
        <v>1013.7811</v>
      </c>
      <c r="T287" s="51">
        <v>2831</v>
      </c>
      <c r="U287" s="56">
        <v>5.8</v>
      </c>
      <c r="V287" s="56">
        <v>12.3</v>
      </c>
      <c r="W287" s="56">
        <v>64.5</v>
      </c>
      <c r="X287" s="56">
        <v>10.3</v>
      </c>
      <c r="Y287" s="56">
        <v>73.7</v>
      </c>
      <c r="Z287" s="56">
        <v>17.9</v>
      </c>
      <c r="AA287" s="56">
        <v>5.2</v>
      </c>
      <c r="AB287" s="56">
        <v>23.4</v>
      </c>
      <c r="AC287" s="56">
        <v>8.1</v>
      </c>
      <c r="AD287" s="56">
        <v>10.5</v>
      </c>
      <c r="AE287" s="56">
        <v>12.4</v>
      </c>
      <c r="AF287" s="56">
        <v>11.2</v>
      </c>
      <c r="AG287" s="56">
        <v>10.4</v>
      </c>
      <c r="AH287" s="56">
        <v>7</v>
      </c>
      <c r="AI287" s="56">
        <v>2.2</v>
      </c>
      <c r="AJ287" s="56">
        <v>59.4</v>
      </c>
      <c r="AK287" s="56">
        <v>27.3</v>
      </c>
      <c r="AL287" s="56">
        <v>3.7</v>
      </c>
      <c r="AM287" s="56">
        <v>57.3</v>
      </c>
      <c r="AN287" s="56">
        <v>591.459</v>
      </c>
      <c r="AO287" s="56">
        <v>2258.945</v>
      </c>
      <c r="AP287" s="56">
        <v>2850.404</v>
      </c>
      <c r="AQ287" s="56">
        <v>491.323</v>
      </c>
      <c r="AR287" s="56">
        <v>3972.486</v>
      </c>
      <c r="AS287" s="56">
        <v>4463.81</v>
      </c>
    </row>
    <row r="288" spans="1:45">
      <c r="A288" s="54">
        <v>2018</v>
      </c>
      <c r="B288" s="54">
        <v>530000</v>
      </c>
      <c r="C288" s="55" t="s">
        <v>79</v>
      </c>
      <c r="D288" s="49">
        <v>1</v>
      </c>
      <c r="E288" s="56">
        <v>0</v>
      </c>
      <c r="F288" s="56">
        <v>0</v>
      </c>
      <c r="G288" s="56">
        <v>0</v>
      </c>
      <c r="H288" s="56">
        <v>54.171</v>
      </c>
      <c r="I288" s="56">
        <v>45.829</v>
      </c>
      <c r="J288" s="56">
        <v>4.269</v>
      </c>
      <c r="K288" s="56">
        <v>31.506</v>
      </c>
      <c r="L288" s="56">
        <v>43.696</v>
      </c>
      <c r="M288" s="56">
        <v>6.509</v>
      </c>
      <c r="N288" s="56">
        <v>4.583</v>
      </c>
      <c r="O288" s="56">
        <v>4.449</v>
      </c>
      <c r="P288" s="56">
        <v>0.44</v>
      </c>
      <c r="Q288" s="50">
        <v>1295.298</v>
      </c>
      <c r="R288" s="50">
        <v>459.986</v>
      </c>
      <c r="S288" s="50">
        <v>1066.716</v>
      </c>
      <c r="T288" s="51">
        <v>2822</v>
      </c>
      <c r="U288" s="56">
        <v>4.7</v>
      </c>
      <c r="V288" s="56">
        <v>11.5</v>
      </c>
      <c r="W288" s="56">
        <v>62.7</v>
      </c>
      <c r="X288" s="56">
        <v>10.3</v>
      </c>
      <c r="Y288" s="56">
        <v>73.9</v>
      </c>
      <c r="Z288" s="56">
        <v>17.1</v>
      </c>
      <c r="AA288" s="56">
        <v>4.9</v>
      </c>
      <c r="AB288" s="56">
        <v>23.6</v>
      </c>
      <c r="AC288" s="56">
        <v>8</v>
      </c>
      <c r="AD288" s="56">
        <v>10.5</v>
      </c>
      <c r="AE288" s="56">
        <v>13.9</v>
      </c>
      <c r="AF288" s="56">
        <v>12.3</v>
      </c>
      <c r="AG288" s="56">
        <v>9.9</v>
      </c>
      <c r="AH288" s="56">
        <v>7.2</v>
      </c>
      <c r="AI288" s="56">
        <v>2.5</v>
      </c>
      <c r="AJ288" s="56">
        <v>60.7</v>
      </c>
      <c r="AK288" s="56">
        <v>28.1</v>
      </c>
      <c r="AL288" s="56">
        <v>3.8</v>
      </c>
      <c r="AM288" s="56">
        <v>61.4</v>
      </c>
      <c r="AN288" s="56">
        <v>616.216</v>
      </c>
      <c r="AO288" s="56">
        <v>2360.982</v>
      </c>
      <c r="AP288" s="56">
        <v>2977.198</v>
      </c>
      <c r="AQ288" s="56">
        <v>506.885</v>
      </c>
      <c r="AR288" s="56">
        <v>4014.042</v>
      </c>
      <c r="AS288" s="56">
        <v>4520.928</v>
      </c>
    </row>
    <row r="289" spans="1:45">
      <c r="A289" s="54">
        <v>2019</v>
      </c>
      <c r="B289" s="54">
        <v>530000</v>
      </c>
      <c r="C289" s="55" t="s">
        <v>79</v>
      </c>
      <c r="D289" s="56">
        <v>1</v>
      </c>
      <c r="E289" s="49">
        <v>0</v>
      </c>
      <c r="F289" s="49">
        <v>0</v>
      </c>
      <c r="G289" s="49">
        <v>0</v>
      </c>
      <c r="H289" s="56">
        <v>54.3</v>
      </c>
      <c r="I289" s="56">
        <v>45.7</v>
      </c>
      <c r="J289" s="56">
        <v>4.1</v>
      </c>
      <c r="K289" s="56">
        <v>31.7</v>
      </c>
      <c r="L289" s="56">
        <v>37.5</v>
      </c>
      <c r="M289" s="56">
        <v>12</v>
      </c>
      <c r="N289" s="56">
        <v>7.7</v>
      </c>
      <c r="O289" s="56">
        <v>6.4</v>
      </c>
      <c r="P289" s="56">
        <v>0.5</v>
      </c>
      <c r="Q289" s="50">
        <v>1260.5096</v>
      </c>
      <c r="R289" s="50">
        <v>469.95197</v>
      </c>
      <c r="S289" s="50">
        <v>1081.5385</v>
      </c>
      <c r="T289" s="51">
        <v>2812</v>
      </c>
      <c r="U289" s="56">
        <v>3.5</v>
      </c>
      <c r="V289" s="56">
        <v>6.6</v>
      </c>
      <c r="W289" s="56">
        <v>42.1</v>
      </c>
      <c r="X289" s="56">
        <v>12.1</v>
      </c>
      <c r="Y289" s="56">
        <v>38.9</v>
      </c>
      <c r="Z289" s="56">
        <v>16.3</v>
      </c>
      <c r="AA289" s="56">
        <v>5.3</v>
      </c>
      <c r="AB289" s="56">
        <v>15.8</v>
      </c>
      <c r="AC289" s="56">
        <v>5.4</v>
      </c>
      <c r="AD289" s="56">
        <v>11.9</v>
      </c>
      <c r="AE289" s="56">
        <v>10.4</v>
      </c>
      <c r="AF289" s="56">
        <v>11.9</v>
      </c>
      <c r="AG289" s="56">
        <v>9.4</v>
      </c>
      <c r="AH289" s="56">
        <v>6.1</v>
      </c>
      <c r="AI289" s="56">
        <v>1.6</v>
      </c>
      <c r="AJ289" s="56">
        <v>63.4</v>
      </c>
      <c r="AK289" s="56">
        <v>30.2</v>
      </c>
      <c r="AL289" s="56">
        <v>3.8</v>
      </c>
      <c r="AM289" s="56">
        <v>72.8</v>
      </c>
      <c r="AN289" s="56">
        <v>649.9</v>
      </c>
      <c r="AO289" s="56">
        <v>2410</v>
      </c>
      <c r="AP289" s="56">
        <v>3059.9</v>
      </c>
      <c r="AQ289" s="56">
        <v>528</v>
      </c>
      <c r="AR289" s="56">
        <v>4005.5</v>
      </c>
      <c r="AS289" s="56">
        <v>4533.4</v>
      </c>
    </row>
    <row r="290" spans="1:45">
      <c r="A290" s="54">
        <v>2020</v>
      </c>
      <c r="B290" s="54">
        <v>530000</v>
      </c>
      <c r="C290" s="55" t="s">
        <v>79</v>
      </c>
      <c r="D290" s="56">
        <v>1</v>
      </c>
      <c r="E290" s="56">
        <v>0</v>
      </c>
      <c r="F290" s="56">
        <v>0</v>
      </c>
      <c r="G290" s="56">
        <v>0</v>
      </c>
      <c r="H290" s="56">
        <v>53.9</v>
      </c>
      <c r="I290" s="56">
        <v>46.1</v>
      </c>
      <c r="J290" s="56">
        <v>4.6</v>
      </c>
      <c r="K290" s="56">
        <v>30.9</v>
      </c>
      <c r="L290" s="56">
        <v>39.2</v>
      </c>
      <c r="M290" s="56">
        <v>11.1</v>
      </c>
      <c r="N290" s="56">
        <v>7.2</v>
      </c>
      <c r="O290" s="56">
        <v>6.5</v>
      </c>
      <c r="P290" s="56">
        <v>0.5</v>
      </c>
      <c r="Q290" s="50">
        <v>1226</v>
      </c>
      <c r="R290" s="50">
        <v>497</v>
      </c>
      <c r="S290" s="50">
        <v>1083</v>
      </c>
      <c r="T290" s="51">
        <v>2806</v>
      </c>
      <c r="U290" s="56">
        <v>2.6</v>
      </c>
      <c r="V290" s="56">
        <v>5.7</v>
      </c>
      <c r="W290" s="56">
        <v>40.3</v>
      </c>
      <c r="X290" s="56">
        <v>11.3</v>
      </c>
      <c r="Y290" s="56">
        <v>33.7</v>
      </c>
      <c r="Z290" s="56">
        <v>16.2</v>
      </c>
      <c r="AA290" s="56">
        <v>5.3</v>
      </c>
      <c r="AB290" s="56">
        <v>14.4</v>
      </c>
      <c r="AC290" s="56">
        <v>4.9</v>
      </c>
      <c r="AD290" s="56">
        <v>11.9</v>
      </c>
      <c r="AE290" s="56">
        <v>10.2</v>
      </c>
      <c r="AF290" s="56">
        <v>11.7</v>
      </c>
      <c r="AG290" s="56">
        <v>9.6</v>
      </c>
      <c r="AH290" s="56">
        <v>6.4</v>
      </c>
      <c r="AI290" s="56">
        <v>1.5</v>
      </c>
      <c r="AJ290" s="56">
        <v>68.5</v>
      </c>
      <c r="AK290" s="56">
        <v>33.6</v>
      </c>
      <c r="AL290" s="56">
        <v>3.8</v>
      </c>
      <c r="AM290" s="56">
        <v>66.6</v>
      </c>
      <c r="AN290" s="56">
        <v>701.3</v>
      </c>
      <c r="AO290" s="56">
        <v>2450.2</v>
      </c>
      <c r="AP290" s="56">
        <v>3151.5</v>
      </c>
      <c r="AQ290" s="56">
        <v>548.4</v>
      </c>
      <c r="AR290" s="56">
        <v>4032.8</v>
      </c>
      <c r="AS290" s="56">
        <v>4581.3</v>
      </c>
    </row>
    <row r="291" spans="1:45">
      <c r="A291" s="54">
        <v>2021</v>
      </c>
      <c r="B291" s="54">
        <v>530000</v>
      </c>
      <c r="C291" s="55" t="s">
        <v>79</v>
      </c>
      <c r="D291" s="49">
        <v>1</v>
      </c>
      <c r="E291" s="49">
        <v>0</v>
      </c>
      <c r="F291" s="49">
        <v>0</v>
      </c>
      <c r="G291" s="49">
        <v>0</v>
      </c>
      <c r="H291" s="56">
        <v>55.412</v>
      </c>
      <c r="I291" s="56">
        <v>44.588</v>
      </c>
      <c r="J291" s="56">
        <v>4.28</v>
      </c>
      <c r="K291" s="56">
        <v>31.573</v>
      </c>
      <c r="L291" s="56">
        <v>36.428</v>
      </c>
      <c r="M291" s="56">
        <v>11.851</v>
      </c>
      <c r="N291" s="56">
        <v>7.866</v>
      </c>
      <c r="O291" s="56">
        <v>7.545</v>
      </c>
      <c r="P291" s="56">
        <v>0.457</v>
      </c>
      <c r="Q291" s="50">
        <v>1187</v>
      </c>
      <c r="R291" s="50">
        <v>499</v>
      </c>
      <c r="S291" s="50">
        <v>1088</v>
      </c>
      <c r="T291" s="51">
        <v>2774</v>
      </c>
      <c r="U291" s="56">
        <v>2.5</v>
      </c>
      <c r="V291" s="56">
        <v>5.6</v>
      </c>
      <c r="W291" s="56">
        <v>39.6</v>
      </c>
      <c r="X291" s="56">
        <v>11.2</v>
      </c>
      <c r="Y291" s="56">
        <v>29.7</v>
      </c>
      <c r="Z291" s="56">
        <v>15.8</v>
      </c>
      <c r="AA291" s="56">
        <v>5.3</v>
      </c>
      <c r="AB291" s="56">
        <v>15.2</v>
      </c>
      <c r="AC291" s="56">
        <v>5</v>
      </c>
      <c r="AD291" s="56">
        <v>12.5</v>
      </c>
      <c r="AE291" s="56">
        <v>9.5</v>
      </c>
      <c r="AF291" s="56">
        <v>11.3</v>
      </c>
      <c r="AG291" s="56">
        <v>9.6</v>
      </c>
      <c r="AH291" s="56">
        <v>7</v>
      </c>
      <c r="AI291" s="56">
        <v>1.8</v>
      </c>
      <c r="AJ291" s="56">
        <v>66.5</v>
      </c>
      <c r="AK291" s="56">
        <v>35.7</v>
      </c>
      <c r="AL291" s="56">
        <v>3.7</v>
      </c>
      <c r="AM291" s="56">
        <v>70.7</v>
      </c>
      <c r="AN291" s="56">
        <v>739.35</v>
      </c>
      <c r="AO291" s="56">
        <v>2460.306</v>
      </c>
      <c r="AP291" s="56">
        <v>3199.655</v>
      </c>
      <c r="AQ291" s="56">
        <v>569.222</v>
      </c>
      <c r="AR291" s="56">
        <v>3952.635</v>
      </c>
      <c r="AS291" s="56">
        <v>4521.857</v>
      </c>
    </row>
    <row r="292" spans="1:45">
      <c r="A292" s="54">
        <v>2022</v>
      </c>
      <c r="B292" s="54">
        <v>530000</v>
      </c>
      <c r="C292" s="55" t="s">
        <v>79</v>
      </c>
      <c r="D292" s="56">
        <v>1</v>
      </c>
      <c r="E292" s="56">
        <v>0</v>
      </c>
      <c r="F292" s="56">
        <v>0</v>
      </c>
      <c r="G292" s="56">
        <v>0</v>
      </c>
      <c r="H292" s="56">
        <v>54.67</v>
      </c>
      <c r="I292" s="56">
        <v>45.33</v>
      </c>
      <c r="J292" s="56">
        <v>4.384</v>
      </c>
      <c r="K292" s="56">
        <v>36.039</v>
      </c>
      <c r="L292" s="56">
        <v>33.416</v>
      </c>
      <c r="M292" s="56">
        <v>10.201</v>
      </c>
      <c r="N292" s="56">
        <v>7.768</v>
      </c>
      <c r="O292" s="56">
        <v>7.699</v>
      </c>
      <c r="P292" s="56">
        <v>0.492</v>
      </c>
      <c r="Q292" s="50">
        <v>1225</v>
      </c>
      <c r="R292" s="50">
        <v>478</v>
      </c>
      <c r="S292" s="50">
        <v>1032</v>
      </c>
      <c r="T292" s="51">
        <v>2735</v>
      </c>
      <c r="U292" s="56">
        <v>2.4</v>
      </c>
      <c r="V292" s="56">
        <v>5.5</v>
      </c>
      <c r="W292" s="56">
        <v>37.7</v>
      </c>
      <c r="X292" s="56">
        <v>10.8</v>
      </c>
      <c r="Y292" s="56">
        <v>28.5</v>
      </c>
      <c r="Z292" s="56">
        <v>15.9</v>
      </c>
      <c r="AA292" s="56">
        <v>5</v>
      </c>
      <c r="AB292" s="56">
        <v>14.8</v>
      </c>
      <c r="AC292" s="56">
        <v>4.6</v>
      </c>
      <c r="AD292" s="56">
        <v>12.1</v>
      </c>
      <c r="AE292" s="56">
        <v>9.2</v>
      </c>
      <c r="AF292" s="56">
        <v>11.6</v>
      </c>
      <c r="AG292" s="56">
        <v>9.3</v>
      </c>
      <c r="AH292" s="56">
        <v>7.1</v>
      </c>
      <c r="AI292" s="56">
        <v>1.6</v>
      </c>
      <c r="AJ292" s="56">
        <v>66.2</v>
      </c>
      <c r="AK292" s="56">
        <v>36.4</v>
      </c>
      <c r="AL292" s="56">
        <v>3.6</v>
      </c>
      <c r="AM292" s="56">
        <v>73</v>
      </c>
      <c r="AN292" s="56">
        <v>806.962</v>
      </c>
      <c r="AO292" s="56">
        <v>2479.712</v>
      </c>
      <c r="AP292" s="56">
        <v>3286.674</v>
      </c>
      <c r="AQ292" s="56">
        <v>584.005</v>
      </c>
      <c r="AR292" s="56">
        <v>3975.752</v>
      </c>
      <c r="AS292" s="56">
        <v>4559.757</v>
      </c>
    </row>
    <row r="293" spans="1:45">
      <c r="A293" s="54">
        <v>2013</v>
      </c>
      <c r="B293" s="54">
        <v>330000</v>
      </c>
      <c r="C293" s="55" t="s">
        <v>80</v>
      </c>
      <c r="D293" s="49">
        <v>0</v>
      </c>
      <c r="E293" s="49">
        <v>1</v>
      </c>
      <c r="F293" s="49">
        <v>0</v>
      </c>
      <c r="G293" s="49">
        <v>0</v>
      </c>
      <c r="J293" s="56">
        <v>2.445</v>
      </c>
      <c r="K293" s="56">
        <v>19.358</v>
      </c>
      <c r="L293" s="56">
        <v>41.943</v>
      </c>
      <c r="M293" s="56">
        <v>17.058</v>
      </c>
      <c r="N293" s="56">
        <v>10.937</v>
      </c>
      <c r="O293" s="56">
        <v>7.703</v>
      </c>
      <c r="P293" s="56">
        <v>0.556</v>
      </c>
      <c r="Q293" s="50">
        <v>460.98</v>
      </c>
      <c r="R293" s="50">
        <v>1553.63</v>
      </c>
      <c r="S293" s="50">
        <v>1421.39</v>
      </c>
      <c r="T293" s="51">
        <v>3436</v>
      </c>
      <c r="U293" s="56">
        <v>0.8</v>
      </c>
      <c r="V293" s="56">
        <v>1</v>
      </c>
      <c r="W293" s="56">
        <v>357.9</v>
      </c>
      <c r="X293" s="56">
        <v>13.5</v>
      </c>
      <c r="Y293" s="56">
        <v>303.2</v>
      </c>
      <c r="Z293" s="56">
        <v>31.4</v>
      </c>
      <c r="AA293" s="56">
        <v>15.4</v>
      </c>
      <c r="AB293" s="56">
        <v>40.2</v>
      </c>
      <c r="AC293" s="56">
        <v>14.7</v>
      </c>
      <c r="AD293" s="56">
        <v>36.3</v>
      </c>
      <c r="AE293" s="56">
        <v>17.9</v>
      </c>
      <c r="AF293" s="56">
        <v>28.8</v>
      </c>
      <c r="AG293" s="56">
        <v>16</v>
      </c>
      <c r="AH293" s="56">
        <v>11.7</v>
      </c>
      <c r="AI293" s="56">
        <v>2.2</v>
      </c>
      <c r="AJ293" s="56">
        <v>68.4</v>
      </c>
      <c r="AK293" s="56">
        <v>39.4</v>
      </c>
      <c r="AL293" s="56">
        <v>7.2</v>
      </c>
      <c r="AM293" s="56">
        <v>65.6</v>
      </c>
      <c r="AN293" s="56">
        <v>2375.398</v>
      </c>
      <c r="AO293" s="56">
        <v>1355.827</v>
      </c>
      <c r="AP293" s="56">
        <v>3731.225</v>
      </c>
      <c r="AQ293" s="56">
        <v>1791.088</v>
      </c>
      <c r="AR293" s="56">
        <v>2330.027</v>
      </c>
      <c r="AS293" s="56">
        <v>4121.114</v>
      </c>
    </row>
    <row r="294" spans="1:45">
      <c r="A294" s="54">
        <v>2014</v>
      </c>
      <c r="B294" s="54">
        <v>330000</v>
      </c>
      <c r="C294" s="55" t="s">
        <v>80</v>
      </c>
      <c r="D294" s="56">
        <v>0</v>
      </c>
      <c r="E294" s="56">
        <v>1</v>
      </c>
      <c r="F294" s="56">
        <v>0</v>
      </c>
      <c r="G294" s="56">
        <v>0</v>
      </c>
      <c r="H294" s="56">
        <v>56</v>
      </c>
      <c r="I294" s="56">
        <v>44</v>
      </c>
      <c r="J294" s="56">
        <v>1.9</v>
      </c>
      <c r="K294" s="56">
        <v>20.1</v>
      </c>
      <c r="L294" s="56">
        <v>39.5</v>
      </c>
      <c r="M294" s="56">
        <v>17</v>
      </c>
      <c r="N294" s="56">
        <v>11.8</v>
      </c>
      <c r="O294" s="56">
        <v>9.2</v>
      </c>
      <c r="P294" s="56">
        <v>0.5</v>
      </c>
      <c r="Q294" s="50">
        <v>425.5</v>
      </c>
      <c r="R294" s="50">
        <v>1569.26</v>
      </c>
      <c r="S294" s="50">
        <v>1464.24</v>
      </c>
      <c r="T294" s="51">
        <v>3459</v>
      </c>
      <c r="U294" s="56">
        <v>0.6</v>
      </c>
      <c r="V294" s="56">
        <v>0.9</v>
      </c>
      <c r="W294" s="56">
        <v>350.6</v>
      </c>
      <c r="X294" s="56">
        <v>13.4</v>
      </c>
      <c r="Y294" s="56">
        <v>329.5</v>
      </c>
      <c r="Z294" s="56">
        <v>32.7</v>
      </c>
      <c r="AA294" s="56">
        <v>16.4</v>
      </c>
      <c r="AB294" s="56">
        <v>41.7</v>
      </c>
      <c r="AC294" s="56">
        <v>13.8</v>
      </c>
      <c r="AD294" s="56">
        <v>38</v>
      </c>
      <c r="AE294" s="56">
        <v>19.7</v>
      </c>
      <c r="AF294" s="56">
        <v>28.4</v>
      </c>
      <c r="AG294" s="56">
        <v>16.1</v>
      </c>
      <c r="AH294" s="56">
        <v>11.7</v>
      </c>
      <c r="AI294" s="56">
        <v>2.6</v>
      </c>
      <c r="AJ294" s="56">
        <v>70.1</v>
      </c>
      <c r="AK294" s="56">
        <v>41.6</v>
      </c>
      <c r="AL294" s="56">
        <v>7.2</v>
      </c>
      <c r="AM294" s="56">
        <v>67.7</v>
      </c>
      <c r="AN294" s="56">
        <v>2548</v>
      </c>
      <c r="AO294" s="56">
        <v>1342.1</v>
      </c>
      <c r="AP294" s="56">
        <v>3890.1</v>
      </c>
      <c r="AQ294" s="56">
        <v>1900</v>
      </c>
      <c r="AR294" s="56">
        <v>2947.5</v>
      </c>
      <c r="AS294" s="56">
        <v>4847.6</v>
      </c>
    </row>
    <row r="295" spans="1:45">
      <c r="A295" s="54">
        <v>2015</v>
      </c>
      <c r="B295" s="54">
        <v>330000</v>
      </c>
      <c r="C295" s="55" t="s">
        <v>80</v>
      </c>
      <c r="D295" s="49">
        <v>0</v>
      </c>
      <c r="E295" s="56">
        <v>1</v>
      </c>
      <c r="F295" s="49">
        <v>0</v>
      </c>
      <c r="G295" s="49">
        <v>0</v>
      </c>
      <c r="H295" s="56">
        <v>57.325</v>
      </c>
      <c r="I295" s="56">
        <v>42.675</v>
      </c>
      <c r="J295" s="56">
        <v>2.691</v>
      </c>
      <c r="K295" s="56">
        <v>16.494</v>
      </c>
      <c r="L295" s="56">
        <v>37.598</v>
      </c>
      <c r="M295" s="56">
        <v>13.677</v>
      </c>
      <c r="N295" s="56">
        <v>12.401</v>
      </c>
      <c r="O295" s="56">
        <v>11.495</v>
      </c>
      <c r="P295" s="56">
        <v>0.846</v>
      </c>
      <c r="Q295" s="50">
        <v>387.66</v>
      </c>
      <c r="R295" s="50">
        <v>1588.73</v>
      </c>
      <c r="S295" s="50">
        <v>1528.61</v>
      </c>
      <c r="T295" s="51">
        <v>3505</v>
      </c>
      <c r="U295" s="56">
        <v>0.5</v>
      </c>
      <c r="V295" s="56">
        <v>0.7</v>
      </c>
      <c r="W295" s="56">
        <v>330.6</v>
      </c>
      <c r="X295" s="56">
        <v>11</v>
      </c>
      <c r="Y295" s="56">
        <v>323.4</v>
      </c>
      <c r="Z295" s="56">
        <v>32</v>
      </c>
      <c r="AA295" s="56">
        <v>17.1</v>
      </c>
      <c r="AB295" s="56">
        <v>42.1</v>
      </c>
      <c r="AC295" s="56">
        <v>13.5</v>
      </c>
      <c r="AD295" s="56">
        <v>42.3</v>
      </c>
      <c r="AE295" s="56">
        <v>20.1</v>
      </c>
      <c r="AF295" s="56">
        <v>27.9</v>
      </c>
      <c r="AG295" s="56">
        <v>16.1</v>
      </c>
      <c r="AH295" s="56">
        <v>11.6</v>
      </c>
      <c r="AI295" s="56">
        <v>2.5</v>
      </c>
      <c r="AJ295" s="56">
        <v>70.9</v>
      </c>
      <c r="AK295" s="56">
        <v>43.7</v>
      </c>
      <c r="AL295" s="56">
        <v>7.4</v>
      </c>
      <c r="AM295" s="56">
        <v>70.1</v>
      </c>
      <c r="AN295" s="56">
        <v>2504.281</v>
      </c>
      <c r="AO295" s="56">
        <v>1285.888</v>
      </c>
      <c r="AP295" s="56">
        <v>3790.168</v>
      </c>
      <c r="AQ295" s="56">
        <v>1992.703</v>
      </c>
      <c r="AR295" s="56">
        <v>2971.443</v>
      </c>
      <c r="AS295" s="56">
        <v>4964.146</v>
      </c>
    </row>
    <row r="296" spans="1:45">
      <c r="A296" s="54">
        <v>2016</v>
      </c>
      <c r="B296" s="54">
        <v>330000</v>
      </c>
      <c r="C296" s="55" t="s">
        <v>80</v>
      </c>
      <c r="D296" s="56">
        <v>0</v>
      </c>
      <c r="E296" s="56">
        <v>1</v>
      </c>
      <c r="F296" s="56">
        <v>0</v>
      </c>
      <c r="G296" s="56">
        <v>0</v>
      </c>
      <c r="H296" s="56">
        <v>57.226</v>
      </c>
      <c r="I296" s="56">
        <v>42.774</v>
      </c>
      <c r="J296" s="56">
        <v>2.1</v>
      </c>
      <c r="K296" s="56">
        <v>15.972</v>
      </c>
      <c r="L296" s="56">
        <v>38.222</v>
      </c>
      <c r="M296" s="56">
        <v>13.403</v>
      </c>
      <c r="N296" s="56">
        <v>12.423</v>
      </c>
      <c r="O296" s="56">
        <v>11.761</v>
      </c>
      <c r="P296" s="56">
        <v>0.98</v>
      </c>
      <c r="Q296" s="50">
        <v>351.64</v>
      </c>
      <c r="R296" s="50">
        <v>1609.18</v>
      </c>
      <c r="S296" s="50">
        <v>1591.18</v>
      </c>
      <c r="T296" s="51">
        <v>3552</v>
      </c>
      <c r="U296" s="56">
        <v>0.4</v>
      </c>
      <c r="V296" s="56">
        <v>0.6</v>
      </c>
      <c r="W296" s="56">
        <v>315.9</v>
      </c>
      <c r="X296" s="56">
        <v>12</v>
      </c>
      <c r="Y296" s="56">
        <v>310.1</v>
      </c>
      <c r="Z296" s="56">
        <v>31.5</v>
      </c>
      <c r="AA296" s="56">
        <v>18.6</v>
      </c>
      <c r="AB296" s="56">
        <v>37.6</v>
      </c>
      <c r="AC296" s="56">
        <v>13.5</v>
      </c>
      <c r="AD296" s="56">
        <v>46.4</v>
      </c>
      <c r="AE296" s="56">
        <v>20.9</v>
      </c>
      <c r="AF296" s="56">
        <v>29</v>
      </c>
      <c r="AG296" s="56">
        <v>18.6</v>
      </c>
      <c r="AH296" s="56">
        <v>10.6</v>
      </c>
      <c r="AI296" s="56">
        <v>2.3</v>
      </c>
      <c r="AJ296" s="56">
        <v>71.4</v>
      </c>
      <c r="AK296" s="56">
        <v>44.3</v>
      </c>
      <c r="AL296" s="56">
        <v>6.8</v>
      </c>
      <c r="AM296" s="56">
        <v>70.5</v>
      </c>
      <c r="AN296" s="56">
        <v>2506.94</v>
      </c>
      <c r="AO296" s="56">
        <v>1233.125</v>
      </c>
      <c r="AP296" s="56">
        <v>3740.065</v>
      </c>
      <c r="AQ296" s="56">
        <v>2017.498</v>
      </c>
      <c r="AR296" s="56">
        <v>2975.79</v>
      </c>
      <c r="AS296" s="56">
        <v>4993.288</v>
      </c>
    </row>
    <row r="297" spans="1:45">
      <c r="A297" s="54">
        <v>2017</v>
      </c>
      <c r="B297" s="54">
        <v>330000</v>
      </c>
      <c r="C297" s="55" t="s">
        <v>80</v>
      </c>
      <c r="D297" s="49">
        <v>0</v>
      </c>
      <c r="E297" s="49">
        <v>1</v>
      </c>
      <c r="F297" s="49">
        <v>0</v>
      </c>
      <c r="G297" s="49">
        <v>0</v>
      </c>
      <c r="H297" s="56">
        <v>56.997</v>
      </c>
      <c r="I297" s="56">
        <v>43.003</v>
      </c>
      <c r="J297" s="56">
        <v>1.824</v>
      </c>
      <c r="K297" s="56">
        <v>15.001</v>
      </c>
      <c r="L297" s="56">
        <v>37.159</v>
      </c>
      <c r="M297" s="56">
        <v>14.096</v>
      </c>
      <c r="N297" s="56">
        <v>12.637</v>
      </c>
      <c r="O297" s="56">
        <v>12.937</v>
      </c>
      <c r="P297" s="56">
        <v>0.958</v>
      </c>
      <c r="Q297" s="50">
        <v>319.22</v>
      </c>
      <c r="R297" s="50">
        <v>1629.66</v>
      </c>
      <c r="S297" s="50">
        <v>1664.12</v>
      </c>
      <c r="T297" s="51">
        <v>3613</v>
      </c>
      <c r="U297" s="56">
        <v>0.5</v>
      </c>
      <c r="V297" s="56">
        <v>0.5</v>
      </c>
      <c r="W297" s="56">
        <v>315</v>
      </c>
      <c r="X297" s="56">
        <v>12.3</v>
      </c>
      <c r="Y297" s="56">
        <v>288.3</v>
      </c>
      <c r="Z297" s="56">
        <v>31.8</v>
      </c>
      <c r="AA297" s="56">
        <v>23</v>
      </c>
      <c r="AB297" s="56">
        <v>38.3</v>
      </c>
      <c r="AC297" s="56">
        <v>14</v>
      </c>
      <c r="AD297" s="56">
        <v>48.5</v>
      </c>
      <c r="AE297" s="56">
        <v>21.6</v>
      </c>
      <c r="AF297" s="56">
        <v>30.2</v>
      </c>
      <c r="AG297" s="56">
        <v>19</v>
      </c>
      <c r="AH297" s="56">
        <v>10.3</v>
      </c>
      <c r="AI297" s="56">
        <v>2.6</v>
      </c>
      <c r="AJ297" s="56">
        <v>74.3</v>
      </c>
      <c r="AK297" s="56">
        <v>46</v>
      </c>
      <c r="AL297" s="56">
        <v>6.7</v>
      </c>
      <c r="AM297" s="56">
        <v>71.7</v>
      </c>
      <c r="AN297" s="56">
        <v>2712.368</v>
      </c>
      <c r="AO297" s="56">
        <v>1200.696</v>
      </c>
      <c r="AP297" s="56">
        <v>3913.064</v>
      </c>
      <c r="AQ297" s="56">
        <v>2117.438</v>
      </c>
      <c r="AR297" s="56">
        <v>3134.196</v>
      </c>
      <c r="AS297" s="56">
        <v>5251.634</v>
      </c>
    </row>
    <row r="298" spans="1:45">
      <c r="A298" s="54">
        <v>2018</v>
      </c>
      <c r="B298" s="54">
        <v>330000</v>
      </c>
      <c r="C298" s="55" t="s">
        <v>80</v>
      </c>
      <c r="D298" s="56">
        <v>0</v>
      </c>
      <c r="E298" s="56">
        <v>1</v>
      </c>
      <c r="F298" s="56">
        <v>0</v>
      </c>
      <c r="G298" s="56">
        <v>0</v>
      </c>
      <c r="H298" s="56">
        <v>56.857</v>
      </c>
      <c r="I298" s="56">
        <v>43.143</v>
      </c>
      <c r="J298" s="56">
        <v>1.735</v>
      </c>
      <c r="K298" s="56">
        <v>15.243</v>
      </c>
      <c r="L298" s="56">
        <v>35.536</v>
      </c>
      <c r="M298" s="56">
        <v>14.522</v>
      </c>
      <c r="N298" s="56">
        <v>13.409</v>
      </c>
      <c r="O298" s="56">
        <v>13.055</v>
      </c>
      <c r="P298" s="56">
        <v>0.919</v>
      </c>
      <c r="Q298" s="50">
        <v>278.13</v>
      </c>
      <c r="R298" s="50">
        <v>1649.05</v>
      </c>
      <c r="S298" s="50">
        <v>1763.82</v>
      </c>
      <c r="T298" s="51">
        <v>3691</v>
      </c>
      <c r="U298" s="56">
        <v>0.4</v>
      </c>
      <c r="V298" s="56">
        <v>0.4</v>
      </c>
      <c r="W298" s="56">
        <v>289.3</v>
      </c>
      <c r="X298" s="56">
        <v>12.2</v>
      </c>
      <c r="Y298" s="56">
        <v>279.9</v>
      </c>
      <c r="Z298" s="56">
        <v>30.1</v>
      </c>
      <c r="AA298" s="56">
        <v>21.8</v>
      </c>
      <c r="AB298" s="56">
        <v>36.8</v>
      </c>
      <c r="AC298" s="56">
        <v>13.8</v>
      </c>
      <c r="AD298" s="56">
        <v>45</v>
      </c>
      <c r="AE298" s="56">
        <v>22.4</v>
      </c>
      <c r="AF298" s="56">
        <v>29.1</v>
      </c>
      <c r="AG298" s="56">
        <v>16.6</v>
      </c>
      <c r="AH298" s="56">
        <v>10.1</v>
      </c>
      <c r="AI298" s="56">
        <v>2.4</v>
      </c>
      <c r="AJ298" s="56">
        <v>75.3</v>
      </c>
      <c r="AK298" s="56">
        <v>47.4</v>
      </c>
      <c r="AL298" s="56">
        <v>7.1</v>
      </c>
      <c r="AM298" s="56">
        <v>73.2</v>
      </c>
      <c r="AN298" s="56">
        <v>2883.406</v>
      </c>
      <c r="AO298" s="56">
        <v>1197.838</v>
      </c>
      <c r="AP298" s="56">
        <v>4081.244</v>
      </c>
      <c r="AQ298" s="56">
        <v>2277.043</v>
      </c>
      <c r="AR298" s="56">
        <v>3091.661</v>
      </c>
      <c r="AS298" s="56">
        <v>5368.705</v>
      </c>
    </row>
    <row r="299" spans="1:45">
      <c r="A299" s="54">
        <v>2019</v>
      </c>
      <c r="B299" s="54">
        <v>330000</v>
      </c>
      <c r="C299" s="55" t="s">
        <v>80</v>
      </c>
      <c r="D299" s="49">
        <v>0</v>
      </c>
      <c r="E299" s="56">
        <v>1</v>
      </c>
      <c r="F299" s="49">
        <v>0</v>
      </c>
      <c r="G299" s="49">
        <v>0</v>
      </c>
      <c r="H299" s="56">
        <v>56.8</v>
      </c>
      <c r="I299" s="56">
        <v>43.2</v>
      </c>
      <c r="J299" s="56">
        <v>1.5</v>
      </c>
      <c r="K299" s="56">
        <v>14.9</v>
      </c>
      <c r="L299" s="56">
        <v>34.2</v>
      </c>
      <c r="M299" s="56">
        <v>18.8</v>
      </c>
      <c r="N299" s="56">
        <v>15.5</v>
      </c>
      <c r="O299" s="56">
        <v>13.7</v>
      </c>
      <c r="P299" s="56">
        <v>1.4</v>
      </c>
      <c r="Q299" s="50">
        <v>244.41</v>
      </c>
      <c r="R299" s="50">
        <v>1673.08</v>
      </c>
      <c r="S299" s="50">
        <v>1853.51</v>
      </c>
      <c r="T299" s="51">
        <v>3771</v>
      </c>
      <c r="U299" s="56">
        <v>0.5</v>
      </c>
      <c r="V299" s="56">
        <v>0.4</v>
      </c>
      <c r="W299" s="56">
        <v>286.8</v>
      </c>
      <c r="X299" s="56">
        <v>11.1</v>
      </c>
      <c r="Y299" s="56">
        <v>212.4</v>
      </c>
      <c r="Z299" s="56">
        <v>31.2</v>
      </c>
      <c r="AA299" s="56">
        <v>24.4</v>
      </c>
      <c r="AB299" s="56">
        <v>39.7</v>
      </c>
      <c r="AC299" s="56">
        <v>14.6</v>
      </c>
      <c r="AD299" s="56">
        <v>47.6</v>
      </c>
      <c r="AE299" s="56">
        <v>26.8</v>
      </c>
      <c r="AF299" s="56">
        <v>35.6</v>
      </c>
      <c r="AG299" s="56">
        <v>18</v>
      </c>
      <c r="AH299" s="56">
        <v>11.3</v>
      </c>
      <c r="AI299" s="56">
        <v>3.7</v>
      </c>
      <c r="AJ299" s="56">
        <v>87.6</v>
      </c>
      <c r="AK299" s="56">
        <v>51.3</v>
      </c>
      <c r="AL299" s="56">
        <v>8</v>
      </c>
      <c r="AM299" s="56">
        <v>76.4</v>
      </c>
      <c r="AN299" s="56">
        <v>3031.7</v>
      </c>
      <c r="AO299" s="56">
        <v>1199.4</v>
      </c>
      <c r="AP299" s="56">
        <v>4231.2</v>
      </c>
      <c r="AQ299" s="56">
        <v>2426.6</v>
      </c>
      <c r="AR299" s="56">
        <v>3034.9</v>
      </c>
      <c r="AS299" s="56">
        <v>5461.5</v>
      </c>
    </row>
    <row r="300" spans="1:45">
      <c r="A300" s="54">
        <v>2020</v>
      </c>
      <c r="B300" s="54">
        <v>330000</v>
      </c>
      <c r="C300" s="55" t="s">
        <v>80</v>
      </c>
      <c r="D300" s="56">
        <v>0</v>
      </c>
      <c r="E300" s="56">
        <v>1</v>
      </c>
      <c r="F300" s="56">
        <v>0</v>
      </c>
      <c r="G300" s="56">
        <v>0</v>
      </c>
      <c r="H300" s="56">
        <v>57.4</v>
      </c>
      <c r="I300" s="56">
        <v>42.6</v>
      </c>
      <c r="J300" s="56">
        <v>1.5</v>
      </c>
      <c r="K300" s="56">
        <v>15.8</v>
      </c>
      <c r="L300" s="56">
        <v>35.6</v>
      </c>
      <c r="M300" s="56">
        <v>18.4</v>
      </c>
      <c r="N300" s="56">
        <v>13.9</v>
      </c>
      <c r="O300" s="56">
        <v>13.4</v>
      </c>
      <c r="P300" s="56">
        <v>1.3</v>
      </c>
      <c r="Q300" s="50">
        <v>208</v>
      </c>
      <c r="R300" s="50">
        <v>1692</v>
      </c>
      <c r="S300" s="50">
        <v>1957</v>
      </c>
      <c r="T300" s="51">
        <v>3857</v>
      </c>
      <c r="U300" s="56">
        <v>0.6</v>
      </c>
      <c r="V300" s="56">
        <v>0.5</v>
      </c>
      <c r="W300" s="56">
        <v>309.4</v>
      </c>
      <c r="X300" s="56">
        <v>13</v>
      </c>
      <c r="Y300" s="56">
        <v>198</v>
      </c>
      <c r="Z300" s="56">
        <v>35.2</v>
      </c>
      <c r="AA300" s="56">
        <v>28.3</v>
      </c>
      <c r="AB300" s="56">
        <v>41.4</v>
      </c>
      <c r="AC300" s="56">
        <v>14.7</v>
      </c>
      <c r="AD300" s="56">
        <v>48.2</v>
      </c>
      <c r="AE300" s="56">
        <v>28.8</v>
      </c>
      <c r="AF300" s="56">
        <v>37.5</v>
      </c>
      <c r="AG300" s="56">
        <v>19.6</v>
      </c>
      <c r="AH300" s="56">
        <v>11.6</v>
      </c>
      <c r="AI300" s="56">
        <v>4.2</v>
      </c>
      <c r="AJ300" s="56">
        <v>90.9</v>
      </c>
      <c r="AK300" s="56">
        <v>53.2</v>
      </c>
      <c r="AL300" s="56">
        <v>7.9</v>
      </c>
      <c r="AM300" s="56">
        <v>82.9</v>
      </c>
      <c r="AN300" s="56">
        <v>3211.1</v>
      </c>
      <c r="AO300" s="56">
        <v>1143.9</v>
      </c>
      <c r="AP300" s="56">
        <v>4355.1</v>
      </c>
      <c r="AQ300" s="56">
        <v>2579.5</v>
      </c>
      <c r="AR300" s="56">
        <v>2977</v>
      </c>
      <c r="AS300" s="56">
        <v>5556.5</v>
      </c>
    </row>
    <row r="301" spans="1:45">
      <c r="A301" s="54">
        <v>2021</v>
      </c>
      <c r="B301" s="54">
        <v>330000</v>
      </c>
      <c r="C301" s="55" t="s">
        <v>80</v>
      </c>
      <c r="D301" s="49">
        <v>0</v>
      </c>
      <c r="E301" s="49">
        <v>1</v>
      </c>
      <c r="F301" s="49">
        <v>0</v>
      </c>
      <c r="G301" s="49">
        <v>0</v>
      </c>
      <c r="H301" s="56">
        <v>58.065</v>
      </c>
      <c r="I301" s="56">
        <v>41.935</v>
      </c>
      <c r="J301" s="56">
        <v>1.972</v>
      </c>
      <c r="K301" s="56">
        <v>15.097</v>
      </c>
      <c r="L301" s="56">
        <v>37.883</v>
      </c>
      <c r="M301" s="56">
        <v>17.764</v>
      </c>
      <c r="N301" s="56">
        <v>13.58</v>
      </c>
      <c r="O301" s="56">
        <v>12.426</v>
      </c>
      <c r="P301" s="56">
        <v>1.279</v>
      </c>
      <c r="Q301" s="50">
        <v>206</v>
      </c>
      <c r="R301" s="50">
        <v>1727</v>
      </c>
      <c r="S301" s="50">
        <v>1964</v>
      </c>
      <c r="T301" s="51">
        <v>3897</v>
      </c>
      <c r="U301" s="56">
        <v>0.8</v>
      </c>
      <c r="V301" s="56">
        <v>0.4</v>
      </c>
      <c r="W301" s="56">
        <v>322.3</v>
      </c>
      <c r="X301" s="56">
        <v>13.4</v>
      </c>
      <c r="Y301" s="56">
        <v>179.2</v>
      </c>
      <c r="Z301" s="56">
        <v>37.1</v>
      </c>
      <c r="AA301" s="56">
        <v>32.8</v>
      </c>
      <c r="AB301" s="56">
        <v>45.2</v>
      </c>
      <c r="AC301" s="56">
        <v>14.4</v>
      </c>
      <c r="AD301" s="56">
        <v>46.7</v>
      </c>
      <c r="AE301" s="56">
        <v>29.9</v>
      </c>
      <c r="AF301" s="56">
        <v>41.8</v>
      </c>
      <c r="AG301" s="56">
        <v>21.7</v>
      </c>
      <c r="AH301" s="56">
        <v>10.7</v>
      </c>
      <c r="AI301" s="56">
        <v>4.8</v>
      </c>
      <c r="AJ301" s="56">
        <v>90.1</v>
      </c>
      <c r="AK301" s="56">
        <v>55.3</v>
      </c>
      <c r="AL301" s="56">
        <v>7.4</v>
      </c>
      <c r="AM301" s="56">
        <v>80.9</v>
      </c>
      <c r="AN301" s="56">
        <v>3367.499</v>
      </c>
      <c r="AO301" s="56">
        <v>1055.486</v>
      </c>
      <c r="AP301" s="56">
        <v>4422.985</v>
      </c>
      <c r="AQ301" s="56">
        <v>2736.018</v>
      </c>
      <c r="AR301" s="56">
        <v>2918.528</v>
      </c>
      <c r="AS301" s="56">
        <v>5654.546</v>
      </c>
    </row>
    <row r="302" spans="1:45">
      <c r="A302" s="54">
        <v>2022</v>
      </c>
      <c r="B302" s="54">
        <v>330000</v>
      </c>
      <c r="C302" s="55" t="s">
        <v>80</v>
      </c>
      <c r="D302" s="56">
        <v>0</v>
      </c>
      <c r="E302" s="56">
        <v>1</v>
      </c>
      <c r="F302" s="56">
        <v>0</v>
      </c>
      <c r="G302" s="56">
        <v>0</v>
      </c>
      <c r="H302" s="56">
        <v>57.942</v>
      </c>
      <c r="I302" s="56">
        <v>42.058</v>
      </c>
      <c r="J302" s="56">
        <v>2.144</v>
      </c>
      <c r="K302" s="56">
        <v>17.919</v>
      </c>
      <c r="L302" s="56">
        <v>36.469</v>
      </c>
      <c r="M302" s="56">
        <v>16.171</v>
      </c>
      <c r="N302" s="56">
        <v>13.408</v>
      </c>
      <c r="O302" s="56">
        <v>12.644</v>
      </c>
      <c r="P302" s="56">
        <v>1.245</v>
      </c>
      <c r="Q302" s="50">
        <v>203</v>
      </c>
      <c r="R302" s="50">
        <v>1726</v>
      </c>
      <c r="S302" s="50">
        <v>1956</v>
      </c>
      <c r="T302" s="51">
        <v>3885</v>
      </c>
      <c r="U302" s="56">
        <v>0.7</v>
      </c>
      <c r="V302" s="56">
        <v>0.4</v>
      </c>
      <c r="W302" s="56">
        <v>320.7</v>
      </c>
      <c r="X302" s="56">
        <v>13.2</v>
      </c>
      <c r="Y302" s="56">
        <v>159.1</v>
      </c>
      <c r="Z302" s="56">
        <v>32.9</v>
      </c>
      <c r="AA302" s="56">
        <v>34.4</v>
      </c>
      <c r="AB302" s="56">
        <v>44</v>
      </c>
      <c r="AC302" s="56">
        <v>14.2</v>
      </c>
      <c r="AD302" s="56">
        <v>44.2</v>
      </c>
      <c r="AE302" s="56">
        <v>30.2</v>
      </c>
      <c r="AF302" s="56">
        <v>73</v>
      </c>
      <c r="AG302" s="56">
        <v>22.7</v>
      </c>
      <c r="AH302" s="56">
        <v>11.3</v>
      </c>
      <c r="AI302" s="56">
        <v>4.8</v>
      </c>
      <c r="AJ302" s="56">
        <v>89.4</v>
      </c>
      <c r="AK302" s="56">
        <v>58.4</v>
      </c>
      <c r="AL302" s="56">
        <v>6.9</v>
      </c>
      <c r="AM302" s="56">
        <v>80.8</v>
      </c>
      <c r="AN302" s="56">
        <v>3472.79</v>
      </c>
      <c r="AO302" s="56">
        <v>1047.284</v>
      </c>
      <c r="AP302" s="56">
        <v>4520.075</v>
      </c>
      <c r="AQ302" s="56">
        <v>2855.835</v>
      </c>
      <c r="AR302" s="56">
        <v>2721.382</v>
      </c>
      <c r="AS302" s="56">
        <v>5577.218</v>
      </c>
    </row>
    <row r="303" spans="1:45">
      <c r="A303" s="54">
        <v>2013</v>
      </c>
      <c r="B303" s="54">
        <v>500000</v>
      </c>
      <c r="C303" s="55" t="s">
        <v>81</v>
      </c>
      <c r="D303" s="56">
        <v>1</v>
      </c>
      <c r="E303" s="49">
        <v>0</v>
      </c>
      <c r="F303" s="49">
        <v>0</v>
      </c>
      <c r="G303" s="49">
        <v>0</v>
      </c>
      <c r="J303" s="56">
        <v>2.566</v>
      </c>
      <c r="K303" s="56">
        <v>28.512</v>
      </c>
      <c r="L303" s="56">
        <v>40.266</v>
      </c>
      <c r="M303" s="56">
        <v>16.19</v>
      </c>
      <c r="N303" s="56">
        <v>6.923</v>
      </c>
      <c r="O303" s="56">
        <v>5.013</v>
      </c>
      <c r="P303" s="56">
        <v>0.53</v>
      </c>
      <c r="Q303" s="50">
        <v>495.08</v>
      </c>
      <c r="R303" s="50">
        <v>452.21</v>
      </c>
      <c r="S303" s="50">
        <v>671.3982</v>
      </c>
      <c r="T303" s="51">
        <v>1618.69</v>
      </c>
      <c r="U303" s="56">
        <v>1.1</v>
      </c>
      <c r="V303" s="56">
        <v>10.1</v>
      </c>
      <c r="W303" s="56">
        <v>86.4</v>
      </c>
      <c r="X303" s="56">
        <v>7</v>
      </c>
      <c r="Y303" s="56">
        <v>103.6</v>
      </c>
      <c r="Z303" s="56">
        <v>26.1</v>
      </c>
      <c r="AA303" s="56">
        <v>4.9</v>
      </c>
      <c r="AB303" s="56">
        <v>22.1</v>
      </c>
      <c r="AC303" s="56">
        <v>7.1</v>
      </c>
      <c r="AD303" s="56">
        <v>13.1</v>
      </c>
      <c r="AE303" s="56">
        <v>10.1</v>
      </c>
      <c r="AF303" s="56">
        <v>10.9</v>
      </c>
      <c r="AG303" s="56">
        <v>6.4</v>
      </c>
      <c r="AH303" s="56">
        <v>5</v>
      </c>
      <c r="AI303" s="56">
        <v>1.3</v>
      </c>
      <c r="AJ303" s="56">
        <v>39.1</v>
      </c>
      <c r="AK303" s="56">
        <v>16.2</v>
      </c>
      <c r="AL303" s="56">
        <v>2.6</v>
      </c>
      <c r="AM303" s="56">
        <v>28.9</v>
      </c>
      <c r="AN303" s="56">
        <v>773.124</v>
      </c>
      <c r="AO303" s="56">
        <v>1122.922</v>
      </c>
      <c r="AP303" s="56">
        <v>1896.046</v>
      </c>
      <c r="AQ303" s="56">
        <v>539.535</v>
      </c>
      <c r="AR303" s="56">
        <v>2695.264</v>
      </c>
      <c r="AS303" s="56">
        <v>3234.799</v>
      </c>
    </row>
    <row r="304" spans="1:45">
      <c r="A304" s="54">
        <v>2014</v>
      </c>
      <c r="B304" s="54">
        <v>500000</v>
      </c>
      <c r="C304" s="55" t="s">
        <v>81</v>
      </c>
      <c r="D304" s="49">
        <v>1</v>
      </c>
      <c r="E304" s="56">
        <v>0</v>
      </c>
      <c r="F304" s="56">
        <v>0</v>
      </c>
      <c r="G304" s="56">
        <v>0</v>
      </c>
      <c r="H304" s="56">
        <v>55.8</v>
      </c>
      <c r="I304" s="56">
        <v>44.2</v>
      </c>
      <c r="J304" s="56">
        <v>2.1</v>
      </c>
      <c r="K304" s="56">
        <v>29.2</v>
      </c>
      <c r="L304" s="56">
        <v>38.3</v>
      </c>
      <c r="M304" s="56">
        <v>16.2</v>
      </c>
      <c r="N304" s="56">
        <v>8.4</v>
      </c>
      <c r="O304" s="56">
        <v>5.2</v>
      </c>
      <c r="P304" s="56">
        <v>0.6</v>
      </c>
      <c r="Q304" s="50">
        <v>463.78</v>
      </c>
      <c r="R304" s="50">
        <v>464.48</v>
      </c>
      <c r="S304" s="50">
        <v>703.86</v>
      </c>
      <c r="T304" s="51">
        <v>1632.12</v>
      </c>
      <c r="U304" s="56">
        <v>1.2</v>
      </c>
      <c r="V304" s="56">
        <v>9</v>
      </c>
      <c r="W304" s="56">
        <v>89.3</v>
      </c>
      <c r="X304" s="56">
        <v>7</v>
      </c>
      <c r="Y304" s="56">
        <v>103.8</v>
      </c>
      <c r="Z304" s="56">
        <v>27.3</v>
      </c>
      <c r="AA304" s="56">
        <v>4.7</v>
      </c>
      <c r="AB304" s="56">
        <v>22.8</v>
      </c>
      <c r="AC304" s="56">
        <v>6.8</v>
      </c>
      <c r="AD304" s="56">
        <v>13.2</v>
      </c>
      <c r="AE304" s="56">
        <v>12.4</v>
      </c>
      <c r="AF304" s="56">
        <v>12.1</v>
      </c>
      <c r="AG304" s="56">
        <v>7.7</v>
      </c>
      <c r="AH304" s="56">
        <v>5.5</v>
      </c>
      <c r="AI304" s="56">
        <v>1.5</v>
      </c>
      <c r="AJ304" s="56">
        <v>40.7</v>
      </c>
      <c r="AK304" s="56">
        <v>17.8</v>
      </c>
      <c r="AL304" s="56">
        <v>2.6</v>
      </c>
      <c r="AM304" s="56">
        <v>29.2</v>
      </c>
      <c r="AN304" s="56">
        <v>825.5</v>
      </c>
      <c r="AO304" s="56">
        <v>1112.5</v>
      </c>
      <c r="AP304" s="56">
        <v>1938</v>
      </c>
      <c r="AQ304" s="56">
        <v>575.8</v>
      </c>
      <c r="AR304" s="56">
        <v>2681.1</v>
      </c>
      <c r="AS304" s="56">
        <v>3256.8</v>
      </c>
    </row>
    <row r="305" spans="1:45">
      <c r="A305" s="54">
        <v>2015</v>
      </c>
      <c r="B305" s="54">
        <v>500000</v>
      </c>
      <c r="C305" s="55" t="s">
        <v>81</v>
      </c>
      <c r="D305" s="56">
        <v>1</v>
      </c>
      <c r="E305" s="49">
        <v>0</v>
      </c>
      <c r="F305" s="49">
        <v>0</v>
      </c>
      <c r="G305" s="49">
        <v>0</v>
      </c>
      <c r="H305" s="56">
        <v>57.447</v>
      </c>
      <c r="I305" s="56">
        <v>42.553</v>
      </c>
      <c r="J305" s="56">
        <v>2.941</v>
      </c>
      <c r="K305" s="56">
        <v>24.723</v>
      </c>
      <c r="L305" s="56">
        <v>35.675</v>
      </c>
      <c r="M305" s="56">
        <v>12.438</v>
      </c>
      <c r="N305" s="56">
        <v>10.058</v>
      </c>
      <c r="O305" s="56">
        <v>7.544</v>
      </c>
      <c r="P305" s="56">
        <v>0.862</v>
      </c>
      <c r="Q305" s="50">
        <v>440.3</v>
      </c>
      <c r="R305" s="50">
        <v>473.7</v>
      </c>
      <c r="S305" s="50">
        <v>733.41</v>
      </c>
      <c r="T305" s="51">
        <v>1647.41</v>
      </c>
      <c r="U305" s="56">
        <v>1.2</v>
      </c>
      <c r="V305" s="56">
        <v>7.3</v>
      </c>
      <c r="W305" s="56">
        <v>90.2</v>
      </c>
      <c r="X305" s="56">
        <v>6.7</v>
      </c>
      <c r="Y305" s="56">
        <v>101.5</v>
      </c>
      <c r="Z305" s="56">
        <v>27.1</v>
      </c>
      <c r="AA305" s="56">
        <v>4.7</v>
      </c>
      <c r="AB305" s="56">
        <v>22.1</v>
      </c>
      <c r="AC305" s="56">
        <v>6.3</v>
      </c>
      <c r="AD305" s="56">
        <v>13.3</v>
      </c>
      <c r="AE305" s="56">
        <v>12.5</v>
      </c>
      <c r="AF305" s="56">
        <v>12.2</v>
      </c>
      <c r="AG305" s="56">
        <v>8</v>
      </c>
      <c r="AH305" s="56">
        <v>6.4</v>
      </c>
      <c r="AI305" s="56">
        <v>1.5</v>
      </c>
      <c r="AJ305" s="56">
        <v>41.2</v>
      </c>
      <c r="AK305" s="56">
        <v>19</v>
      </c>
      <c r="AL305" s="56">
        <v>2.9</v>
      </c>
      <c r="AM305" s="56">
        <v>31.6</v>
      </c>
      <c r="AN305" s="56">
        <v>849.292</v>
      </c>
      <c r="AO305" s="56">
        <v>1111.064</v>
      </c>
      <c r="AP305" s="56">
        <v>1960.356</v>
      </c>
      <c r="AQ305" s="56">
        <v>588.468</v>
      </c>
      <c r="AR305" s="56">
        <v>2677.799</v>
      </c>
      <c r="AS305" s="56">
        <v>3266.267</v>
      </c>
    </row>
    <row r="306" spans="1:45">
      <c r="A306" s="54">
        <v>2016</v>
      </c>
      <c r="B306" s="54">
        <v>500000</v>
      </c>
      <c r="C306" s="55" t="s">
        <v>81</v>
      </c>
      <c r="D306" s="56">
        <v>1</v>
      </c>
      <c r="E306" s="56">
        <v>0</v>
      </c>
      <c r="F306" s="56">
        <v>0</v>
      </c>
      <c r="G306" s="56">
        <v>0</v>
      </c>
      <c r="H306" s="56">
        <v>55.605</v>
      </c>
      <c r="I306" s="56">
        <v>44.395</v>
      </c>
      <c r="J306" s="56">
        <v>2.363</v>
      </c>
      <c r="K306" s="56">
        <v>27.445</v>
      </c>
      <c r="L306" s="56">
        <v>33.472</v>
      </c>
      <c r="M306" s="56">
        <v>11.819</v>
      </c>
      <c r="N306" s="56">
        <v>10.868</v>
      </c>
      <c r="O306" s="56">
        <v>7.787</v>
      </c>
      <c r="P306" s="56">
        <v>0.775</v>
      </c>
      <c r="Q306" s="50">
        <v>419.19</v>
      </c>
      <c r="R306" s="50">
        <v>476.66</v>
      </c>
      <c r="S306" s="50">
        <v>762.47</v>
      </c>
      <c r="T306" s="51">
        <v>1658.32</v>
      </c>
      <c r="U306" s="56">
        <v>1.1</v>
      </c>
      <c r="V306" s="56">
        <v>5.6</v>
      </c>
      <c r="W306" s="56">
        <v>89.3</v>
      </c>
      <c r="X306" s="56">
        <v>6.4</v>
      </c>
      <c r="Y306" s="56">
        <v>100.2</v>
      </c>
      <c r="Z306" s="56">
        <v>26.5</v>
      </c>
      <c r="AA306" s="56">
        <v>4.6</v>
      </c>
      <c r="AB306" s="56">
        <v>20.7</v>
      </c>
      <c r="AC306" s="56">
        <v>6.4</v>
      </c>
      <c r="AD306" s="56">
        <v>14</v>
      </c>
      <c r="AE306" s="56">
        <v>13</v>
      </c>
      <c r="AF306" s="56">
        <v>12.6</v>
      </c>
      <c r="AG306" s="56">
        <v>8.1</v>
      </c>
      <c r="AH306" s="56">
        <v>6.5</v>
      </c>
      <c r="AI306" s="56">
        <v>1.5</v>
      </c>
      <c r="AJ306" s="56">
        <v>41.8</v>
      </c>
      <c r="AK306" s="56">
        <v>19.7</v>
      </c>
      <c r="AL306" s="56">
        <v>2.9</v>
      </c>
      <c r="AM306" s="56">
        <v>32</v>
      </c>
      <c r="AN306" s="56">
        <v>952.245</v>
      </c>
      <c r="AO306" s="56">
        <v>1115.82</v>
      </c>
      <c r="AP306" s="56">
        <v>2068.065</v>
      </c>
      <c r="AQ306" s="56">
        <v>604.76</v>
      </c>
      <c r="AR306" s="56">
        <v>2654.52</v>
      </c>
      <c r="AS306" s="56">
        <v>3259.279</v>
      </c>
    </row>
    <row r="307" spans="1:45">
      <c r="A307" s="54">
        <v>2017</v>
      </c>
      <c r="B307" s="54">
        <v>500000</v>
      </c>
      <c r="C307" s="55" t="s">
        <v>81</v>
      </c>
      <c r="D307" s="49">
        <v>1</v>
      </c>
      <c r="E307" s="49">
        <v>0</v>
      </c>
      <c r="F307" s="49">
        <v>0</v>
      </c>
      <c r="G307" s="49">
        <v>0</v>
      </c>
      <c r="H307" s="56">
        <v>56.427</v>
      </c>
      <c r="I307" s="56">
        <v>43.573</v>
      </c>
      <c r="J307" s="56">
        <v>1.933</v>
      </c>
      <c r="K307" s="56">
        <v>27.209</v>
      </c>
      <c r="L307" s="56">
        <v>33.349</v>
      </c>
      <c r="M307" s="56">
        <v>12.473</v>
      </c>
      <c r="N307" s="56">
        <v>10.712</v>
      </c>
      <c r="O307" s="56">
        <v>7.807</v>
      </c>
      <c r="P307" s="56">
        <v>0.864</v>
      </c>
      <c r="Q307" s="50">
        <v>402.91</v>
      </c>
      <c r="R307" s="50">
        <v>461.68</v>
      </c>
      <c r="S307" s="50">
        <v>794.74</v>
      </c>
      <c r="T307" s="51">
        <v>1659.33</v>
      </c>
      <c r="U307" s="56">
        <v>1.2</v>
      </c>
      <c r="V307" s="56">
        <v>4.1</v>
      </c>
      <c r="W307" s="56">
        <v>83.8</v>
      </c>
      <c r="X307" s="56">
        <v>6.5</v>
      </c>
      <c r="Y307" s="56">
        <v>97.7</v>
      </c>
      <c r="Z307" s="56">
        <v>27</v>
      </c>
      <c r="AA307" s="56">
        <v>4.8</v>
      </c>
      <c r="AB307" s="56">
        <v>19.5</v>
      </c>
      <c r="AC307" s="56">
        <v>6.1</v>
      </c>
      <c r="AD307" s="56">
        <v>14.4</v>
      </c>
      <c r="AE307" s="56">
        <v>13.9</v>
      </c>
      <c r="AF307" s="56">
        <v>13.3</v>
      </c>
      <c r="AG307" s="56">
        <v>8.2</v>
      </c>
      <c r="AH307" s="56">
        <v>6.8</v>
      </c>
      <c r="AI307" s="56">
        <v>1.4</v>
      </c>
      <c r="AJ307" s="56">
        <v>41.7</v>
      </c>
      <c r="AK307" s="56">
        <v>20.3</v>
      </c>
      <c r="AL307" s="56">
        <v>3.2</v>
      </c>
      <c r="AM307" s="56">
        <v>32.6</v>
      </c>
      <c r="AN307" s="56">
        <v>989.174</v>
      </c>
      <c r="AO307" s="56">
        <v>1108.999</v>
      </c>
      <c r="AP307" s="56">
        <v>2098.173</v>
      </c>
      <c r="AQ307" s="56">
        <v>640.275</v>
      </c>
      <c r="AR307" s="56">
        <v>2608.177</v>
      </c>
      <c r="AS307" s="56">
        <v>3248.452</v>
      </c>
    </row>
    <row r="308" spans="1:45">
      <c r="A308" s="54">
        <v>2018</v>
      </c>
      <c r="B308" s="54">
        <v>500000</v>
      </c>
      <c r="C308" s="55" t="s">
        <v>81</v>
      </c>
      <c r="D308" s="56">
        <v>1</v>
      </c>
      <c r="E308" s="56">
        <v>0</v>
      </c>
      <c r="F308" s="56">
        <v>0</v>
      </c>
      <c r="G308" s="56">
        <v>0</v>
      </c>
      <c r="H308" s="56">
        <v>55.764</v>
      </c>
      <c r="I308" s="56">
        <v>44.236</v>
      </c>
      <c r="J308" s="56">
        <v>1.972</v>
      </c>
      <c r="K308" s="56">
        <v>22.698</v>
      </c>
      <c r="L308" s="56">
        <v>37.679</v>
      </c>
      <c r="M308" s="56">
        <v>14.007</v>
      </c>
      <c r="N308" s="56">
        <v>10.109</v>
      </c>
      <c r="O308" s="56">
        <v>8.012</v>
      </c>
      <c r="P308" s="56">
        <v>0.769</v>
      </c>
      <c r="Q308" s="50">
        <v>390.62</v>
      </c>
      <c r="R308" s="50">
        <v>442.56</v>
      </c>
      <c r="S308" s="50">
        <v>830.05</v>
      </c>
      <c r="T308" s="51">
        <v>1663.23</v>
      </c>
      <c r="U308" s="56">
        <v>0.9</v>
      </c>
      <c r="V308" s="56">
        <v>4.1</v>
      </c>
      <c r="W308" s="56">
        <v>79.9</v>
      </c>
      <c r="X308" s="56">
        <v>6.1</v>
      </c>
      <c r="Y308" s="56">
        <v>88.9</v>
      </c>
      <c r="Z308" s="56">
        <v>22.5</v>
      </c>
      <c r="AA308" s="56">
        <v>4.9</v>
      </c>
      <c r="AB308" s="56">
        <v>19.4</v>
      </c>
      <c r="AC308" s="56">
        <v>6</v>
      </c>
      <c r="AD308" s="56">
        <v>14.1</v>
      </c>
      <c r="AE308" s="56">
        <v>14.6</v>
      </c>
      <c r="AF308" s="56">
        <v>14.3</v>
      </c>
      <c r="AG308" s="56">
        <v>8.2</v>
      </c>
      <c r="AH308" s="56">
        <v>5.8</v>
      </c>
      <c r="AI308" s="56">
        <v>1.5</v>
      </c>
      <c r="AJ308" s="56">
        <v>42</v>
      </c>
      <c r="AK308" s="56">
        <v>20.3</v>
      </c>
      <c r="AL308" s="56">
        <v>2.8</v>
      </c>
      <c r="AM308" s="56">
        <v>34.8</v>
      </c>
      <c r="AN308" s="56">
        <v>1051.188</v>
      </c>
      <c r="AO308" s="56">
        <v>1119.633</v>
      </c>
      <c r="AP308" s="56">
        <v>2170.821</v>
      </c>
      <c r="AQ308" s="56">
        <v>678.306</v>
      </c>
      <c r="AR308" s="56">
        <v>2587</v>
      </c>
      <c r="AS308" s="56">
        <v>3265.307</v>
      </c>
    </row>
    <row r="309" spans="1:45">
      <c r="A309" s="54">
        <v>2019</v>
      </c>
      <c r="B309" s="54">
        <v>500000</v>
      </c>
      <c r="C309" s="55" t="s">
        <v>81</v>
      </c>
      <c r="D309" s="56">
        <v>1</v>
      </c>
      <c r="E309" s="49">
        <v>0</v>
      </c>
      <c r="F309" s="49">
        <v>0</v>
      </c>
      <c r="G309" s="49">
        <v>0</v>
      </c>
      <c r="H309" s="56">
        <v>55.2</v>
      </c>
      <c r="I309" s="56">
        <v>44.8</v>
      </c>
      <c r="J309" s="56">
        <v>1.9</v>
      </c>
      <c r="K309" s="56">
        <v>19.3</v>
      </c>
      <c r="L309" s="56">
        <v>32.6</v>
      </c>
      <c r="M309" s="56">
        <v>20.5</v>
      </c>
      <c r="N309" s="56">
        <v>14.5</v>
      </c>
      <c r="O309" s="56">
        <v>10.1</v>
      </c>
      <c r="P309" s="56">
        <v>1</v>
      </c>
      <c r="Q309" s="50">
        <v>381.48</v>
      </c>
      <c r="R309" s="50">
        <v>434.06</v>
      </c>
      <c r="S309" s="50">
        <v>852.62</v>
      </c>
      <c r="T309" s="51">
        <v>1668.16</v>
      </c>
      <c r="U309" s="56">
        <v>0.7</v>
      </c>
      <c r="V309" s="56">
        <v>3.1</v>
      </c>
      <c r="W309" s="56">
        <v>64.5</v>
      </c>
      <c r="X309" s="56">
        <v>6.2</v>
      </c>
      <c r="Y309" s="56">
        <v>78.7</v>
      </c>
      <c r="Z309" s="56">
        <v>21.5</v>
      </c>
      <c r="AA309" s="56">
        <v>4.7</v>
      </c>
      <c r="AB309" s="56">
        <v>22.3</v>
      </c>
      <c r="AC309" s="56">
        <v>4.5</v>
      </c>
      <c r="AD309" s="56">
        <v>20.6</v>
      </c>
      <c r="AE309" s="56">
        <v>13.7</v>
      </c>
      <c r="AF309" s="56">
        <v>14.3</v>
      </c>
      <c r="AG309" s="56">
        <v>7.6</v>
      </c>
      <c r="AH309" s="56">
        <v>4.1</v>
      </c>
      <c r="AI309" s="56">
        <v>1</v>
      </c>
      <c r="AJ309" s="56">
        <v>45.6</v>
      </c>
      <c r="AK309" s="56">
        <v>20.9</v>
      </c>
      <c r="AL309" s="56">
        <v>2.7</v>
      </c>
      <c r="AM309" s="56">
        <v>37.7</v>
      </c>
      <c r="AN309" s="56">
        <v>1127.7</v>
      </c>
      <c r="AO309" s="56">
        <v>1162.7</v>
      </c>
      <c r="AP309" s="56">
        <v>2290.4</v>
      </c>
      <c r="AQ309" s="56">
        <v>720.6</v>
      </c>
      <c r="AR309" s="56">
        <v>2551.4</v>
      </c>
      <c r="AS309" s="56">
        <v>3272.1</v>
      </c>
    </row>
    <row r="310" spans="1:45">
      <c r="A310" s="54">
        <v>2020</v>
      </c>
      <c r="B310" s="54">
        <v>500000</v>
      </c>
      <c r="C310" s="55" t="s">
        <v>81</v>
      </c>
      <c r="D310" s="49">
        <v>1</v>
      </c>
      <c r="E310" s="56">
        <v>0</v>
      </c>
      <c r="F310" s="56">
        <v>0</v>
      </c>
      <c r="G310" s="56">
        <v>0</v>
      </c>
      <c r="H310" s="56">
        <v>55.5</v>
      </c>
      <c r="I310" s="56">
        <v>44.5</v>
      </c>
      <c r="J310" s="56">
        <v>1.7</v>
      </c>
      <c r="K310" s="56">
        <v>21.5</v>
      </c>
      <c r="L310" s="56">
        <v>33.7</v>
      </c>
      <c r="M310" s="56">
        <v>19.1</v>
      </c>
      <c r="N310" s="56">
        <v>13.2</v>
      </c>
      <c r="O310" s="56">
        <v>10.2</v>
      </c>
      <c r="P310" s="56">
        <v>0.8</v>
      </c>
      <c r="Q310" s="50">
        <v>378</v>
      </c>
      <c r="R310" s="50">
        <v>421</v>
      </c>
      <c r="S310" s="50">
        <v>877</v>
      </c>
      <c r="T310" s="51">
        <v>1676</v>
      </c>
      <c r="U310" s="56">
        <v>0.4</v>
      </c>
      <c r="V310" s="56">
        <v>3</v>
      </c>
      <c r="W310" s="56">
        <v>67.1</v>
      </c>
      <c r="X310" s="56">
        <v>6.2</v>
      </c>
      <c r="Y310" s="56">
        <v>71.2</v>
      </c>
      <c r="Z310" s="56">
        <v>21.3</v>
      </c>
      <c r="AA310" s="56">
        <v>5.9</v>
      </c>
      <c r="AB310" s="56">
        <v>19</v>
      </c>
      <c r="AC310" s="56">
        <v>4.2</v>
      </c>
      <c r="AD310" s="56">
        <v>28</v>
      </c>
      <c r="AE310" s="56">
        <v>14.9</v>
      </c>
      <c r="AF310" s="56">
        <v>12.3</v>
      </c>
      <c r="AG310" s="56">
        <v>7.7</v>
      </c>
      <c r="AH310" s="56">
        <v>3.8</v>
      </c>
      <c r="AI310" s="56">
        <v>0.8</v>
      </c>
      <c r="AJ310" s="56">
        <v>41.4</v>
      </c>
      <c r="AK310" s="56">
        <v>21.5</v>
      </c>
      <c r="AL310" s="56">
        <v>2.7</v>
      </c>
      <c r="AM310" s="56">
        <v>39.3</v>
      </c>
      <c r="AN310" s="56">
        <v>1203.4</v>
      </c>
      <c r="AO310" s="56">
        <v>1166.8</v>
      </c>
      <c r="AP310" s="56">
        <v>2370.2</v>
      </c>
      <c r="AQ310" s="56">
        <v>767</v>
      </c>
      <c r="AR310" s="56">
        <v>2499.8</v>
      </c>
      <c r="AS310" s="56">
        <v>3266.7</v>
      </c>
    </row>
    <row r="311" spans="1:45">
      <c r="A311" s="54">
        <v>2021</v>
      </c>
      <c r="B311" s="54">
        <v>500000</v>
      </c>
      <c r="C311" s="55" t="s">
        <v>81</v>
      </c>
      <c r="D311" s="56">
        <v>1</v>
      </c>
      <c r="E311" s="49">
        <v>0</v>
      </c>
      <c r="F311" s="49">
        <v>0</v>
      </c>
      <c r="G311" s="49">
        <v>0</v>
      </c>
      <c r="H311" s="56">
        <v>56.145</v>
      </c>
      <c r="I311" s="56">
        <v>43.855</v>
      </c>
      <c r="J311" s="56">
        <v>1.623</v>
      </c>
      <c r="K311" s="56">
        <v>21.964</v>
      </c>
      <c r="L311" s="56">
        <v>34.509</v>
      </c>
      <c r="M311" s="56">
        <v>18.131</v>
      </c>
      <c r="N311" s="56">
        <v>12.263</v>
      </c>
      <c r="O311" s="56">
        <v>10.504</v>
      </c>
      <c r="P311" s="56">
        <v>1.006</v>
      </c>
      <c r="Q311" s="50">
        <v>366</v>
      </c>
      <c r="R311" s="50">
        <v>427</v>
      </c>
      <c r="S311" s="50">
        <v>875</v>
      </c>
      <c r="T311" s="51">
        <v>1668</v>
      </c>
      <c r="U311" s="56">
        <v>0.4</v>
      </c>
      <c r="V311" s="56">
        <v>0.8</v>
      </c>
      <c r="W311" s="56">
        <v>66.7</v>
      </c>
      <c r="X311" s="56">
        <v>6.4</v>
      </c>
      <c r="Y311" s="56">
        <v>66.3</v>
      </c>
      <c r="Z311" s="56">
        <v>21.2</v>
      </c>
      <c r="AA311" s="56">
        <v>5.7</v>
      </c>
      <c r="AB311" s="56">
        <v>17.7</v>
      </c>
      <c r="AC311" s="56">
        <v>4</v>
      </c>
      <c r="AD311" s="56">
        <v>22.2</v>
      </c>
      <c r="AE311" s="56">
        <v>15.4</v>
      </c>
      <c r="AF311" s="56">
        <v>13.2</v>
      </c>
      <c r="AG311" s="56">
        <v>8.2</v>
      </c>
      <c r="AH311" s="56">
        <v>3.8</v>
      </c>
      <c r="AI311" s="56">
        <v>0.9</v>
      </c>
      <c r="AJ311" s="56">
        <v>42.4</v>
      </c>
      <c r="AK311" s="56">
        <v>22.4</v>
      </c>
      <c r="AL311" s="56">
        <v>2.7</v>
      </c>
      <c r="AM311" s="56">
        <v>38</v>
      </c>
      <c r="AN311" s="56">
        <v>1354.243</v>
      </c>
      <c r="AO311" s="56">
        <v>1139.925</v>
      </c>
      <c r="AP311" s="56">
        <v>2494.168</v>
      </c>
      <c r="AQ311" s="56">
        <v>795.854</v>
      </c>
      <c r="AR311" s="56">
        <v>2465.875</v>
      </c>
      <c r="AS311" s="56">
        <v>3261.729</v>
      </c>
    </row>
    <row r="312" spans="1:45">
      <c r="A312" s="48">
        <v>2022</v>
      </c>
      <c r="B312" s="48">
        <v>500000</v>
      </c>
      <c r="C312" s="64" t="s">
        <v>81</v>
      </c>
      <c r="D312" s="56">
        <v>1</v>
      </c>
      <c r="E312" s="56">
        <v>0</v>
      </c>
      <c r="F312" s="56">
        <v>0</v>
      </c>
      <c r="G312" s="56">
        <v>0</v>
      </c>
      <c r="H312" s="56">
        <v>55.906</v>
      </c>
      <c r="I312" s="56">
        <v>44.094</v>
      </c>
      <c r="J312" s="56">
        <v>1.451</v>
      </c>
      <c r="K312" s="56">
        <v>24.842</v>
      </c>
      <c r="L312" s="56">
        <v>32.237</v>
      </c>
      <c r="M312" s="56">
        <v>16.811</v>
      </c>
      <c r="N312" s="56">
        <v>12.59</v>
      </c>
      <c r="O312" s="56">
        <v>11.017</v>
      </c>
      <c r="P312" s="56">
        <v>1.052</v>
      </c>
      <c r="Q312" s="50">
        <v>389</v>
      </c>
      <c r="R312" s="50">
        <v>414</v>
      </c>
      <c r="S312" s="50">
        <v>841</v>
      </c>
      <c r="T312" s="51">
        <v>1644</v>
      </c>
      <c r="U312" s="56">
        <v>0.5</v>
      </c>
      <c r="V312" s="56">
        <v>0.7</v>
      </c>
      <c r="W312" s="56">
        <v>65.2</v>
      </c>
      <c r="X312" s="56">
        <v>6.4</v>
      </c>
      <c r="Y312" s="56">
        <v>58.9</v>
      </c>
      <c r="Z312" s="56">
        <v>20</v>
      </c>
      <c r="AA312" s="56">
        <v>6.1</v>
      </c>
      <c r="AB312" s="56">
        <v>15.6</v>
      </c>
      <c r="AC312" s="56">
        <v>3.5</v>
      </c>
      <c r="AD312" s="56">
        <v>20.1</v>
      </c>
      <c r="AE312" s="56">
        <v>15</v>
      </c>
      <c r="AF312" s="56">
        <v>14.5</v>
      </c>
      <c r="AG312" s="56">
        <v>8.4</v>
      </c>
      <c r="AH312" s="56">
        <v>3.9</v>
      </c>
      <c r="AI312" s="56">
        <v>1</v>
      </c>
      <c r="AJ312" s="56">
        <v>42.8</v>
      </c>
      <c r="AK312" s="56">
        <v>22.5</v>
      </c>
      <c r="AL312" s="56">
        <v>2.6</v>
      </c>
      <c r="AM312" s="56">
        <v>37.6</v>
      </c>
      <c r="AN312" s="56">
        <v>1431.761</v>
      </c>
      <c r="AO312" s="56">
        <v>1140.318</v>
      </c>
      <c r="AP312" s="56">
        <v>2572.079</v>
      </c>
      <c r="AQ312" s="56">
        <v>808.452</v>
      </c>
      <c r="AR312" s="56">
        <v>2398.179</v>
      </c>
      <c r="AS312" s="56">
        <v>3206.63</v>
      </c>
    </row>
  </sheetData>
  <autoFilter xmlns:etc="http://www.wps.cn/officeDocument/2017/etCustomData" ref="A2:AS312" etc:filterBottomFollowUsedRange="0">
    <sortState ref="A2:AS312">
      <sortCondition ref="C2"/>
    </sortState>
    <extLst/>
  </autoFilter>
  <mergeCells count="6">
    <mergeCell ref="D1:G1"/>
    <mergeCell ref="H1:I1"/>
    <mergeCell ref="J1:P1"/>
    <mergeCell ref="Q1:T1"/>
    <mergeCell ref="U1:AM1"/>
    <mergeCell ref="AN1:AS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13"/>
  <sheetViews>
    <sheetView zoomScale="112" zoomScaleNormal="112" topLeftCell="A3" workbookViewId="0">
      <pane xSplit="3" topLeftCell="AV1" activePane="topRight" state="frozen"/>
      <selection/>
      <selection pane="topRight" activeCell="BC4" sqref="BC4"/>
    </sheetView>
  </sheetViews>
  <sheetFormatPr defaultColWidth="9.23076923076923" defaultRowHeight="13.6"/>
  <cols>
    <col min="1" max="1" width="10.3076923076923" style="25"/>
    <col min="2" max="2" width="12.7692307692308" style="25"/>
    <col min="3" max="3" width="19.4230769230769" style="25" customWidth="1"/>
    <col min="4" max="18" width="9.23076923076923" style="25"/>
    <col min="19" max="19" width="11.4615384615385" style="25"/>
    <col min="20" max="20" width="11.4615384615385" style="14"/>
    <col min="21" max="21" width="13.8461538461538" style="14"/>
    <col min="22" max="22" width="11.4615384615385" style="14"/>
    <col min="23" max="23" width="13.8461538461538" style="14"/>
    <col min="24" max="24" width="11.4615384615385" style="14"/>
    <col min="25" max="25" width="13.8461538461538" style="14"/>
    <col min="26" max="26" width="12.6923076923077" style="14"/>
    <col min="27" max="48" width="9.69230769230769" style="25"/>
    <col min="49" max="53" width="10.3076923076923" style="25"/>
    <col min="54" max="54" width="11.4615384615385" style="25"/>
    <col min="55" max="55" width="11.8461538461538" style="25"/>
    <col min="56" max="16384" width="9.23076923076923" style="25"/>
  </cols>
  <sheetData>
    <row r="1" s="24" customFormat="1" spans="1:54">
      <c r="A1" s="26"/>
      <c r="B1" s="26"/>
      <c r="C1" s="26"/>
      <c r="D1" s="27" t="s">
        <v>0</v>
      </c>
      <c r="E1" s="27"/>
      <c r="F1" s="27"/>
      <c r="G1" s="27"/>
      <c r="H1" s="31" t="s">
        <v>1</v>
      </c>
      <c r="I1" s="31"/>
      <c r="J1" s="32" t="s">
        <v>2</v>
      </c>
      <c r="K1" s="32"/>
      <c r="L1" s="32"/>
      <c r="M1" s="32"/>
      <c r="N1" s="32"/>
      <c r="O1" s="32"/>
      <c r="P1" s="32"/>
      <c r="Q1" s="32"/>
      <c r="R1" s="32"/>
      <c r="S1" s="32"/>
      <c r="T1" s="34" t="s">
        <v>3</v>
      </c>
      <c r="U1" s="34"/>
      <c r="V1" s="34"/>
      <c r="W1" s="34"/>
      <c r="X1" s="34"/>
      <c r="Y1" s="34"/>
      <c r="Z1" s="34"/>
      <c r="AA1" s="35" t="s">
        <v>4</v>
      </c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43" t="s">
        <v>5</v>
      </c>
      <c r="AX1" s="43"/>
      <c r="AY1" s="43"/>
      <c r="AZ1" s="43"/>
      <c r="BA1" s="43"/>
      <c r="BB1" s="43"/>
    </row>
    <row r="2" s="24" customFormat="1" ht="28" spans="1:54">
      <c r="A2" s="26"/>
      <c r="B2" s="26"/>
      <c r="C2" s="26"/>
      <c r="D2" s="27"/>
      <c r="E2" s="27"/>
      <c r="F2" s="27"/>
      <c r="G2" s="27"/>
      <c r="H2" s="31"/>
      <c r="I2" s="31"/>
      <c r="J2" s="32"/>
      <c r="K2" s="32"/>
      <c r="L2" s="32"/>
      <c r="M2" s="32"/>
      <c r="N2" s="32"/>
      <c r="O2" s="32"/>
      <c r="P2" s="32"/>
      <c r="Q2" s="32"/>
      <c r="R2" s="32"/>
      <c r="S2" s="32"/>
      <c r="T2" s="34"/>
      <c r="U2" s="34"/>
      <c r="V2" s="34"/>
      <c r="W2" s="34"/>
      <c r="X2" s="34"/>
      <c r="Y2" s="34"/>
      <c r="Z2" s="34"/>
      <c r="AA2" s="35" t="s">
        <v>82</v>
      </c>
      <c r="AB2" s="36" t="s">
        <v>83</v>
      </c>
      <c r="AC2" s="37"/>
      <c r="AD2" s="37"/>
      <c r="AE2" s="38"/>
      <c r="AF2" s="31" t="s">
        <v>84</v>
      </c>
      <c r="AG2" s="31"/>
      <c r="AH2" s="31"/>
      <c r="AI2" s="31"/>
      <c r="AJ2" s="31"/>
      <c r="AK2" s="31"/>
      <c r="AL2" s="39" t="s">
        <v>85</v>
      </c>
      <c r="AM2" s="39"/>
      <c r="AN2" s="39"/>
      <c r="AO2" s="39"/>
      <c r="AP2" s="39"/>
      <c r="AQ2" s="41" t="s">
        <v>86</v>
      </c>
      <c r="AR2" s="41"/>
      <c r="AS2" s="41"/>
      <c r="AT2" s="41"/>
      <c r="AU2" s="41"/>
      <c r="AV2" s="42" t="s">
        <v>87</v>
      </c>
      <c r="AW2" s="43"/>
      <c r="AX2" s="43"/>
      <c r="AY2" s="43"/>
      <c r="AZ2" s="43"/>
      <c r="BA2" s="43"/>
      <c r="BB2" s="43"/>
    </row>
    <row r="3" s="24" customFormat="1" ht="150" spans="1:54">
      <c r="A3" s="28" t="s">
        <v>6</v>
      </c>
      <c r="B3" s="28" t="s">
        <v>7</v>
      </c>
      <c r="C3" s="28" t="s">
        <v>8</v>
      </c>
      <c r="D3" s="27" t="s">
        <v>9</v>
      </c>
      <c r="E3" s="27" t="s">
        <v>10</v>
      </c>
      <c r="F3" s="27" t="s">
        <v>11</v>
      </c>
      <c r="G3" s="2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33" t="s">
        <v>88</v>
      </c>
      <c r="M3" s="7" t="s">
        <v>17</v>
      </c>
      <c r="N3" s="7" t="s">
        <v>18</v>
      </c>
      <c r="O3" s="7" t="s">
        <v>19</v>
      </c>
      <c r="P3" s="33" t="s">
        <v>89</v>
      </c>
      <c r="Q3" s="7" t="s">
        <v>20</v>
      </c>
      <c r="R3" s="7" t="s">
        <v>21</v>
      </c>
      <c r="S3" s="33" t="s">
        <v>90</v>
      </c>
      <c r="T3" s="7" t="s">
        <v>22</v>
      </c>
      <c r="U3" s="33" t="s">
        <v>91</v>
      </c>
      <c r="V3" s="7" t="s">
        <v>23</v>
      </c>
      <c r="W3" s="33" t="s">
        <v>92</v>
      </c>
      <c r="X3" s="7" t="s">
        <v>24</v>
      </c>
      <c r="Y3" s="33" t="s">
        <v>93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35</v>
      </c>
      <c r="AI3" s="7" t="s">
        <v>38</v>
      </c>
      <c r="AJ3" s="7" t="s">
        <v>37</v>
      </c>
      <c r="AK3" s="33" t="s">
        <v>94</v>
      </c>
      <c r="AL3" s="7" t="s">
        <v>33</v>
      </c>
      <c r="AM3" s="40" t="s">
        <v>34</v>
      </c>
      <c r="AN3" s="7" t="s">
        <v>40</v>
      </c>
      <c r="AO3" s="7" t="s">
        <v>43</v>
      </c>
      <c r="AP3" s="33" t="s">
        <v>95</v>
      </c>
      <c r="AQ3" s="7" t="s">
        <v>39</v>
      </c>
      <c r="AR3" s="7" t="s">
        <v>41</v>
      </c>
      <c r="AS3" s="7" t="s">
        <v>42</v>
      </c>
      <c r="AT3" s="7" t="s">
        <v>44</v>
      </c>
      <c r="AU3" s="33" t="s">
        <v>94</v>
      </c>
      <c r="AV3" s="7" t="s">
        <v>36</v>
      </c>
      <c r="AW3" s="33" t="s">
        <v>45</v>
      </c>
      <c r="AX3" s="40" t="s">
        <v>46</v>
      </c>
      <c r="AY3" s="44" t="s">
        <v>47</v>
      </c>
      <c r="AZ3" s="33" t="s">
        <v>48</v>
      </c>
      <c r="BA3" s="40" t="s">
        <v>49</v>
      </c>
      <c r="BB3" s="40" t="s">
        <v>50</v>
      </c>
    </row>
    <row r="4" ht="14" spans="1:55">
      <c r="A4" s="29">
        <v>2013</v>
      </c>
      <c r="B4" s="29">
        <v>340000</v>
      </c>
      <c r="C4" s="30" t="s">
        <v>51</v>
      </c>
      <c r="D4" s="25">
        <v>0</v>
      </c>
      <c r="E4" s="25">
        <v>0</v>
      </c>
      <c r="F4" s="25">
        <v>1</v>
      </c>
      <c r="G4" s="25">
        <v>0</v>
      </c>
      <c r="H4" s="19">
        <v>48.7419999999984</v>
      </c>
      <c r="I4" s="19">
        <v>51.2580000000016</v>
      </c>
      <c r="J4" s="25">
        <v>5.689</v>
      </c>
      <c r="K4" s="25">
        <v>22.785</v>
      </c>
      <c r="L4" s="25">
        <f>J4+K4</f>
        <v>28.474</v>
      </c>
      <c r="M4" s="25">
        <v>49.967</v>
      </c>
      <c r="N4" s="25">
        <v>11.417</v>
      </c>
      <c r="O4" s="25">
        <v>6.084</v>
      </c>
      <c r="P4" s="25">
        <f>M4+N4+O4</f>
        <v>67.468</v>
      </c>
      <c r="Q4" s="25">
        <v>3.748</v>
      </c>
      <c r="R4" s="19">
        <v>0.31</v>
      </c>
      <c r="S4" s="19">
        <f>Q4+R4</f>
        <v>4.058</v>
      </c>
      <c r="T4" s="19">
        <v>1469.7</v>
      </c>
      <c r="U4" s="19">
        <f>T4/Z4</f>
        <v>0.343717112186908</v>
      </c>
      <c r="V4" s="19">
        <v>1169.2</v>
      </c>
      <c r="W4" s="19">
        <f>V4/Z4</f>
        <v>0.2734395098108</v>
      </c>
      <c r="X4" s="19">
        <v>1637</v>
      </c>
      <c r="Y4" s="14">
        <f>X4/Z4</f>
        <v>0.382843378002292</v>
      </c>
      <c r="Z4" s="14">
        <v>4275.9</v>
      </c>
      <c r="AA4" s="25">
        <v>4.9</v>
      </c>
      <c r="AB4" s="25">
        <v>33.1</v>
      </c>
      <c r="AC4" s="25">
        <v>120.4</v>
      </c>
      <c r="AD4" s="25">
        <v>12</v>
      </c>
      <c r="AE4" s="25">
        <v>99.7</v>
      </c>
      <c r="AF4" s="25">
        <v>22</v>
      </c>
      <c r="AG4" s="25">
        <v>6.2</v>
      </c>
      <c r="AH4" s="25">
        <v>17.2</v>
      </c>
      <c r="AI4" s="25">
        <v>8.3</v>
      </c>
      <c r="AJ4" s="25">
        <v>7.1</v>
      </c>
      <c r="AK4" s="25">
        <f>AF4+AG4+AH4+AI4+AJ4</f>
        <v>60.8</v>
      </c>
      <c r="AL4" s="25">
        <v>22.6</v>
      </c>
      <c r="AM4" s="25">
        <v>5.8</v>
      </c>
      <c r="AN4" s="19">
        <v>0.9</v>
      </c>
      <c r="AO4" s="25">
        <v>3.4</v>
      </c>
      <c r="AP4" s="25">
        <f>AL4+AM4+AN4+AO4</f>
        <v>32.7</v>
      </c>
      <c r="AQ4" s="25">
        <v>7.8</v>
      </c>
      <c r="AR4" s="25">
        <v>63.7</v>
      </c>
      <c r="AS4" s="25">
        <v>27.2</v>
      </c>
      <c r="AT4" s="25">
        <v>48.1</v>
      </c>
      <c r="AU4" s="25">
        <f>AQ4+AR4+AS4+AT4</f>
        <v>146.8</v>
      </c>
      <c r="AV4" s="25">
        <v>9.4</v>
      </c>
      <c r="AW4" s="19">
        <v>811.329</v>
      </c>
      <c r="AX4" s="25">
        <v>3308.707</v>
      </c>
      <c r="AY4" s="19">
        <v>4120.036</v>
      </c>
      <c r="AZ4" s="25">
        <v>715.966</v>
      </c>
      <c r="BA4" s="25">
        <v>944.868</v>
      </c>
      <c r="BB4" s="25">
        <v>1660.834</v>
      </c>
      <c r="BC4" s="25">
        <f>AW4/AY4+AZ4/BB4</f>
        <v>0.628011030270578</v>
      </c>
    </row>
    <row r="5" ht="14" spans="1:55">
      <c r="A5" s="29">
        <v>2014</v>
      </c>
      <c r="B5" s="29">
        <v>340000</v>
      </c>
      <c r="C5" s="30" t="s">
        <v>51</v>
      </c>
      <c r="D5" s="25">
        <v>0</v>
      </c>
      <c r="E5" s="25">
        <v>0</v>
      </c>
      <c r="F5" s="25">
        <v>1</v>
      </c>
      <c r="G5" s="25">
        <v>0</v>
      </c>
      <c r="H5" s="19">
        <v>53.9</v>
      </c>
      <c r="I5" s="19">
        <v>46.1</v>
      </c>
      <c r="J5" s="25">
        <v>4.9</v>
      </c>
      <c r="K5" s="25">
        <v>20.7</v>
      </c>
      <c r="L5" s="25">
        <f t="shared" ref="L5:L68" si="0">J5+K5</f>
        <v>25.6</v>
      </c>
      <c r="M5" s="25">
        <v>51.7</v>
      </c>
      <c r="N5" s="25">
        <v>11.1</v>
      </c>
      <c r="O5" s="25">
        <v>6.8</v>
      </c>
      <c r="P5" s="25">
        <f t="shared" ref="P5:P68" si="1">M5+N5+O5</f>
        <v>69.6</v>
      </c>
      <c r="Q5" s="25">
        <v>4.4</v>
      </c>
      <c r="R5" s="19">
        <v>0.4</v>
      </c>
      <c r="S5" s="19">
        <f t="shared" ref="S5:S68" si="2">Q5+R5</f>
        <v>4.8</v>
      </c>
      <c r="T5" s="19">
        <v>1415.3</v>
      </c>
      <c r="U5" s="19">
        <f t="shared" ref="U5:U68" si="3">T5/Z5</f>
        <v>0.328299698445836</v>
      </c>
      <c r="V5" s="19">
        <v>1211.1</v>
      </c>
      <c r="W5" s="19">
        <f t="shared" ref="W5:W68" si="4">V5/Z5</f>
        <v>0.280932498260264</v>
      </c>
      <c r="X5" s="19">
        <v>1684.6</v>
      </c>
      <c r="Y5" s="14">
        <f t="shared" ref="Y5:Y68" si="5">X5/Z5</f>
        <v>0.390767803293899</v>
      </c>
      <c r="Z5" s="14">
        <v>4311</v>
      </c>
      <c r="AA5" s="25">
        <v>4.5</v>
      </c>
      <c r="AB5" s="25">
        <v>31.3</v>
      </c>
      <c r="AC5" s="25">
        <v>122.6</v>
      </c>
      <c r="AD5" s="25">
        <v>10.8</v>
      </c>
      <c r="AE5" s="25">
        <v>97.1</v>
      </c>
      <c r="AF5" s="25">
        <v>21.7</v>
      </c>
      <c r="AG5" s="25">
        <v>7.4</v>
      </c>
      <c r="AH5" s="25">
        <v>17.7</v>
      </c>
      <c r="AI5" s="25">
        <v>9.6</v>
      </c>
      <c r="AJ5" s="25">
        <v>6</v>
      </c>
      <c r="AK5" s="25">
        <f t="shared" ref="AK5:AK68" si="6">AF5+AG5+AH5+AI5+AJ5</f>
        <v>62.4</v>
      </c>
      <c r="AL5" s="25">
        <v>23.4</v>
      </c>
      <c r="AM5" s="25">
        <v>6</v>
      </c>
      <c r="AN5" s="19">
        <v>0.9</v>
      </c>
      <c r="AO5" s="25">
        <v>3.4</v>
      </c>
      <c r="AP5" s="25">
        <f t="shared" ref="AP5:AP68" si="7">AL5+AM5+AN5+AO5</f>
        <v>33.7</v>
      </c>
      <c r="AQ5" s="25">
        <v>8.2</v>
      </c>
      <c r="AR5" s="25">
        <v>64.7</v>
      </c>
      <c r="AS5" s="25">
        <v>28.2</v>
      </c>
      <c r="AT5" s="25">
        <v>47.8</v>
      </c>
      <c r="AU5" s="25">
        <f t="shared" ref="AU5:AU68" si="8">AQ5+AR5+AS5+AT5</f>
        <v>148.9</v>
      </c>
      <c r="AV5" s="25">
        <v>10.4</v>
      </c>
      <c r="AW5" s="19">
        <v>829.2</v>
      </c>
      <c r="AX5" s="25">
        <v>3337.2</v>
      </c>
      <c r="AY5" s="19">
        <v>4166.4</v>
      </c>
      <c r="AZ5" s="25">
        <v>739.9</v>
      </c>
      <c r="BA5" s="25">
        <v>1016.5</v>
      </c>
      <c r="BB5" s="25">
        <v>1756.4</v>
      </c>
      <c r="BC5" s="25">
        <f t="shared" ref="BC5:BC14" si="9">AW5/AY5+AZ5/BB5</f>
        <v>0.62028013154263</v>
      </c>
    </row>
    <row r="6" ht="14" spans="1:55">
      <c r="A6" s="29">
        <v>2015</v>
      </c>
      <c r="B6" s="29">
        <v>340000</v>
      </c>
      <c r="C6" s="30" t="s">
        <v>51</v>
      </c>
      <c r="D6" s="25">
        <v>0</v>
      </c>
      <c r="E6" s="25">
        <v>0</v>
      </c>
      <c r="F6" s="25">
        <v>1</v>
      </c>
      <c r="G6" s="25">
        <v>0</v>
      </c>
      <c r="H6" s="19">
        <v>59.058</v>
      </c>
      <c r="I6" s="19">
        <v>40.942</v>
      </c>
      <c r="J6" s="25">
        <v>7.352</v>
      </c>
      <c r="K6" s="25">
        <v>20.637</v>
      </c>
      <c r="L6" s="25">
        <f t="shared" si="0"/>
        <v>27.989</v>
      </c>
      <c r="M6" s="25">
        <v>45.166</v>
      </c>
      <c r="N6" s="25">
        <v>8.859</v>
      </c>
      <c r="O6" s="25">
        <v>7.326</v>
      </c>
      <c r="P6" s="25">
        <f t="shared" si="1"/>
        <v>61.351</v>
      </c>
      <c r="Q6" s="25">
        <v>5.569</v>
      </c>
      <c r="R6" s="19">
        <v>0.38</v>
      </c>
      <c r="S6" s="19">
        <f t="shared" si="2"/>
        <v>5.949</v>
      </c>
      <c r="T6" s="19">
        <v>1396.2</v>
      </c>
      <c r="U6" s="19">
        <f t="shared" si="3"/>
        <v>0.321549480666037</v>
      </c>
      <c r="V6" s="19">
        <v>1232.1</v>
      </c>
      <c r="W6" s="19">
        <f t="shared" si="4"/>
        <v>0.283756707583888</v>
      </c>
      <c r="X6" s="19">
        <v>1713.8</v>
      </c>
      <c r="Y6" s="14">
        <f t="shared" si="5"/>
        <v>0.394693811750075</v>
      </c>
      <c r="Z6" s="14">
        <v>4342.1</v>
      </c>
      <c r="AA6" s="25">
        <v>4.4</v>
      </c>
      <c r="AB6" s="25">
        <v>27</v>
      </c>
      <c r="AC6" s="25">
        <v>120.9</v>
      </c>
      <c r="AD6" s="25">
        <v>10.3</v>
      </c>
      <c r="AE6" s="25">
        <v>92.6</v>
      </c>
      <c r="AF6" s="25">
        <v>22.3</v>
      </c>
      <c r="AG6" s="25">
        <v>7.7</v>
      </c>
      <c r="AH6" s="25">
        <v>19.1</v>
      </c>
      <c r="AI6" s="25">
        <v>9.2</v>
      </c>
      <c r="AJ6" s="25">
        <v>6.3</v>
      </c>
      <c r="AK6" s="25">
        <f t="shared" si="6"/>
        <v>64.6</v>
      </c>
      <c r="AL6" s="25">
        <v>23.6</v>
      </c>
      <c r="AM6" s="25">
        <v>6</v>
      </c>
      <c r="AN6" s="19">
        <v>0.9</v>
      </c>
      <c r="AO6" s="25">
        <v>3.2</v>
      </c>
      <c r="AP6" s="25">
        <f t="shared" si="7"/>
        <v>33.7</v>
      </c>
      <c r="AQ6" s="25">
        <v>8.2</v>
      </c>
      <c r="AR6" s="25">
        <v>64.4</v>
      </c>
      <c r="AS6" s="25">
        <v>29.1</v>
      </c>
      <c r="AT6" s="25">
        <v>48.3</v>
      </c>
      <c r="AU6" s="25">
        <f t="shared" si="8"/>
        <v>150</v>
      </c>
      <c r="AV6" s="25">
        <v>10.4</v>
      </c>
      <c r="AW6" s="19">
        <v>857.513</v>
      </c>
      <c r="AX6" s="25">
        <v>3396.568</v>
      </c>
      <c r="AY6" s="19">
        <v>4254.081</v>
      </c>
      <c r="AZ6" s="25">
        <v>763.301</v>
      </c>
      <c r="BA6" s="25">
        <v>974.294</v>
      </c>
      <c r="BB6" s="25">
        <v>1737.595</v>
      </c>
      <c r="BC6" s="25">
        <f t="shared" si="9"/>
        <v>0.640860115586252</v>
      </c>
    </row>
    <row r="7" ht="14" spans="1:55">
      <c r="A7" s="29">
        <v>2016</v>
      </c>
      <c r="B7" s="29">
        <v>340000</v>
      </c>
      <c r="C7" s="30" t="s">
        <v>51</v>
      </c>
      <c r="D7" s="25">
        <v>0</v>
      </c>
      <c r="E7" s="25">
        <v>0</v>
      </c>
      <c r="F7" s="25">
        <v>1</v>
      </c>
      <c r="G7" s="25">
        <v>0</v>
      </c>
      <c r="H7" s="19">
        <v>56.938</v>
      </c>
      <c r="I7" s="19">
        <v>43.062</v>
      </c>
      <c r="J7" s="25">
        <v>7.147</v>
      </c>
      <c r="K7" s="25">
        <v>20.301</v>
      </c>
      <c r="L7" s="25">
        <f t="shared" si="0"/>
        <v>27.448</v>
      </c>
      <c r="M7" s="25">
        <v>45.785</v>
      </c>
      <c r="N7" s="25">
        <v>8.682</v>
      </c>
      <c r="O7" s="25">
        <v>7.651</v>
      </c>
      <c r="P7" s="25">
        <f t="shared" si="1"/>
        <v>62.118</v>
      </c>
      <c r="Q7" s="25">
        <v>5.62</v>
      </c>
      <c r="R7" s="19">
        <v>0.476</v>
      </c>
      <c r="S7" s="19">
        <f t="shared" si="2"/>
        <v>6.096</v>
      </c>
      <c r="T7" s="19">
        <v>1383.5</v>
      </c>
      <c r="U7" s="19">
        <f t="shared" si="3"/>
        <v>0.317200110051357</v>
      </c>
      <c r="V7" s="19">
        <v>1245.5</v>
      </c>
      <c r="W7" s="19">
        <f t="shared" si="4"/>
        <v>0.285560344827586</v>
      </c>
      <c r="X7" s="19">
        <v>1732.6</v>
      </c>
      <c r="Y7" s="14">
        <f t="shared" si="5"/>
        <v>0.397239545121056</v>
      </c>
      <c r="Z7" s="14">
        <v>4361.6</v>
      </c>
      <c r="AA7" s="25">
        <v>4.2</v>
      </c>
      <c r="AB7" s="25">
        <v>23.1</v>
      </c>
      <c r="AC7" s="25">
        <v>122.4</v>
      </c>
      <c r="AD7" s="25">
        <v>10.4</v>
      </c>
      <c r="AE7" s="25">
        <v>91.8</v>
      </c>
      <c r="AF7" s="25">
        <v>22.9</v>
      </c>
      <c r="AG7" s="25">
        <v>8</v>
      </c>
      <c r="AH7" s="25">
        <v>22.3</v>
      </c>
      <c r="AI7" s="25">
        <v>9.1</v>
      </c>
      <c r="AJ7" s="25">
        <v>6.6</v>
      </c>
      <c r="AK7" s="25">
        <f t="shared" si="6"/>
        <v>68.9</v>
      </c>
      <c r="AL7" s="25">
        <v>23.2</v>
      </c>
      <c r="AM7" s="25">
        <v>5.9</v>
      </c>
      <c r="AN7" s="19">
        <v>1</v>
      </c>
      <c r="AO7" s="25">
        <v>3.4</v>
      </c>
      <c r="AP7" s="25">
        <f t="shared" si="7"/>
        <v>33.5</v>
      </c>
      <c r="AQ7" s="25">
        <v>7.8</v>
      </c>
      <c r="AR7" s="25">
        <v>64.6</v>
      </c>
      <c r="AS7" s="25">
        <v>30.5</v>
      </c>
      <c r="AT7" s="25">
        <v>49.4</v>
      </c>
      <c r="AU7" s="25">
        <f t="shared" si="8"/>
        <v>152.3</v>
      </c>
      <c r="AV7" s="25">
        <v>10.5</v>
      </c>
      <c r="AW7" s="19">
        <v>892.237</v>
      </c>
      <c r="AX7" s="25">
        <v>3431.882</v>
      </c>
      <c r="AY7" s="19">
        <v>4324.119</v>
      </c>
      <c r="AZ7" s="25">
        <v>781.952</v>
      </c>
      <c r="BA7" s="25">
        <v>839.568</v>
      </c>
      <c r="BB7" s="25">
        <v>1621.52</v>
      </c>
      <c r="BC7" s="25">
        <f t="shared" si="9"/>
        <v>0.688573556840041</v>
      </c>
    </row>
    <row r="8" ht="14" spans="1:55">
      <c r="A8" s="29">
        <v>2017</v>
      </c>
      <c r="B8" s="29">
        <v>340000</v>
      </c>
      <c r="C8" s="30" t="s">
        <v>51</v>
      </c>
      <c r="D8" s="25">
        <v>0</v>
      </c>
      <c r="E8" s="25">
        <v>0</v>
      </c>
      <c r="F8" s="25">
        <v>1</v>
      </c>
      <c r="G8" s="25">
        <v>0</v>
      </c>
      <c r="H8" s="19">
        <v>55.112</v>
      </c>
      <c r="I8" s="19">
        <v>44.888</v>
      </c>
      <c r="J8" s="25">
        <v>7.096</v>
      </c>
      <c r="K8" s="25">
        <v>20.036</v>
      </c>
      <c r="L8" s="25">
        <f t="shared" si="0"/>
        <v>27.132</v>
      </c>
      <c r="M8" s="25">
        <v>46.733</v>
      </c>
      <c r="N8" s="25">
        <v>9.262</v>
      </c>
      <c r="O8" s="25">
        <v>7.033</v>
      </c>
      <c r="P8" s="25">
        <f t="shared" si="1"/>
        <v>63.028</v>
      </c>
      <c r="Q8" s="25">
        <v>5.193</v>
      </c>
      <c r="R8" s="19">
        <v>0.445</v>
      </c>
      <c r="S8" s="19">
        <f t="shared" si="2"/>
        <v>5.638</v>
      </c>
      <c r="T8" s="19">
        <v>1363.3</v>
      </c>
      <c r="U8" s="19">
        <f t="shared" si="3"/>
        <v>0.311405011535211</v>
      </c>
      <c r="V8" s="19">
        <v>1259.5</v>
      </c>
      <c r="W8" s="19">
        <f t="shared" si="4"/>
        <v>0.287695013590991</v>
      </c>
      <c r="X8" s="19">
        <v>1755.1</v>
      </c>
      <c r="Y8" s="14">
        <f t="shared" si="5"/>
        <v>0.400899974873798</v>
      </c>
      <c r="Z8" s="14">
        <v>4377.9</v>
      </c>
      <c r="AA8" s="25">
        <v>3.8</v>
      </c>
      <c r="AB8" s="25">
        <v>20.3</v>
      </c>
      <c r="AC8" s="25">
        <v>119.8</v>
      </c>
      <c r="AD8" s="25">
        <v>10.2</v>
      </c>
      <c r="AE8" s="25">
        <v>93.3</v>
      </c>
      <c r="AF8" s="25">
        <v>24.2</v>
      </c>
      <c r="AG8" s="25">
        <v>8.2</v>
      </c>
      <c r="AH8" s="25">
        <v>23.7</v>
      </c>
      <c r="AI8" s="25">
        <v>8.9</v>
      </c>
      <c r="AJ8" s="25">
        <v>7.4</v>
      </c>
      <c r="AK8" s="25">
        <f t="shared" si="6"/>
        <v>72.4</v>
      </c>
      <c r="AL8" s="25">
        <v>22.7</v>
      </c>
      <c r="AM8" s="25">
        <v>5.4</v>
      </c>
      <c r="AN8" s="19">
        <v>1</v>
      </c>
      <c r="AO8" s="25">
        <v>3.2</v>
      </c>
      <c r="AP8" s="25">
        <f t="shared" si="7"/>
        <v>32.3</v>
      </c>
      <c r="AQ8" s="25">
        <v>7</v>
      </c>
      <c r="AR8" s="25">
        <v>63.6</v>
      </c>
      <c r="AS8" s="25">
        <v>31.5</v>
      </c>
      <c r="AT8" s="25">
        <v>51</v>
      </c>
      <c r="AU8" s="25">
        <f t="shared" si="8"/>
        <v>153.1</v>
      </c>
      <c r="AV8" s="25">
        <v>11.2</v>
      </c>
      <c r="AW8" s="19">
        <v>1076.974</v>
      </c>
      <c r="AX8" s="25">
        <v>3429.46</v>
      </c>
      <c r="AY8" s="19">
        <v>4506.434</v>
      </c>
      <c r="AZ8" s="25">
        <v>809.197</v>
      </c>
      <c r="BA8" s="25">
        <v>1298.859</v>
      </c>
      <c r="BB8" s="25">
        <v>2108.056</v>
      </c>
      <c r="BC8" s="25">
        <f t="shared" si="9"/>
        <v>0.622845206075336</v>
      </c>
    </row>
    <row r="9" ht="14" spans="1:55">
      <c r="A9" s="29">
        <v>2018</v>
      </c>
      <c r="B9" s="29">
        <v>340000</v>
      </c>
      <c r="C9" s="30" t="s">
        <v>51</v>
      </c>
      <c r="D9" s="25">
        <v>0</v>
      </c>
      <c r="E9" s="25">
        <v>0</v>
      </c>
      <c r="F9" s="25">
        <v>1</v>
      </c>
      <c r="G9" s="25">
        <v>0</v>
      </c>
      <c r="H9" s="19">
        <v>55.331</v>
      </c>
      <c r="I9" s="19">
        <v>44.669</v>
      </c>
      <c r="J9" s="25">
        <v>6.859</v>
      </c>
      <c r="K9" s="25">
        <v>18.257</v>
      </c>
      <c r="L9" s="25">
        <f t="shared" si="0"/>
        <v>25.116</v>
      </c>
      <c r="M9" s="25">
        <v>45.824</v>
      </c>
      <c r="N9" s="25">
        <v>9.733</v>
      </c>
      <c r="O9" s="25">
        <v>8.043</v>
      </c>
      <c r="P9" s="25">
        <f t="shared" si="1"/>
        <v>63.6</v>
      </c>
      <c r="Q9" s="25">
        <v>6.143</v>
      </c>
      <c r="R9" s="19">
        <v>0.55</v>
      </c>
      <c r="S9" s="19">
        <f t="shared" si="2"/>
        <v>6.693</v>
      </c>
      <c r="T9" s="19">
        <v>1353.6</v>
      </c>
      <c r="U9" s="19">
        <f t="shared" si="3"/>
        <v>0.308667594007251</v>
      </c>
      <c r="V9" s="19">
        <v>1263.3</v>
      </c>
      <c r="W9" s="19">
        <f t="shared" si="4"/>
        <v>0.288076072332566</v>
      </c>
      <c r="X9" s="19">
        <v>1768.4</v>
      </c>
      <c r="Y9" s="14">
        <f t="shared" si="5"/>
        <v>0.403256333660183</v>
      </c>
      <c r="Z9" s="14">
        <v>4385.3</v>
      </c>
      <c r="AA9" s="25">
        <v>3.1</v>
      </c>
      <c r="AB9" s="25">
        <v>19</v>
      </c>
      <c r="AC9" s="25">
        <v>139.5</v>
      </c>
      <c r="AD9" s="25">
        <v>10.3</v>
      </c>
      <c r="AE9" s="25">
        <v>139.4</v>
      </c>
      <c r="AF9" s="25">
        <v>24.5</v>
      </c>
      <c r="AG9" s="25">
        <v>9.3</v>
      </c>
      <c r="AH9" s="25">
        <v>24.1</v>
      </c>
      <c r="AI9" s="25">
        <v>9.3</v>
      </c>
      <c r="AJ9" s="25">
        <v>8.8</v>
      </c>
      <c r="AK9" s="25">
        <f t="shared" si="6"/>
        <v>76</v>
      </c>
      <c r="AL9" s="25">
        <v>23</v>
      </c>
      <c r="AM9" s="25">
        <v>6.4</v>
      </c>
      <c r="AN9" s="19">
        <v>1.3</v>
      </c>
      <c r="AO9" s="25">
        <v>3.3</v>
      </c>
      <c r="AP9" s="25">
        <f t="shared" si="7"/>
        <v>34</v>
      </c>
      <c r="AQ9" s="25">
        <v>6.1</v>
      </c>
      <c r="AR9" s="25">
        <v>64.1</v>
      </c>
      <c r="AS9" s="25">
        <v>32.5</v>
      </c>
      <c r="AT9" s="25">
        <v>53.6</v>
      </c>
      <c r="AU9" s="25">
        <f t="shared" si="8"/>
        <v>156.3</v>
      </c>
      <c r="AV9" s="25">
        <v>14.7</v>
      </c>
      <c r="AW9" s="19">
        <v>1141.718</v>
      </c>
      <c r="AX9" s="25">
        <v>3487.763</v>
      </c>
      <c r="AY9" s="19">
        <v>4629.481</v>
      </c>
      <c r="AZ9" s="25">
        <v>854.581</v>
      </c>
      <c r="BA9" s="25">
        <v>5250.508</v>
      </c>
      <c r="BB9" s="25">
        <v>6105.088</v>
      </c>
      <c r="BC9" s="25">
        <f t="shared" si="9"/>
        <v>0.386597495529094</v>
      </c>
    </row>
    <row r="10" ht="14" spans="1:55">
      <c r="A10" s="29">
        <v>2019</v>
      </c>
      <c r="B10" s="29">
        <v>340000</v>
      </c>
      <c r="C10" s="30" t="s">
        <v>51</v>
      </c>
      <c r="D10" s="25">
        <v>0</v>
      </c>
      <c r="E10" s="25">
        <v>0</v>
      </c>
      <c r="F10" s="25">
        <v>1</v>
      </c>
      <c r="G10" s="25">
        <v>0</v>
      </c>
      <c r="H10" s="19">
        <v>56.5</v>
      </c>
      <c r="I10" s="19">
        <v>43.5</v>
      </c>
      <c r="J10" s="25">
        <v>6.7</v>
      </c>
      <c r="K10" s="25">
        <v>18</v>
      </c>
      <c r="L10" s="25">
        <f t="shared" si="0"/>
        <v>24.7</v>
      </c>
      <c r="M10" s="25">
        <v>42.5</v>
      </c>
      <c r="N10" s="25">
        <v>14</v>
      </c>
      <c r="O10" s="25">
        <v>10.4</v>
      </c>
      <c r="P10" s="25">
        <f t="shared" si="1"/>
        <v>66.9</v>
      </c>
      <c r="Q10" s="25">
        <v>7.8</v>
      </c>
      <c r="R10" s="19">
        <v>0.7</v>
      </c>
      <c r="S10" s="19">
        <f t="shared" si="2"/>
        <v>8.5</v>
      </c>
      <c r="T10" s="19">
        <v>1346.9</v>
      </c>
      <c r="U10" s="19">
        <f t="shared" si="3"/>
        <v>0.307230839416058</v>
      </c>
      <c r="V10" s="19">
        <v>1261.1</v>
      </c>
      <c r="W10" s="19">
        <f t="shared" si="4"/>
        <v>0.287659671532847</v>
      </c>
      <c r="X10" s="19">
        <v>1776.1</v>
      </c>
      <c r="Y10" s="14">
        <f t="shared" si="5"/>
        <v>0.405132299270073</v>
      </c>
      <c r="Z10" s="14">
        <v>4384</v>
      </c>
      <c r="AA10" s="25">
        <v>3.2</v>
      </c>
      <c r="AB10" s="25">
        <v>14.3</v>
      </c>
      <c r="AC10" s="25">
        <v>127.7</v>
      </c>
      <c r="AD10" s="25">
        <v>10.4</v>
      </c>
      <c r="AE10" s="25">
        <v>111.1</v>
      </c>
      <c r="AF10" s="25">
        <v>23.7</v>
      </c>
      <c r="AG10" s="25">
        <v>9.3</v>
      </c>
      <c r="AH10" s="25">
        <v>23.2</v>
      </c>
      <c r="AI10" s="25">
        <v>10.6</v>
      </c>
      <c r="AJ10" s="25">
        <v>18.3</v>
      </c>
      <c r="AK10" s="25">
        <f t="shared" si="6"/>
        <v>85.1</v>
      </c>
      <c r="AL10" s="25">
        <v>27</v>
      </c>
      <c r="AM10" s="25">
        <v>5.8</v>
      </c>
      <c r="AN10" s="19">
        <v>2.2</v>
      </c>
      <c r="AO10" s="25">
        <v>3.7</v>
      </c>
      <c r="AP10" s="25">
        <f t="shared" si="7"/>
        <v>38.7</v>
      </c>
      <c r="AQ10" s="25">
        <v>8.3</v>
      </c>
      <c r="AR10" s="25">
        <v>69.5</v>
      </c>
      <c r="AS10" s="25">
        <v>35.6</v>
      </c>
      <c r="AT10" s="25">
        <v>59.6</v>
      </c>
      <c r="AU10" s="25">
        <f t="shared" si="8"/>
        <v>173</v>
      </c>
      <c r="AV10" s="25">
        <v>17.6</v>
      </c>
      <c r="AW10" s="19">
        <v>1217</v>
      </c>
      <c r="AX10" s="25">
        <v>3501.7</v>
      </c>
      <c r="AY10" s="19">
        <v>4718.7</v>
      </c>
      <c r="AZ10" s="25">
        <v>888.1</v>
      </c>
      <c r="BA10" s="25">
        <v>5843.3</v>
      </c>
      <c r="BB10" s="25">
        <v>6731.5</v>
      </c>
      <c r="BC10" s="25">
        <f t="shared" si="9"/>
        <v>0.389841979262323</v>
      </c>
    </row>
    <row r="11" ht="14" spans="1:55">
      <c r="A11" s="29">
        <v>2020</v>
      </c>
      <c r="B11" s="29">
        <v>340000</v>
      </c>
      <c r="C11" s="30" t="s">
        <v>51</v>
      </c>
      <c r="D11" s="25">
        <v>0</v>
      </c>
      <c r="E11" s="25">
        <v>0</v>
      </c>
      <c r="F11" s="25">
        <v>1</v>
      </c>
      <c r="G11" s="25">
        <v>0</v>
      </c>
      <c r="H11" s="19">
        <v>56.6</v>
      </c>
      <c r="I11" s="19">
        <v>43.4</v>
      </c>
      <c r="J11" s="25">
        <v>6.6</v>
      </c>
      <c r="K11" s="25">
        <v>17.7</v>
      </c>
      <c r="L11" s="25">
        <f t="shared" si="0"/>
        <v>24.3</v>
      </c>
      <c r="M11" s="25">
        <v>43.7</v>
      </c>
      <c r="N11" s="25">
        <v>13.5</v>
      </c>
      <c r="O11" s="25">
        <v>10.2</v>
      </c>
      <c r="P11" s="25">
        <f t="shared" si="1"/>
        <v>67.4</v>
      </c>
      <c r="Q11" s="25">
        <v>7.6</v>
      </c>
      <c r="R11" s="19">
        <v>0.7</v>
      </c>
      <c r="S11" s="19">
        <f t="shared" si="2"/>
        <v>8.3</v>
      </c>
      <c r="T11" s="19">
        <v>815</v>
      </c>
      <c r="U11" s="19">
        <f t="shared" si="3"/>
        <v>0.251310514955288</v>
      </c>
      <c r="V11" s="19">
        <v>1020</v>
      </c>
      <c r="W11" s="19">
        <f t="shared" si="4"/>
        <v>0.314523589269195</v>
      </c>
      <c r="X11" s="19">
        <v>1408</v>
      </c>
      <c r="Y11" s="14">
        <f t="shared" si="5"/>
        <v>0.434165895775517</v>
      </c>
      <c r="Z11" s="14">
        <v>3243</v>
      </c>
      <c r="AA11" s="25">
        <v>3</v>
      </c>
      <c r="AB11" s="25">
        <v>13.6</v>
      </c>
      <c r="AC11" s="25">
        <v>127.3</v>
      </c>
      <c r="AD11" s="25">
        <v>10.1</v>
      </c>
      <c r="AE11" s="25">
        <v>105.8</v>
      </c>
      <c r="AF11" s="25">
        <v>20.8</v>
      </c>
      <c r="AG11" s="25">
        <v>9.7</v>
      </c>
      <c r="AH11" s="25">
        <v>27.5</v>
      </c>
      <c r="AI11" s="25">
        <v>11.1</v>
      </c>
      <c r="AJ11" s="25">
        <v>18.6</v>
      </c>
      <c r="AK11" s="25">
        <f t="shared" si="6"/>
        <v>87.7</v>
      </c>
      <c r="AL11" s="25">
        <v>23.5</v>
      </c>
      <c r="AM11" s="25">
        <v>5.8</v>
      </c>
      <c r="AN11" s="19">
        <v>2</v>
      </c>
      <c r="AO11" s="25">
        <v>3.5</v>
      </c>
      <c r="AP11" s="25">
        <f t="shared" si="7"/>
        <v>34.8</v>
      </c>
      <c r="AQ11" s="25">
        <v>7.1</v>
      </c>
      <c r="AR11" s="25">
        <v>66</v>
      </c>
      <c r="AS11" s="25">
        <v>35.1</v>
      </c>
      <c r="AT11" s="25">
        <v>59.6</v>
      </c>
      <c r="AU11" s="25">
        <f t="shared" si="8"/>
        <v>167.8</v>
      </c>
      <c r="AV11" s="25">
        <v>15.6</v>
      </c>
      <c r="AW11" s="19">
        <v>1283.5</v>
      </c>
      <c r="AX11" s="25">
        <v>3490.1</v>
      </c>
      <c r="AY11" s="19">
        <v>4773.6</v>
      </c>
      <c r="AZ11" s="25">
        <v>951.6</v>
      </c>
      <c r="BA11" s="25">
        <v>5753</v>
      </c>
      <c r="BB11" s="25">
        <v>6704.6</v>
      </c>
      <c r="BC11" s="25">
        <f t="shared" si="9"/>
        <v>0.410807048492369</v>
      </c>
    </row>
    <row r="12" ht="14" spans="1:55">
      <c r="A12" s="29">
        <v>2021</v>
      </c>
      <c r="B12" s="29">
        <v>340000</v>
      </c>
      <c r="C12" s="30" t="s">
        <v>51</v>
      </c>
      <c r="D12" s="25">
        <v>0</v>
      </c>
      <c r="E12" s="25">
        <v>0</v>
      </c>
      <c r="F12" s="25">
        <v>1</v>
      </c>
      <c r="G12" s="25">
        <v>0</v>
      </c>
      <c r="H12" s="19">
        <v>58.293</v>
      </c>
      <c r="I12" s="19">
        <v>41.707</v>
      </c>
      <c r="J12" s="25">
        <v>5.275</v>
      </c>
      <c r="K12" s="25">
        <v>18.972</v>
      </c>
      <c r="L12" s="25">
        <f t="shared" si="0"/>
        <v>24.247</v>
      </c>
      <c r="M12" s="25">
        <v>41.763</v>
      </c>
      <c r="N12" s="25">
        <v>14.338</v>
      </c>
      <c r="O12" s="25">
        <v>10.291</v>
      </c>
      <c r="P12" s="25">
        <f t="shared" si="1"/>
        <v>66.392</v>
      </c>
      <c r="Q12" s="25">
        <v>8.453</v>
      </c>
      <c r="R12" s="19">
        <v>0.907</v>
      </c>
      <c r="S12" s="19">
        <f t="shared" si="2"/>
        <v>9.36</v>
      </c>
      <c r="T12" s="19">
        <v>779</v>
      </c>
      <c r="U12" s="19">
        <f t="shared" si="3"/>
        <v>0.242301710730949</v>
      </c>
      <c r="V12" s="19">
        <v>1026</v>
      </c>
      <c r="W12" s="19">
        <f t="shared" si="4"/>
        <v>0.319129082426128</v>
      </c>
      <c r="X12" s="19">
        <v>1410</v>
      </c>
      <c r="Y12" s="14">
        <f t="shared" si="5"/>
        <v>0.438569206842924</v>
      </c>
      <c r="Z12" s="14">
        <v>3215</v>
      </c>
      <c r="AA12" s="25">
        <v>2.7</v>
      </c>
      <c r="AB12" s="25">
        <v>13</v>
      </c>
      <c r="AC12" s="25">
        <v>131</v>
      </c>
      <c r="AD12" s="25">
        <v>10.3</v>
      </c>
      <c r="AE12" s="25">
        <v>98.4</v>
      </c>
      <c r="AF12" s="25">
        <v>20.9</v>
      </c>
      <c r="AG12" s="25">
        <v>10</v>
      </c>
      <c r="AH12" s="25">
        <v>22.2</v>
      </c>
      <c r="AI12" s="25">
        <v>10.7</v>
      </c>
      <c r="AJ12" s="25">
        <v>21.4</v>
      </c>
      <c r="AK12" s="25">
        <f t="shared" si="6"/>
        <v>85.2</v>
      </c>
      <c r="AL12" s="25">
        <v>23.8</v>
      </c>
      <c r="AM12" s="25">
        <v>5.4</v>
      </c>
      <c r="AN12" s="19">
        <v>2.4</v>
      </c>
      <c r="AO12" s="25">
        <v>3.5</v>
      </c>
      <c r="AP12" s="25">
        <f t="shared" si="7"/>
        <v>35.1</v>
      </c>
      <c r="AQ12" s="25">
        <v>7.1</v>
      </c>
      <c r="AR12" s="25">
        <v>68.2</v>
      </c>
      <c r="AS12" s="25">
        <v>36.9</v>
      </c>
      <c r="AT12" s="25">
        <v>60.2</v>
      </c>
      <c r="AU12" s="25">
        <f t="shared" si="8"/>
        <v>172.4</v>
      </c>
      <c r="AV12" s="25">
        <v>15.1</v>
      </c>
      <c r="AW12" s="19">
        <v>1384.177</v>
      </c>
      <c r="AX12" s="25">
        <v>3457.605</v>
      </c>
      <c r="AY12" s="19">
        <v>4841.781</v>
      </c>
      <c r="AZ12" s="25">
        <v>1010.844</v>
      </c>
      <c r="BA12" s="25">
        <v>5651.038</v>
      </c>
      <c r="BB12" s="25">
        <v>6661.882</v>
      </c>
      <c r="BC12" s="25">
        <f t="shared" si="9"/>
        <v>0.43761728663054</v>
      </c>
    </row>
    <row r="13" ht="14" spans="1:55">
      <c r="A13" s="29">
        <v>2022</v>
      </c>
      <c r="B13" s="29">
        <v>340000</v>
      </c>
      <c r="C13" s="30" t="s">
        <v>51</v>
      </c>
      <c r="D13" s="25">
        <v>0</v>
      </c>
      <c r="E13" s="25">
        <v>0</v>
      </c>
      <c r="F13" s="25">
        <v>1</v>
      </c>
      <c r="G13" s="25">
        <v>0</v>
      </c>
      <c r="H13" s="19">
        <v>57.941</v>
      </c>
      <c r="I13" s="19">
        <v>42.059</v>
      </c>
      <c r="J13" s="25">
        <v>5.249</v>
      </c>
      <c r="K13" s="25">
        <v>21.64</v>
      </c>
      <c r="L13" s="25">
        <f t="shared" si="0"/>
        <v>26.889</v>
      </c>
      <c r="M13" s="25">
        <v>40.094</v>
      </c>
      <c r="N13" s="25">
        <v>13.24</v>
      </c>
      <c r="O13" s="25">
        <v>10.047</v>
      </c>
      <c r="P13" s="25">
        <f t="shared" si="1"/>
        <v>63.381</v>
      </c>
      <c r="Q13" s="25">
        <v>8.833</v>
      </c>
      <c r="R13" s="19">
        <v>0.897</v>
      </c>
      <c r="S13" s="19">
        <f t="shared" si="2"/>
        <v>9.73</v>
      </c>
      <c r="T13" s="19">
        <v>790</v>
      </c>
      <c r="U13" s="19">
        <f t="shared" si="3"/>
        <v>0.248740554156171</v>
      </c>
      <c r="V13" s="19">
        <v>1020</v>
      </c>
      <c r="W13" s="19">
        <f t="shared" si="4"/>
        <v>0.321158690176322</v>
      </c>
      <c r="X13" s="19">
        <v>1366</v>
      </c>
      <c r="Y13" s="14">
        <f t="shared" si="5"/>
        <v>0.430100755667506</v>
      </c>
      <c r="Z13" s="14">
        <v>3176</v>
      </c>
      <c r="AA13" s="25">
        <v>2.3</v>
      </c>
      <c r="AB13" s="25">
        <v>11.9</v>
      </c>
      <c r="AC13" s="25">
        <v>141.4</v>
      </c>
      <c r="AD13" s="25">
        <v>9.7</v>
      </c>
      <c r="AE13" s="25">
        <v>93.9</v>
      </c>
      <c r="AF13" s="25">
        <v>26.1</v>
      </c>
      <c r="AG13" s="25">
        <v>11.7</v>
      </c>
      <c r="AH13" s="25">
        <v>19.1</v>
      </c>
      <c r="AI13" s="25">
        <v>11.7</v>
      </c>
      <c r="AJ13" s="25">
        <v>21.9</v>
      </c>
      <c r="AK13" s="25">
        <f t="shared" si="6"/>
        <v>90.5</v>
      </c>
      <c r="AL13" s="25">
        <v>23.9</v>
      </c>
      <c r="AM13" s="25">
        <v>6.2</v>
      </c>
      <c r="AN13" s="19">
        <v>2.7</v>
      </c>
      <c r="AO13" s="25">
        <v>3.6</v>
      </c>
      <c r="AP13" s="25">
        <f t="shared" si="7"/>
        <v>36.4</v>
      </c>
      <c r="AQ13" s="25">
        <v>8.9</v>
      </c>
      <c r="AR13" s="25">
        <v>68.9</v>
      </c>
      <c r="AS13" s="25">
        <v>37.4</v>
      </c>
      <c r="AT13" s="25">
        <v>60.2</v>
      </c>
      <c r="AU13" s="25">
        <f t="shared" si="8"/>
        <v>175.4</v>
      </c>
      <c r="AV13" s="25">
        <v>15.3</v>
      </c>
      <c r="AW13" s="19">
        <v>1580.923</v>
      </c>
      <c r="AX13" s="25">
        <v>3465.774</v>
      </c>
      <c r="AY13" s="19">
        <v>5046.696</v>
      </c>
      <c r="AZ13" s="25">
        <v>1063.307</v>
      </c>
      <c r="BA13" s="25">
        <v>5443.368</v>
      </c>
      <c r="BB13" s="25">
        <v>6506.675</v>
      </c>
      <c r="BC13" s="25">
        <f t="shared" si="9"/>
        <v>0.476676886161316</v>
      </c>
    </row>
    <row r="14" ht="14" spans="1:55">
      <c r="A14" s="29">
        <v>2013</v>
      </c>
      <c r="B14" s="29">
        <v>110000</v>
      </c>
      <c r="C14" s="30" t="s">
        <v>52</v>
      </c>
      <c r="D14" s="25">
        <v>0</v>
      </c>
      <c r="E14" s="25">
        <v>1</v>
      </c>
      <c r="F14" s="25">
        <v>0</v>
      </c>
      <c r="G14" s="25">
        <v>0</v>
      </c>
      <c r="H14" s="19">
        <v>58.4879999999998</v>
      </c>
      <c r="I14" s="19">
        <v>41.5120000000002</v>
      </c>
      <c r="J14" s="25">
        <v>0.337</v>
      </c>
      <c r="K14" s="25">
        <v>3.746</v>
      </c>
      <c r="L14" s="25">
        <f t="shared" si="0"/>
        <v>4.083</v>
      </c>
      <c r="M14" s="25">
        <v>22.627</v>
      </c>
      <c r="N14" s="25">
        <v>21.883</v>
      </c>
      <c r="O14" s="25">
        <v>18.289</v>
      </c>
      <c r="P14" s="25">
        <f t="shared" si="1"/>
        <v>62.799</v>
      </c>
      <c r="Q14" s="25">
        <v>26.031</v>
      </c>
      <c r="R14" s="19">
        <v>7.086</v>
      </c>
      <c r="S14" s="19">
        <f t="shared" si="2"/>
        <v>33.117</v>
      </c>
      <c r="T14" s="19">
        <v>55.4</v>
      </c>
      <c r="U14" s="19">
        <f t="shared" si="3"/>
        <v>0.0485539000876424</v>
      </c>
      <c r="V14" s="19">
        <v>210.9</v>
      </c>
      <c r="W14" s="19">
        <f t="shared" si="4"/>
        <v>0.184837861524978</v>
      </c>
      <c r="X14" s="19">
        <v>874.7</v>
      </c>
      <c r="Y14" s="14">
        <f t="shared" si="5"/>
        <v>0.76660823838738</v>
      </c>
      <c r="Z14" s="14">
        <v>1141</v>
      </c>
      <c r="AA14" s="25">
        <v>3.1</v>
      </c>
      <c r="AB14" s="25">
        <v>6.8</v>
      </c>
      <c r="AC14" s="25">
        <v>103.5</v>
      </c>
      <c r="AD14" s="25">
        <v>8.7</v>
      </c>
      <c r="AE14" s="25">
        <v>43.9</v>
      </c>
      <c r="AF14" s="25">
        <v>59.2</v>
      </c>
      <c r="AG14" s="25">
        <v>58.2</v>
      </c>
      <c r="AH14" s="25">
        <v>39.1</v>
      </c>
      <c r="AI14" s="25">
        <v>59.7</v>
      </c>
      <c r="AJ14" s="25">
        <v>66.2</v>
      </c>
      <c r="AK14" s="25">
        <f t="shared" si="6"/>
        <v>282.4</v>
      </c>
      <c r="AL14" s="25">
        <v>68.8</v>
      </c>
      <c r="AM14" s="25">
        <v>31</v>
      </c>
      <c r="AN14" s="19">
        <v>9.1</v>
      </c>
      <c r="AO14" s="25">
        <v>18.1</v>
      </c>
      <c r="AP14" s="25">
        <f t="shared" si="7"/>
        <v>127</v>
      </c>
      <c r="AQ14" s="25">
        <v>9.8</v>
      </c>
      <c r="AR14" s="25">
        <v>46.1</v>
      </c>
      <c r="AS14" s="25">
        <v>24.8</v>
      </c>
      <c r="AT14" s="25">
        <v>45.5</v>
      </c>
      <c r="AU14" s="25">
        <f t="shared" si="8"/>
        <v>126.2</v>
      </c>
      <c r="AV14" s="25">
        <v>40.6</v>
      </c>
      <c r="AW14" s="19">
        <v>1311.3</v>
      </c>
      <c r="AX14" s="25">
        <v>180.052</v>
      </c>
      <c r="AY14" s="19">
        <v>1491.352</v>
      </c>
      <c r="AZ14" s="25">
        <v>1354.767</v>
      </c>
      <c r="BA14" s="25">
        <v>160.098</v>
      </c>
      <c r="BB14" s="25">
        <v>1514.865</v>
      </c>
      <c r="BC14" s="25">
        <f t="shared" si="9"/>
        <v>1.77358461552165</v>
      </c>
    </row>
    <row r="15" ht="14" spans="1:55">
      <c r="A15" s="29">
        <v>2014</v>
      </c>
      <c r="B15" s="29">
        <v>110000</v>
      </c>
      <c r="C15" s="30" t="s">
        <v>52</v>
      </c>
      <c r="D15" s="25">
        <v>0</v>
      </c>
      <c r="E15" s="25">
        <v>1</v>
      </c>
      <c r="F15" s="25">
        <v>0</v>
      </c>
      <c r="G15" s="25">
        <v>0</v>
      </c>
      <c r="H15" s="19">
        <v>59.5</v>
      </c>
      <c r="I15" s="19">
        <v>40.5</v>
      </c>
      <c r="J15" s="25">
        <v>0.3</v>
      </c>
      <c r="K15" s="25">
        <v>3</v>
      </c>
      <c r="L15" s="25">
        <f t="shared" si="0"/>
        <v>3.3</v>
      </c>
      <c r="M15" s="25">
        <v>20.9</v>
      </c>
      <c r="N15" s="25">
        <v>19.9</v>
      </c>
      <c r="O15" s="25">
        <v>18.5</v>
      </c>
      <c r="P15" s="25">
        <f t="shared" si="1"/>
        <v>59.3</v>
      </c>
      <c r="Q15" s="25">
        <v>29.5</v>
      </c>
      <c r="R15" s="19">
        <v>7.9</v>
      </c>
      <c r="S15" s="19">
        <f t="shared" si="2"/>
        <v>37.4</v>
      </c>
      <c r="T15" s="19">
        <v>52.41</v>
      </c>
      <c r="U15" s="19">
        <f t="shared" si="3"/>
        <v>0.0453099334313132</v>
      </c>
      <c r="V15" s="19">
        <v>209.89</v>
      </c>
      <c r="W15" s="19">
        <f t="shared" si="4"/>
        <v>0.181455865825192</v>
      </c>
      <c r="X15" s="19">
        <v>894.39</v>
      </c>
      <c r="Y15" s="14">
        <f t="shared" si="5"/>
        <v>0.773225555459497</v>
      </c>
      <c r="Z15" s="14">
        <v>1156.7</v>
      </c>
      <c r="AA15" s="25">
        <v>3.2</v>
      </c>
      <c r="AB15" s="25">
        <v>6.1</v>
      </c>
      <c r="AC15" s="25">
        <v>100</v>
      </c>
      <c r="AD15" s="25">
        <v>8.2</v>
      </c>
      <c r="AE15" s="25">
        <v>45.6</v>
      </c>
      <c r="AF15" s="25">
        <v>60.2</v>
      </c>
      <c r="AG15" s="25">
        <v>61.1</v>
      </c>
      <c r="AH15" s="25">
        <v>43.2</v>
      </c>
      <c r="AI15" s="25">
        <v>59.8</v>
      </c>
      <c r="AJ15" s="25">
        <v>70.8</v>
      </c>
      <c r="AK15" s="25">
        <f t="shared" si="6"/>
        <v>295.1</v>
      </c>
      <c r="AL15" s="25">
        <v>72.3</v>
      </c>
      <c r="AM15" s="25">
        <v>30.3</v>
      </c>
      <c r="AN15" s="19">
        <v>8.8</v>
      </c>
      <c r="AO15" s="25">
        <v>17.4</v>
      </c>
      <c r="AP15" s="25">
        <f t="shared" si="7"/>
        <v>128.8</v>
      </c>
      <c r="AQ15" s="25">
        <v>9.9</v>
      </c>
      <c r="AR15" s="25">
        <v>45.8</v>
      </c>
      <c r="AS15" s="25">
        <v>25.4</v>
      </c>
      <c r="AT15" s="25">
        <v>46.7</v>
      </c>
      <c r="AU15" s="25">
        <f t="shared" si="8"/>
        <v>127.8</v>
      </c>
      <c r="AV15" s="25">
        <v>41</v>
      </c>
      <c r="AW15" s="19">
        <v>1392.6</v>
      </c>
      <c r="AX15" s="25">
        <v>186.3</v>
      </c>
      <c r="AY15" s="19">
        <v>1578.9</v>
      </c>
      <c r="AZ15" s="25">
        <v>1431.3</v>
      </c>
      <c r="BA15" s="25">
        <v>173</v>
      </c>
      <c r="BB15" s="25">
        <v>1604.3</v>
      </c>
      <c r="BC15" s="25">
        <f t="shared" ref="BC15:BC78" si="10">AW15/AY15+AZ15/BB15</f>
        <v>1.77417126727478</v>
      </c>
    </row>
    <row r="16" ht="14" spans="1:55">
      <c r="A16" s="29">
        <v>2015</v>
      </c>
      <c r="B16" s="29">
        <v>110000</v>
      </c>
      <c r="C16" s="30" t="s">
        <v>52</v>
      </c>
      <c r="D16" s="25">
        <v>0</v>
      </c>
      <c r="E16" s="25">
        <v>1</v>
      </c>
      <c r="F16" s="25">
        <v>0</v>
      </c>
      <c r="G16" s="25">
        <v>0</v>
      </c>
      <c r="H16" s="19">
        <v>60.512</v>
      </c>
      <c r="I16" s="19">
        <v>39.488</v>
      </c>
      <c r="J16" s="25">
        <v>0.197</v>
      </c>
      <c r="K16" s="25">
        <v>2.974</v>
      </c>
      <c r="L16" s="25">
        <f t="shared" si="0"/>
        <v>3.171</v>
      </c>
      <c r="M16" s="25">
        <v>21.48</v>
      </c>
      <c r="N16" s="25">
        <v>13.619</v>
      </c>
      <c r="O16" s="25">
        <v>19.775</v>
      </c>
      <c r="P16" s="25">
        <f t="shared" si="1"/>
        <v>54.874</v>
      </c>
      <c r="Q16" s="25">
        <v>26.761</v>
      </c>
      <c r="R16" s="19">
        <v>6.054</v>
      </c>
      <c r="S16" s="19">
        <f t="shared" si="2"/>
        <v>32.815</v>
      </c>
      <c r="T16" s="19">
        <v>50.3</v>
      </c>
      <c r="U16" s="19">
        <f t="shared" si="3"/>
        <v>0.0424078914088188</v>
      </c>
      <c r="V16" s="19">
        <v>200.8</v>
      </c>
      <c r="W16" s="19">
        <f t="shared" si="4"/>
        <v>0.169294325942163</v>
      </c>
      <c r="X16" s="19">
        <v>935</v>
      </c>
      <c r="Y16" s="14">
        <f t="shared" si="5"/>
        <v>0.788297782649018</v>
      </c>
      <c r="Z16" s="14">
        <v>1186.1</v>
      </c>
      <c r="AA16" s="25">
        <v>3.9</v>
      </c>
      <c r="AB16" s="25">
        <v>5.3</v>
      </c>
      <c r="AC16" s="25">
        <v>92.2</v>
      </c>
      <c r="AD16" s="25">
        <v>8.2</v>
      </c>
      <c r="AE16" s="25">
        <v>45.3</v>
      </c>
      <c r="AF16" s="25">
        <v>60</v>
      </c>
      <c r="AG16" s="25">
        <v>68</v>
      </c>
      <c r="AH16" s="25">
        <v>47.2</v>
      </c>
      <c r="AI16" s="25">
        <v>59.3</v>
      </c>
      <c r="AJ16" s="25">
        <v>80.1</v>
      </c>
      <c r="AK16" s="25">
        <f t="shared" si="6"/>
        <v>314.6</v>
      </c>
      <c r="AL16" s="25">
        <v>77.1</v>
      </c>
      <c r="AM16" s="25">
        <v>29.8</v>
      </c>
      <c r="AN16" s="19">
        <v>9</v>
      </c>
      <c r="AO16" s="25">
        <v>18.3</v>
      </c>
      <c r="AP16" s="25">
        <f t="shared" si="7"/>
        <v>134.2</v>
      </c>
      <c r="AQ16" s="25">
        <v>10.2</v>
      </c>
      <c r="AR16" s="25">
        <v>47.3</v>
      </c>
      <c r="AS16" s="25">
        <v>27.3</v>
      </c>
      <c r="AT16" s="25">
        <v>46.7</v>
      </c>
      <c r="AU16" s="25">
        <f t="shared" si="8"/>
        <v>131.5</v>
      </c>
      <c r="AV16" s="25">
        <v>42.2</v>
      </c>
      <c r="AW16" s="19">
        <v>1424.249</v>
      </c>
      <c r="AX16" s="25">
        <v>187.628</v>
      </c>
      <c r="AY16" s="19">
        <v>1611.876</v>
      </c>
      <c r="AZ16" s="25">
        <v>1475.658</v>
      </c>
      <c r="BA16" s="25">
        <v>180.961</v>
      </c>
      <c r="BB16" s="25">
        <v>1656.619</v>
      </c>
      <c r="BC16" s="25">
        <f t="shared" si="10"/>
        <v>1.77436199040272</v>
      </c>
    </row>
    <row r="17" ht="14" spans="1:55">
      <c r="A17" s="29">
        <v>2016</v>
      </c>
      <c r="B17" s="29">
        <v>110000</v>
      </c>
      <c r="C17" s="30" t="s">
        <v>52</v>
      </c>
      <c r="D17" s="25">
        <v>0</v>
      </c>
      <c r="E17" s="25">
        <v>1</v>
      </c>
      <c r="F17" s="25">
        <v>0</v>
      </c>
      <c r="G17" s="25">
        <v>0</v>
      </c>
      <c r="H17" s="19">
        <v>60.001</v>
      </c>
      <c r="I17" s="19">
        <v>39.999</v>
      </c>
      <c r="J17" s="25">
        <v>0.203</v>
      </c>
      <c r="K17" s="25">
        <v>2.399</v>
      </c>
      <c r="L17" s="25">
        <f t="shared" si="0"/>
        <v>2.602</v>
      </c>
      <c r="M17" s="25">
        <v>22.005</v>
      </c>
      <c r="N17" s="25">
        <v>12.112</v>
      </c>
      <c r="O17" s="25">
        <v>19.698</v>
      </c>
      <c r="P17" s="25">
        <f t="shared" si="1"/>
        <v>53.815</v>
      </c>
      <c r="Q17" s="25">
        <v>27.567</v>
      </c>
      <c r="R17" s="19">
        <v>6.788</v>
      </c>
      <c r="S17" s="19">
        <f t="shared" si="2"/>
        <v>34.355</v>
      </c>
      <c r="T17" s="19">
        <v>49.6</v>
      </c>
      <c r="U17" s="19">
        <f t="shared" si="3"/>
        <v>0.0406524055405295</v>
      </c>
      <c r="V17" s="19">
        <v>193</v>
      </c>
      <c r="W17" s="19">
        <f t="shared" si="4"/>
        <v>0.158183755429883</v>
      </c>
      <c r="X17" s="19">
        <v>977.5</v>
      </c>
      <c r="Y17" s="14">
        <f t="shared" si="5"/>
        <v>0.801163839029588</v>
      </c>
      <c r="Z17" s="14">
        <v>1220.1</v>
      </c>
      <c r="AA17" s="25">
        <v>3.7</v>
      </c>
      <c r="AB17" s="25">
        <v>4.5</v>
      </c>
      <c r="AC17" s="25">
        <v>86.9</v>
      </c>
      <c r="AD17" s="25">
        <v>9.1</v>
      </c>
      <c r="AE17" s="25">
        <v>45.9</v>
      </c>
      <c r="AF17" s="25">
        <v>58.2</v>
      </c>
      <c r="AG17" s="25">
        <v>69.2</v>
      </c>
      <c r="AH17" s="25">
        <v>51.4</v>
      </c>
      <c r="AI17" s="25">
        <v>69</v>
      </c>
      <c r="AJ17" s="25">
        <v>80.1</v>
      </c>
      <c r="AK17" s="25">
        <f t="shared" si="6"/>
        <v>327.9</v>
      </c>
      <c r="AL17" s="25">
        <v>78.4</v>
      </c>
      <c r="AM17" s="25">
        <v>29.4</v>
      </c>
      <c r="AN17" s="19">
        <v>8.6</v>
      </c>
      <c r="AO17" s="25">
        <v>18.7</v>
      </c>
      <c r="AP17" s="25">
        <f t="shared" si="7"/>
        <v>135.1</v>
      </c>
      <c r="AQ17" s="25">
        <v>10.3</v>
      </c>
      <c r="AR17" s="25">
        <v>48.6</v>
      </c>
      <c r="AS17" s="25">
        <v>28.6</v>
      </c>
      <c r="AT17" s="25">
        <v>47</v>
      </c>
      <c r="AU17" s="25">
        <f t="shared" si="8"/>
        <v>134.5</v>
      </c>
      <c r="AV17" s="25">
        <v>43.9</v>
      </c>
      <c r="AW17" s="19">
        <v>1546.64</v>
      </c>
      <c r="AX17" s="25">
        <v>215.729</v>
      </c>
      <c r="AY17" s="19">
        <v>1762.369</v>
      </c>
      <c r="AZ17" s="25">
        <v>1517.624</v>
      </c>
      <c r="BA17" s="25">
        <v>191.194</v>
      </c>
      <c r="BB17" s="25">
        <v>1708.818</v>
      </c>
      <c r="BC17" s="25">
        <f t="shared" si="10"/>
        <v>1.76570477325984</v>
      </c>
    </row>
    <row r="18" ht="14" spans="1:55">
      <c r="A18" s="29">
        <v>2017</v>
      </c>
      <c r="B18" s="29">
        <v>110000</v>
      </c>
      <c r="C18" s="30" t="s">
        <v>52</v>
      </c>
      <c r="D18" s="25">
        <v>0</v>
      </c>
      <c r="E18" s="25">
        <v>1</v>
      </c>
      <c r="F18" s="25">
        <v>0</v>
      </c>
      <c r="G18" s="25">
        <v>0</v>
      </c>
      <c r="H18" s="19">
        <v>58.755</v>
      </c>
      <c r="I18" s="19">
        <v>41.245</v>
      </c>
      <c r="J18" s="25">
        <v>0.139</v>
      </c>
      <c r="K18" s="25">
        <v>2.341</v>
      </c>
      <c r="L18" s="25">
        <f t="shared" si="0"/>
        <v>2.48</v>
      </c>
      <c r="M18" s="25">
        <v>20.7</v>
      </c>
      <c r="N18" s="25">
        <v>12.467</v>
      </c>
      <c r="O18" s="25">
        <v>18.232</v>
      </c>
      <c r="P18" s="25">
        <f t="shared" si="1"/>
        <v>51.399</v>
      </c>
      <c r="Q18" s="25">
        <v>30.386</v>
      </c>
      <c r="R18" s="19">
        <v>7.154</v>
      </c>
      <c r="S18" s="19">
        <f t="shared" si="2"/>
        <v>37.54</v>
      </c>
      <c r="T18" s="19">
        <v>48.8</v>
      </c>
      <c r="U18" s="19">
        <f t="shared" si="3"/>
        <v>0.0391417685983557</v>
      </c>
      <c r="V18" s="19">
        <v>192.81</v>
      </c>
      <c r="W18" s="19">
        <f t="shared" si="4"/>
        <v>0.15465009023461</v>
      </c>
      <c r="X18" s="19">
        <v>1005.2</v>
      </c>
      <c r="Y18" s="14">
        <f t="shared" si="5"/>
        <v>0.80625626629236</v>
      </c>
      <c r="Z18" s="14">
        <v>1246.75</v>
      </c>
      <c r="AA18" s="25">
        <v>3.4</v>
      </c>
      <c r="AB18" s="25">
        <v>4.1</v>
      </c>
      <c r="AC18" s="25">
        <v>82.4</v>
      </c>
      <c r="AD18" s="25">
        <v>9</v>
      </c>
      <c r="AE18" s="25">
        <v>46.6</v>
      </c>
      <c r="AF18" s="25">
        <v>57.7</v>
      </c>
      <c r="AG18" s="25">
        <v>77.4</v>
      </c>
      <c r="AH18" s="25">
        <v>54.4</v>
      </c>
      <c r="AI18" s="25">
        <v>71.2</v>
      </c>
      <c r="AJ18" s="25">
        <v>88.3</v>
      </c>
      <c r="AK18" s="25">
        <f t="shared" si="6"/>
        <v>349</v>
      </c>
      <c r="AL18" s="25">
        <v>76.8</v>
      </c>
      <c r="AM18" s="25">
        <v>31.1</v>
      </c>
      <c r="AN18" s="19">
        <v>8.6</v>
      </c>
      <c r="AO18" s="25">
        <v>19</v>
      </c>
      <c r="AP18" s="25">
        <f t="shared" si="7"/>
        <v>135.5</v>
      </c>
      <c r="AQ18" s="25">
        <v>10.7</v>
      </c>
      <c r="AR18" s="25">
        <v>50.6</v>
      </c>
      <c r="AS18" s="25">
        <v>29.3</v>
      </c>
      <c r="AT18" s="25">
        <v>47.8</v>
      </c>
      <c r="AU18" s="25">
        <f t="shared" si="8"/>
        <v>138.4</v>
      </c>
      <c r="AV18" s="25">
        <v>44.3</v>
      </c>
      <c r="AW18" s="19">
        <v>1604.49</v>
      </c>
      <c r="AX18" s="25">
        <v>213.119</v>
      </c>
      <c r="AY18" s="19">
        <v>1817.609</v>
      </c>
      <c r="AZ18" s="25">
        <v>1569.161</v>
      </c>
      <c r="BA18" s="25">
        <v>202.241</v>
      </c>
      <c r="BB18" s="25">
        <v>1771.402</v>
      </c>
      <c r="BC18" s="25">
        <f t="shared" si="10"/>
        <v>1.76857759063252</v>
      </c>
    </row>
    <row r="19" ht="14" spans="1:55">
      <c r="A19" s="29">
        <v>2018</v>
      </c>
      <c r="B19" s="29">
        <v>110000</v>
      </c>
      <c r="C19" s="30" t="s">
        <v>52</v>
      </c>
      <c r="D19" s="25">
        <v>0</v>
      </c>
      <c r="E19" s="25">
        <v>1</v>
      </c>
      <c r="F19" s="25">
        <v>0</v>
      </c>
      <c r="G19" s="25">
        <v>0</v>
      </c>
      <c r="H19" s="19">
        <v>58.451</v>
      </c>
      <c r="I19" s="19">
        <v>41.549</v>
      </c>
      <c r="J19" s="25">
        <v>0.211</v>
      </c>
      <c r="K19" s="25">
        <v>2.686</v>
      </c>
      <c r="L19" s="25">
        <f t="shared" si="0"/>
        <v>2.897</v>
      </c>
      <c r="M19" s="25">
        <v>19.911</v>
      </c>
      <c r="N19" s="25">
        <v>11.806</v>
      </c>
      <c r="O19" s="25">
        <v>17.934</v>
      </c>
      <c r="P19" s="25">
        <f t="shared" si="1"/>
        <v>49.651</v>
      </c>
      <c r="Q19" s="25">
        <v>31.57</v>
      </c>
      <c r="R19" s="19">
        <v>7.927</v>
      </c>
      <c r="S19" s="19">
        <f t="shared" si="2"/>
        <v>39.497</v>
      </c>
      <c r="T19" s="19">
        <v>45.4</v>
      </c>
      <c r="U19" s="19">
        <f t="shared" si="3"/>
        <v>0.0366779770560672</v>
      </c>
      <c r="V19" s="19">
        <v>182.2</v>
      </c>
      <c r="W19" s="19">
        <f t="shared" si="4"/>
        <v>0.147196639198578</v>
      </c>
      <c r="X19" s="19">
        <v>1010.2</v>
      </c>
      <c r="Y19" s="14">
        <f t="shared" si="5"/>
        <v>0.816125383745355</v>
      </c>
      <c r="Z19" s="14">
        <v>1237.8</v>
      </c>
      <c r="AA19" s="25">
        <v>2.7</v>
      </c>
      <c r="AB19" s="25">
        <v>3.6</v>
      </c>
      <c r="AC19" s="25">
        <v>74.4</v>
      </c>
      <c r="AD19" s="25">
        <v>9.7</v>
      </c>
      <c r="AE19" s="25">
        <v>47.8</v>
      </c>
      <c r="AF19" s="25">
        <v>60.2</v>
      </c>
      <c r="AG19" s="25">
        <v>84</v>
      </c>
      <c r="AH19" s="25">
        <v>54.7</v>
      </c>
      <c r="AI19" s="25">
        <v>71.7</v>
      </c>
      <c r="AJ19" s="25">
        <v>81.3</v>
      </c>
      <c r="AK19" s="25">
        <f t="shared" si="6"/>
        <v>351.9</v>
      </c>
      <c r="AL19" s="25">
        <v>73.6</v>
      </c>
      <c r="AM19" s="25">
        <v>31.2</v>
      </c>
      <c r="AN19" s="19">
        <v>11.4</v>
      </c>
      <c r="AO19" s="25">
        <v>19</v>
      </c>
      <c r="AP19" s="25">
        <f t="shared" si="7"/>
        <v>135.2</v>
      </c>
      <c r="AQ19" s="25">
        <v>12.2</v>
      </c>
      <c r="AR19" s="25">
        <v>55.8</v>
      </c>
      <c r="AS19" s="25">
        <v>30.5</v>
      </c>
      <c r="AT19" s="25">
        <v>48.2</v>
      </c>
      <c r="AU19" s="25">
        <f t="shared" si="8"/>
        <v>146.7</v>
      </c>
      <c r="AV19" s="25">
        <v>47.3</v>
      </c>
      <c r="AW19" s="19">
        <v>1685.78</v>
      </c>
      <c r="AX19" s="25">
        <v>208.993</v>
      </c>
      <c r="AY19" s="19">
        <v>1894.773</v>
      </c>
      <c r="AZ19" s="25">
        <v>1628.878</v>
      </c>
      <c r="BA19" s="25">
        <v>389.233</v>
      </c>
      <c r="BB19" s="25">
        <v>2018.111</v>
      </c>
      <c r="BC19" s="25">
        <f t="shared" si="10"/>
        <v>1.69683027775322</v>
      </c>
    </row>
    <row r="20" ht="14" spans="1:55">
      <c r="A20" s="29">
        <v>2019</v>
      </c>
      <c r="B20" s="29">
        <v>110000</v>
      </c>
      <c r="C20" s="30" t="s">
        <v>52</v>
      </c>
      <c r="D20" s="25">
        <v>0</v>
      </c>
      <c r="E20" s="25">
        <v>1</v>
      </c>
      <c r="F20" s="25">
        <v>0</v>
      </c>
      <c r="G20" s="25">
        <v>0</v>
      </c>
      <c r="H20" s="19">
        <v>55</v>
      </c>
      <c r="I20" s="19">
        <v>45</v>
      </c>
      <c r="J20" s="25">
        <v>0.2</v>
      </c>
      <c r="K20" s="25">
        <v>1.9</v>
      </c>
      <c r="L20" s="25">
        <f t="shared" si="0"/>
        <v>2.1</v>
      </c>
      <c r="M20" s="25">
        <v>17.4</v>
      </c>
      <c r="N20" s="25">
        <v>18.3</v>
      </c>
      <c r="O20" s="25">
        <v>21.5</v>
      </c>
      <c r="P20" s="25">
        <f t="shared" si="1"/>
        <v>57.2</v>
      </c>
      <c r="Q20" s="25">
        <v>31.1</v>
      </c>
      <c r="R20" s="19">
        <v>9.6</v>
      </c>
      <c r="S20" s="19">
        <f t="shared" si="2"/>
        <v>40.7</v>
      </c>
      <c r="T20" s="19">
        <v>42.2</v>
      </c>
      <c r="U20" s="19">
        <f t="shared" si="3"/>
        <v>0.0331500392772977</v>
      </c>
      <c r="V20" s="19">
        <v>172.5</v>
      </c>
      <c r="W20" s="19">
        <f t="shared" si="4"/>
        <v>0.135506677140613</v>
      </c>
      <c r="X20" s="19">
        <v>1058.1</v>
      </c>
      <c r="Y20" s="14">
        <f t="shared" si="5"/>
        <v>0.831186174391202</v>
      </c>
      <c r="Z20" s="14">
        <v>1273</v>
      </c>
      <c r="AA20" s="25">
        <v>0.4</v>
      </c>
      <c r="AB20" s="25">
        <v>3.2</v>
      </c>
      <c r="AC20" s="25">
        <v>65.4</v>
      </c>
      <c r="AD20" s="25">
        <v>9.6</v>
      </c>
      <c r="AE20" s="25">
        <v>45.1</v>
      </c>
      <c r="AF20" s="25">
        <v>59</v>
      </c>
      <c r="AG20" s="25">
        <v>85.9</v>
      </c>
      <c r="AH20" s="25">
        <v>64.5</v>
      </c>
      <c r="AI20" s="25">
        <v>68.9</v>
      </c>
      <c r="AJ20" s="25">
        <v>73.7</v>
      </c>
      <c r="AK20" s="25">
        <f t="shared" si="6"/>
        <v>352</v>
      </c>
      <c r="AL20" s="25">
        <v>59.6</v>
      </c>
      <c r="AM20" s="25">
        <v>30.5</v>
      </c>
      <c r="AN20" s="19">
        <v>6.8</v>
      </c>
      <c r="AO20" s="25">
        <v>18.6</v>
      </c>
      <c r="AP20" s="25">
        <f t="shared" si="7"/>
        <v>115.5</v>
      </c>
      <c r="AQ20" s="25">
        <v>12.4</v>
      </c>
      <c r="AR20" s="25">
        <v>57.6</v>
      </c>
      <c r="AS20" s="25">
        <v>32.5</v>
      </c>
      <c r="AT20" s="25">
        <v>50.2</v>
      </c>
      <c r="AU20" s="25">
        <f t="shared" si="8"/>
        <v>152.7</v>
      </c>
      <c r="AV20" s="25">
        <v>47.4</v>
      </c>
      <c r="AW20" s="19">
        <v>1748.2</v>
      </c>
      <c r="AX20" s="25">
        <v>204.7</v>
      </c>
      <c r="AY20" s="19">
        <v>1953</v>
      </c>
      <c r="AZ20" s="25">
        <v>1682.5</v>
      </c>
      <c r="BA20" s="25">
        <v>400.1</v>
      </c>
      <c r="BB20" s="25">
        <v>2082.7</v>
      </c>
      <c r="BC20" s="25">
        <f t="shared" si="10"/>
        <v>1.70298127374193</v>
      </c>
    </row>
    <row r="21" ht="14" spans="1:55">
      <c r="A21" s="29">
        <v>2020</v>
      </c>
      <c r="B21" s="29">
        <v>110000</v>
      </c>
      <c r="C21" s="30" t="s">
        <v>52</v>
      </c>
      <c r="D21" s="25">
        <v>0</v>
      </c>
      <c r="E21" s="25">
        <v>1</v>
      </c>
      <c r="F21" s="25">
        <v>0</v>
      </c>
      <c r="G21" s="25">
        <v>0</v>
      </c>
      <c r="H21" s="19">
        <v>55.3</v>
      </c>
      <c r="I21" s="19">
        <v>44.7</v>
      </c>
      <c r="J21" s="25">
        <v>0.2</v>
      </c>
      <c r="K21" s="25">
        <v>1.9</v>
      </c>
      <c r="L21" s="25">
        <f t="shared" si="0"/>
        <v>2.1</v>
      </c>
      <c r="M21" s="25">
        <v>18.2</v>
      </c>
      <c r="N21" s="25">
        <v>16.8</v>
      </c>
      <c r="O21" s="25">
        <v>19.2</v>
      </c>
      <c r="P21" s="25">
        <f t="shared" si="1"/>
        <v>54.2</v>
      </c>
      <c r="Q21" s="25">
        <v>33.5</v>
      </c>
      <c r="R21" s="19">
        <v>10.3</v>
      </c>
      <c r="S21" s="19">
        <f t="shared" si="2"/>
        <v>43.8</v>
      </c>
      <c r="T21" s="19">
        <v>28</v>
      </c>
      <c r="U21" s="19">
        <f t="shared" si="3"/>
        <v>0.0240549828178694</v>
      </c>
      <c r="V21" s="19">
        <v>194</v>
      </c>
      <c r="W21" s="19">
        <f t="shared" si="4"/>
        <v>0.166666666666667</v>
      </c>
      <c r="X21" s="19">
        <v>942</v>
      </c>
      <c r="Y21" s="14">
        <f t="shared" si="5"/>
        <v>0.809278350515464</v>
      </c>
      <c r="Z21" s="14">
        <v>1164</v>
      </c>
      <c r="AA21" s="25">
        <v>1.2</v>
      </c>
      <c r="AB21" s="25">
        <v>3.1</v>
      </c>
      <c r="AC21" s="25">
        <v>59.8</v>
      </c>
      <c r="AD21" s="25">
        <v>9.5</v>
      </c>
      <c r="AE21" s="25">
        <v>45.4</v>
      </c>
      <c r="AF21" s="25">
        <v>56</v>
      </c>
      <c r="AG21" s="25">
        <v>92.3</v>
      </c>
      <c r="AH21" s="25">
        <v>62.8</v>
      </c>
      <c r="AI21" s="25">
        <v>58.2</v>
      </c>
      <c r="AJ21" s="25">
        <v>62.3</v>
      </c>
      <c r="AK21" s="25">
        <f t="shared" si="6"/>
        <v>331.6</v>
      </c>
      <c r="AL21" s="25">
        <v>52.9</v>
      </c>
      <c r="AM21" s="25">
        <v>26.8</v>
      </c>
      <c r="AN21" s="19">
        <v>5.9</v>
      </c>
      <c r="AO21" s="25">
        <v>17.9</v>
      </c>
      <c r="AP21" s="25">
        <f t="shared" si="7"/>
        <v>103.5</v>
      </c>
      <c r="AQ21" s="25">
        <v>11.6</v>
      </c>
      <c r="AR21" s="25">
        <v>58</v>
      </c>
      <c r="AS21" s="25">
        <v>31.6</v>
      </c>
      <c r="AT21" s="25">
        <v>39.7</v>
      </c>
      <c r="AU21" s="25">
        <f t="shared" si="8"/>
        <v>140.9</v>
      </c>
      <c r="AV21" s="25">
        <v>45</v>
      </c>
      <c r="AW21" s="19">
        <v>1777.8</v>
      </c>
      <c r="AX21" s="25">
        <v>200.8</v>
      </c>
      <c r="AY21" s="19">
        <v>1978.6</v>
      </c>
      <c r="AZ21" s="25">
        <v>1741.6</v>
      </c>
      <c r="BA21" s="25">
        <v>398.3</v>
      </c>
      <c r="BB21" s="25">
        <v>2139.9</v>
      </c>
      <c r="BC21" s="25">
        <f t="shared" si="10"/>
        <v>1.71238390787974</v>
      </c>
    </row>
    <row r="22" ht="14" spans="1:55">
      <c r="A22" s="29">
        <v>2021</v>
      </c>
      <c r="B22" s="29">
        <v>110000</v>
      </c>
      <c r="C22" s="30" t="s">
        <v>52</v>
      </c>
      <c r="D22" s="25">
        <v>0</v>
      </c>
      <c r="E22" s="25">
        <v>1</v>
      </c>
      <c r="F22" s="25">
        <v>0</v>
      </c>
      <c r="G22" s="25">
        <v>0</v>
      </c>
      <c r="H22" s="19">
        <v>57.569</v>
      </c>
      <c r="I22" s="19">
        <v>42.431</v>
      </c>
      <c r="J22" s="25">
        <v>0.228</v>
      </c>
      <c r="K22" s="25">
        <v>2.612</v>
      </c>
      <c r="L22" s="25">
        <f t="shared" si="0"/>
        <v>2.84</v>
      </c>
      <c r="M22" s="25">
        <v>18.015</v>
      </c>
      <c r="N22" s="25">
        <v>16.383</v>
      </c>
      <c r="O22" s="25">
        <v>19.036</v>
      </c>
      <c r="P22" s="25">
        <f t="shared" si="1"/>
        <v>53.434</v>
      </c>
      <c r="Q22" s="25">
        <v>31.752</v>
      </c>
      <c r="R22" s="19">
        <v>11.974</v>
      </c>
      <c r="S22" s="19">
        <f t="shared" si="2"/>
        <v>43.726</v>
      </c>
      <c r="T22" s="19">
        <v>27</v>
      </c>
      <c r="U22" s="19">
        <f t="shared" si="3"/>
        <v>0.0233160621761658</v>
      </c>
      <c r="V22" s="19">
        <v>193</v>
      </c>
      <c r="W22" s="19">
        <f t="shared" si="4"/>
        <v>0.166666666666667</v>
      </c>
      <c r="X22" s="19">
        <v>938</v>
      </c>
      <c r="Y22" s="14">
        <f t="shared" si="5"/>
        <v>0.810017271157167</v>
      </c>
      <c r="Z22" s="14">
        <v>1158</v>
      </c>
      <c r="AA22" s="25">
        <v>1.5</v>
      </c>
      <c r="AB22" s="25">
        <v>2.8</v>
      </c>
      <c r="AC22" s="25">
        <v>59.8</v>
      </c>
      <c r="AD22" s="25">
        <v>9.5</v>
      </c>
      <c r="AE22" s="25">
        <v>46.2</v>
      </c>
      <c r="AF22" s="25">
        <v>54.9</v>
      </c>
      <c r="AG22" s="25">
        <v>101.2</v>
      </c>
      <c r="AH22" s="25">
        <v>61.1</v>
      </c>
      <c r="AI22" s="25">
        <v>61.2</v>
      </c>
      <c r="AJ22" s="25">
        <v>68.5</v>
      </c>
      <c r="AK22" s="25">
        <f t="shared" si="6"/>
        <v>346.9</v>
      </c>
      <c r="AL22" s="25">
        <v>52.4</v>
      </c>
      <c r="AM22" s="25">
        <v>28.3</v>
      </c>
      <c r="AN22" s="19">
        <v>5.8</v>
      </c>
      <c r="AO22" s="25">
        <v>19.2</v>
      </c>
      <c r="AP22" s="25">
        <f t="shared" si="7"/>
        <v>105.7</v>
      </c>
      <c r="AQ22" s="25">
        <v>12</v>
      </c>
      <c r="AR22" s="25">
        <v>52.5</v>
      </c>
      <c r="AS22" s="25">
        <v>32.9</v>
      </c>
      <c r="AT22" s="25">
        <v>43.6</v>
      </c>
      <c r="AU22" s="25">
        <f t="shared" si="8"/>
        <v>141</v>
      </c>
      <c r="AV22" s="25">
        <v>46</v>
      </c>
      <c r="AW22" s="19">
        <v>1826.758</v>
      </c>
      <c r="AX22" s="25">
        <v>192.425</v>
      </c>
      <c r="AY22" s="19">
        <v>2019.184</v>
      </c>
      <c r="AZ22" s="25">
        <v>1486.048</v>
      </c>
      <c r="BA22" s="25">
        <v>400.849</v>
      </c>
      <c r="BB22" s="25">
        <v>1886.896</v>
      </c>
      <c r="BC22" s="25">
        <f t="shared" si="10"/>
        <v>1.69226332556727</v>
      </c>
    </row>
    <row r="23" ht="14" spans="1:55">
      <c r="A23" s="29">
        <v>2022</v>
      </c>
      <c r="B23" s="29">
        <v>110000</v>
      </c>
      <c r="C23" s="30" t="s">
        <v>52</v>
      </c>
      <c r="D23" s="25">
        <v>0</v>
      </c>
      <c r="E23" s="25">
        <v>1</v>
      </c>
      <c r="F23" s="25">
        <v>0</v>
      </c>
      <c r="G23" s="25">
        <v>0</v>
      </c>
      <c r="H23" s="19">
        <v>57.478</v>
      </c>
      <c r="I23" s="19">
        <v>42.522</v>
      </c>
      <c r="J23" s="25">
        <v>0.225</v>
      </c>
      <c r="K23" s="25">
        <v>3.125</v>
      </c>
      <c r="L23" s="25">
        <f t="shared" si="0"/>
        <v>3.35</v>
      </c>
      <c r="M23" s="25">
        <v>16.922</v>
      </c>
      <c r="N23" s="25">
        <v>14.387</v>
      </c>
      <c r="O23" s="25">
        <v>18.433</v>
      </c>
      <c r="P23" s="25">
        <f t="shared" si="1"/>
        <v>49.742</v>
      </c>
      <c r="Q23" s="25">
        <v>35.326</v>
      </c>
      <c r="R23" s="19">
        <v>11.582</v>
      </c>
      <c r="S23" s="19">
        <f t="shared" si="2"/>
        <v>46.908</v>
      </c>
      <c r="T23" s="19">
        <v>25</v>
      </c>
      <c r="U23" s="19">
        <f t="shared" si="3"/>
        <v>0.0220848056537102</v>
      </c>
      <c r="V23" s="19">
        <v>186</v>
      </c>
      <c r="W23" s="19">
        <f t="shared" si="4"/>
        <v>0.164310954063604</v>
      </c>
      <c r="X23" s="19">
        <v>921</v>
      </c>
      <c r="Y23" s="14">
        <f t="shared" si="5"/>
        <v>0.813604240282686</v>
      </c>
      <c r="Z23" s="14">
        <v>1132</v>
      </c>
      <c r="AA23" s="25">
        <v>1.5</v>
      </c>
      <c r="AB23" s="25">
        <v>2.6</v>
      </c>
      <c r="AC23" s="25">
        <v>57.4</v>
      </c>
      <c r="AD23" s="25">
        <v>9.3</v>
      </c>
      <c r="AE23" s="25">
        <v>44.9</v>
      </c>
      <c r="AF23" s="25">
        <v>52.4</v>
      </c>
      <c r="AG23" s="25">
        <v>100.9</v>
      </c>
      <c r="AH23" s="25">
        <v>58.6</v>
      </c>
      <c r="AI23" s="25">
        <v>62.4</v>
      </c>
      <c r="AJ23" s="25">
        <v>70.2</v>
      </c>
      <c r="AK23" s="25">
        <f t="shared" si="6"/>
        <v>344.5</v>
      </c>
      <c r="AL23" s="25">
        <v>50.8</v>
      </c>
      <c r="AM23" s="25">
        <v>27.2</v>
      </c>
      <c r="AN23" s="19">
        <v>5.9</v>
      </c>
      <c r="AO23" s="25">
        <v>18.6</v>
      </c>
      <c r="AP23" s="25">
        <f t="shared" si="7"/>
        <v>102.5</v>
      </c>
      <c r="AQ23" s="25">
        <v>11.4</v>
      </c>
      <c r="AR23" s="25">
        <v>49</v>
      </c>
      <c r="AS23" s="25">
        <v>35.5</v>
      </c>
      <c r="AT23" s="25">
        <v>43.3</v>
      </c>
      <c r="AU23" s="25">
        <f t="shared" si="8"/>
        <v>139.2</v>
      </c>
      <c r="AV23" s="25">
        <v>45.2</v>
      </c>
      <c r="AW23" s="19">
        <v>1867.836</v>
      </c>
      <c r="AX23" s="25">
        <v>188.262</v>
      </c>
      <c r="AY23" s="19">
        <v>2056.097</v>
      </c>
      <c r="AZ23" s="25">
        <v>1496.16</v>
      </c>
      <c r="BA23" s="25">
        <v>404.31</v>
      </c>
      <c r="BB23" s="25">
        <v>1900.47</v>
      </c>
      <c r="BC23" s="25">
        <f t="shared" si="10"/>
        <v>1.69569557441414</v>
      </c>
    </row>
    <row r="24" ht="14" spans="1:55">
      <c r="A24" s="29">
        <v>2013</v>
      </c>
      <c r="B24" s="29">
        <v>350000</v>
      </c>
      <c r="C24" s="30" t="s">
        <v>53</v>
      </c>
      <c r="D24" s="25">
        <v>0</v>
      </c>
      <c r="E24" s="25">
        <v>1</v>
      </c>
      <c r="F24" s="25">
        <v>0</v>
      </c>
      <c r="G24" s="25">
        <v>0</v>
      </c>
      <c r="H24" s="19">
        <v>58.0409999999999</v>
      </c>
      <c r="I24" s="19">
        <v>41.9590000000001</v>
      </c>
      <c r="J24" s="25">
        <v>1.811</v>
      </c>
      <c r="K24" s="25">
        <v>21.847</v>
      </c>
      <c r="L24" s="25">
        <f t="shared" si="0"/>
        <v>23.658</v>
      </c>
      <c r="M24" s="25">
        <v>41.752</v>
      </c>
      <c r="N24" s="25">
        <v>17.529</v>
      </c>
      <c r="O24" s="25">
        <v>9.234</v>
      </c>
      <c r="P24" s="25">
        <f t="shared" si="1"/>
        <v>68.515</v>
      </c>
      <c r="Q24" s="25">
        <v>7.387</v>
      </c>
      <c r="R24" s="19">
        <v>0.44</v>
      </c>
      <c r="S24" s="19">
        <f t="shared" si="2"/>
        <v>7.827</v>
      </c>
      <c r="T24" s="19">
        <v>511</v>
      </c>
      <c r="U24" s="19">
        <f t="shared" si="3"/>
        <v>0.231221719457014</v>
      </c>
      <c r="V24" s="19">
        <v>864</v>
      </c>
      <c r="W24" s="19">
        <f t="shared" si="4"/>
        <v>0.390950226244344</v>
      </c>
      <c r="X24" s="19">
        <v>835</v>
      </c>
      <c r="Y24" s="14">
        <f t="shared" si="5"/>
        <v>0.377828054298643</v>
      </c>
      <c r="Z24" s="14">
        <v>2210</v>
      </c>
      <c r="AA24" s="25">
        <v>4.5</v>
      </c>
      <c r="AB24" s="25">
        <v>2.8</v>
      </c>
      <c r="AC24" s="25">
        <v>252.6</v>
      </c>
      <c r="AD24" s="25">
        <v>8.9</v>
      </c>
      <c r="AE24" s="25">
        <v>146.2</v>
      </c>
      <c r="AF24" s="25">
        <v>24.3</v>
      </c>
      <c r="AG24" s="25">
        <v>7</v>
      </c>
      <c r="AH24" s="25">
        <v>15.1</v>
      </c>
      <c r="AI24" s="25">
        <v>7.7</v>
      </c>
      <c r="AJ24" s="25">
        <v>11.4</v>
      </c>
      <c r="AK24" s="25">
        <f t="shared" si="6"/>
        <v>65.5</v>
      </c>
      <c r="AL24" s="25">
        <v>26.4</v>
      </c>
      <c r="AM24" s="25">
        <v>9.8</v>
      </c>
      <c r="AN24" s="19">
        <v>1.4</v>
      </c>
      <c r="AO24" s="25">
        <v>4</v>
      </c>
      <c r="AP24" s="25">
        <f t="shared" si="7"/>
        <v>41.6</v>
      </c>
      <c r="AQ24" s="25">
        <v>5.5</v>
      </c>
      <c r="AR24" s="25">
        <v>48.2</v>
      </c>
      <c r="AS24" s="25">
        <v>19.8</v>
      </c>
      <c r="AT24" s="25">
        <v>35.9</v>
      </c>
      <c r="AU24" s="25">
        <f t="shared" si="8"/>
        <v>109.4</v>
      </c>
      <c r="AV24" s="25">
        <v>12.6</v>
      </c>
      <c r="AW24" s="19">
        <v>812.82</v>
      </c>
      <c r="AX24" s="25">
        <v>1467.162</v>
      </c>
      <c r="AY24" s="19">
        <v>2279.983</v>
      </c>
      <c r="AZ24" s="25">
        <v>703.003</v>
      </c>
      <c r="BA24" s="25">
        <v>580.782</v>
      </c>
      <c r="BB24" s="25">
        <v>1283.785</v>
      </c>
      <c r="BC24" s="25">
        <f t="shared" si="10"/>
        <v>0.90410447619529</v>
      </c>
    </row>
    <row r="25" ht="14" spans="1:55">
      <c r="A25" s="29">
        <v>2014</v>
      </c>
      <c r="B25" s="29">
        <v>350000</v>
      </c>
      <c r="C25" s="30" t="s">
        <v>53</v>
      </c>
      <c r="D25" s="25">
        <v>0</v>
      </c>
      <c r="E25" s="25">
        <v>1</v>
      </c>
      <c r="F25" s="25">
        <v>0</v>
      </c>
      <c r="G25" s="25">
        <v>0</v>
      </c>
      <c r="H25" s="19">
        <v>58.4</v>
      </c>
      <c r="I25" s="19">
        <v>41.6</v>
      </c>
      <c r="J25" s="25">
        <v>1.5</v>
      </c>
      <c r="K25" s="25">
        <v>20.1</v>
      </c>
      <c r="L25" s="25">
        <f t="shared" si="0"/>
        <v>21.6</v>
      </c>
      <c r="M25" s="25">
        <v>42.7</v>
      </c>
      <c r="N25" s="25">
        <v>17.7</v>
      </c>
      <c r="O25" s="25">
        <v>9.9</v>
      </c>
      <c r="P25" s="25">
        <f t="shared" si="1"/>
        <v>70.3</v>
      </c>
      <c r="Q25" s="25">
        <v>7.6</v>
      </c>
      <c r="R25" s="19">
        <v>0.5</v>
      </c>
      <c r="S25" s="19">
        <f t="shared" si="2"/>
        <v>8.1</v>
      </c>
      <c r="T25" s="19">
        <v>493</v>
      </c>
      <c r="U25" s="19">
        <f t="shared" si="3"/>
        <v>0.222172149616945</v>
      </c>
      <c r="V25" s="19">
        <v>848</v>
      </c>
      <c r="W25" s="19">
        <f t="shared" si="4"/>
        <v>0.382154123479045</v>
      </c>
      <c r="X25" s="19">
        <v>879</v>
      </c>
      <c r="Y25" s="14">
        <f t="shared" si="5"/>
        <v>0.39612438035151</v>
      </c>
      <c r="Z25" s="14">
        <v>2219</v>
      </c>
      <c r="AA25" s="25">
        <v>4.5</v>
      </c>
      <c r="AB25" s="25">
        <v>2.5</v>
      </c>
      <c r="AC25" s="25">
        <v>245.3</v>
      </c>
      <c r="AD25" s="25">
        <v>9.1</v>
      </c>
      <c r="AE25" s="25">
        <v>154.8</v>
      </c>
      <c r="AF25" s="25">
        <v>24</v>
      </c>
      <c r="AG25" s="25">
        <v>7.1</v>
      </c>
      <c r="AH25" s="25">
        <v>16.5</v>
      </c>
      <c r="AI25" s="25">
        <v>8.5</v>
      </c>
      <c r="AJ25" s="25">
        <v>11.7</v>
      </c>
      <c r="AK25" s="25">
        <f t="shared" si="6"/>
        <v>67.8</v>
      </c>
      <c r="AL25" s="25">
        <v>27</v>
      </c>
      <c r="AM25" s="25">
        <v>9.9</v>
      </c>
      <c r="AN25" s="19">
        <v>1.5</v>
      </c>
      <c r="AO25" s="25">
        <v>4</v>
      </c>
      <c r="AP25" s="25">
        <f t="shared" si="7"/>
        <v>42.4</v>
      </c>
      <c r="AQ25" s="25">
        <v>5.8</v>
      </c>
      <c r="AR25" s="25">
        <v>50.1</v>
      </c>
      <c r="AS25" s="25">
        <v>21</v>
      </c>
      <c r="AT25" s="25">
        <v>37</v>
      </c>
      <c r="AU25" s="25">
        <f t="shared" si="8"/>
        <v>113.9</v>
      </c>
      <c r="AV25" s="25">
        <v>14.3</v>
      </c>
      <c r="AW25" s="19">
        <v>848.3</v>
      </c>
      <c r="AX25" s="25">
        <v>1473</v>
      </c>
      <c r="AY25" s="19">
        <v>2321.3</v>
      </c>
      <c r="AZ25" s="25">
        <v>737.3</v>
      </c>
      <c r="BA25" s="25">
        <v>555.7</v>
      </c>
      <c r="BB25" s="25">
        <v>1293</v>
      </c>
      <c r="BC25" s="25">
        <f t="shared" si="10"/>
        <v>0.935666062923311</v>
      </c>
    </row>
    <row r="26" ht="14" spans="1:55">
      <c r="A26" s="29">
        <v>2015</v>
      </c>
      <c r="B26" s="29">
        <v>350000</v>
      </c>
      <c r="C26" s="30" t="s">
        <v>53</v>
      </c>
      <c r="D26" s="25">
        <v>0</v>
      </c>
      <c r="E26" s="25">
        <v>1</v>
      </c>
      <c r="F26" s="25">
        <v>0</v>
      </c>
      <c r="G26" s="25">
        <v>0</v>
      </c>
      <c r="H26" s="19">
        <v>58.759</v>
      </c>
      <c r="I26" s="19">
        <v>41.241</v>
      </c>
      <c r="J26" s="25">
        <v>2.971</v>
      </c>
      <c r="K26" s="25">
        <v>20.306</v>
      </c>
      <c r="L26" s="25">
        <f t="shared" si="0"/>
        <v>23.277</v>
      </c>
      <c r="M26" s="25">
        <v>40.967</v>
      </c>
      <c r="N26" s="25">
        <v>11.226</v>
      </c>
      <c r="O26" s="25">
        <v>8.8</v>
      </c>
      <c r="P26" s="25">
        <f t="shared" si="1"/>
        <v>60.993</v>
      </c>
      <c r="Q26" s="25">
        <v>8.452</v>
      </c>
      <c r="R26" s="19">
        <v>0.6</v>
      </c>
      <c r="S26" s="19">
        <f t="shared" si="2"/>
        <v>9.052</v>
      </c>
      <c r="T26" s="19">
        <v>480</v>
      </c>
      <c r="U26" s="19">
        <f t="shared" si="3"/>
        <v>0.212860310421286</v>
      </c>
      <c r="V26" s="19">
        <v>837</v>
      </c>
      <c r="W26" s="19">
        <f t="shared" si="4"/>
        <v>0.371175166297117</v>
      </c>
      <c r="X26" s="19">
        <v>938</v>
      </c>
      <c r="Y26" s="14">
        <f t="shared" si="5"/>
        <v>0.415964523281596</v>
      </c>
      <c r="Z26" s="14">
        <v>2255</v>
      </c>
      <c r="AA26" s="25">
        <v>4.5</v>
      </c>
      <c r="AB26" s="25">
        <v>2.5</v>
      </c>
      <c r="AC26" s="25">
        <v>235.5</v>
      </c>
      <c r="AD26" s="25">
        <v>9</v>
      </c>
      <c r="AE26" s="25">
        <v>162.9</v>
      </c>
      <c r="AF26" s="25">
        <v>24.5</v>
      </c>
      <c r="AG26" s="25">
        <v>9</v>
      </c>
      <c r="AH26" s="25">
        <v>17.9</v>
      </c>
      <c r="AI26" s="25">
        <v>8.6</v>
      </c>
      <c r="AJ26" s="25">
        <v>12.6</v>
      </c>
      <c r="AK26" s="25">
        <f t="shared" si="6"/>
        <v>72.6</v>
      </c>
      <c r="AL26" s="25">
        <v>28.4</v>
      </c>
      <c r="AM26" s="25">
        <v>9.8</v>
      </c>
      <c r="AN26" s="19">
        <v>1.8</v>
      </c>
      <c r="AO26" s="25">
        <v>4.3</v>
      </c>
      <c r="AP26" s="25">
        <f t="shared" si="7"/>
        <v>44.3</v>
      </c>
      <c r="AQ26" s="25">
        <v>5.5</v>
      </c>
      <c r="AR26" s="25">
        <v>50.3</v>
      </c>
      <c r="AS26" s="25">
        <v>21.6</v>
      </c>
      <c r="AT26" s="25">
        <v>39.2</v>
      </c>
      <c r="AU26" s="25">
        <f t="shared" si="8"/>
        <v>116.6</v>
      </c>
      <c r="AV26" s="25">
        <v>15.3</v>
      </c>
      <c r="AW26" s="19">
        <v>883.666</v>
      </c>
      <c r="AX26" s="25">
        <v>1480.413</v>
      </c>
      <c r="AY26" s="19">
        <v>2364.079</v>
      </c>
      <c r="AZ26" s="25">
        <v>759.377</v>
      </c>
      <c r="BA26" s="25">
        <v>541.861</v>
      </c>
      <c r="BB26" s="25">
        <v>1301.238</v>
      </c>
      <c r="BC26" s="25">
        <f t="shared" si="10"/>
        <v>0.95736909892334</v>
      </c>
    </row>
    <row r="27" ht="14" spans="1:55">
      <c r="A27" s="29">
        <v>2016</v>
      </c>
      <c r="B27" s="29">
        <v>350000</v>
      </c>
      <c r="C27" s="30" t="s">
        <v>53</v>
      </c>
      <c r="D27" s="25">
        <v>0</v>
      </c>
      <c r="E27" s="25">
        <v>1</v>
      </c>
      <c r="F27" s="25">
        <v>0</v>
      </c>
      <c r="G27" s="25">
        <v>0</v>
      </c>
      <c r="H27" s="19">
        <v>59.291</v>
      </c>
      <c r="I27" s="19">
        <v>40.709</v>
      </c>
      <c r="J27" s="25">
        <v>2.721</v>
      </c>
      <c r="K27" s="25">
        <v>21.552</v>
      </c>
      <c r="L27" s="25">
        <f t="shared" si="0"/>
        <v>24.273</v>
      </c>
      <c r="M27" s="25">
        <v>38.805</v>
      </c>
      <c r="N27" s="25">
        <v>11.341</v>
      </c>
      <c r="O27" s="25">
        <v>9.415</v>
      </c>
      <c r="P27" s="25">
        <f t="shared" si="1"/>
        <v>59.561</v>
      </c>
      <c r="Q27" s="25">
        <v>8.747</v>
      </c>
      <c r="R27" s="19">
        <v>0.648</v>
      </c>
      <c r="S27" s="19">
        <f t="shared" si="2"/>
        <v>9.395</v>
      </c>
      <c r="T27" s="19">
        <v>450</v>
      </c>
      <c r="U27" s="19">
        <f t="shared" si="3"/>
        <v>0.20017793594306</v>
      </c>
      <c r="V27" s="19">
        <v>821</v>
      </c>
      <c r="W27" s="19">
        <f t="shared" si="4"/>
        <v>0.365213523131673</v>
      </c>
      <c r="X27" s="19">
        <v>978</v>
      </c>
      <c r="Y27" s="14">
        <f t="shared" si="5"/>
        <v>0.435053380782918</v>
      </c>
      <c r="Z27" s="14">
        <v>2248</v>
      </c>
      <c r="AA27" s="25">
        <v>4.3</v>
      </c>
      <c r="AB27" s="25">
        <v>2.1</v>
      </c>
      <c r="AC27" s="25">
        <v>228.3</v>
      </c>
      <c r="AD27" s="25">
        <v>9.1</v>
      </c>
      <c r="AE27" s="25">
        <v>168.5</v>
      </c>
      <c r="AF27" s="25">
        <v>23.4</v>
      </c>
      <c r="AG27" s="25">
        <v>9.1</v>
      </c>
      <c r="AH27" s="25">
        <v>19.6</v>
      </c>
      <c r="AI27" s="25">
        <v>8.7</v>
      </c>
      <c r="AJ27" s="25">
        <v>14.5</v>
      </c>
      <c r="AK27" s="25">
        <f t="shared" si="6"/>
        <v>75.3</v>
      </c>
      <c r="AL27" s="25">
        <v>27.8</v>
      </c>
      <c r="AM27" s="25">
        <v>9.8</v>
      </c>
      <c r="AN27" s="19">
        <v>2.7</v>
      </c>
      <c r="AO27" s="25">
        <v>4.2</v>
      </c>
      <c r="AP27" s="25">
        <f t="shared" si="7"/>
        <v>44.5</v>
      </c>
      <c r="AQ27" s="25">
        <v>5.6</v>
      </c>
      <c r="AR27" s="25">
        <v>52.1</v>
      </c>
      <c r="AS27" s="25">
        <v>22.8</v>
      </c>
      <c r="AT27" s="25">
        <v>40.5</v>
      </c>
      <c r="AU27" s="25">
        <f t="shared" si="8"/>
        <v>121</v>
      </c>
      <c r="AV27" s="25">
        <v>15.6</v>
      </c>
      <c r="AW27" s="19">
        <v>979.765</v>
      </c>
      <c r="AX27" s="25">
        <v>1489.105</v>
      </c>
      <c r="AY27" s="19">
        <v>2468.87</v>
      </c>
      <c r="AZ27" s="25">
        <v>792.119</v>
      </c>
      <c r="BA27" s="25">
        <v>505.78</v>
      </c>
      <c r="BB27" s="25">
        <v>1297.899</v>
      </c>
      <c r="BC27" s="25">
        <f t="shared" si="10"/>
        <v>1.00715620601941</v>
      </c>
    </row>
    <row r="28" ht="14" spans="1:55">
      <c r="A28" s="29">
        <v>2017</v>
      </c>
      <c r="B28" s="29">
        <v>350000</v>
      </c>
      <c r="C28" s="30" t="s">
        <v>53</v>
      </c>
      <c r="D28" s="25">
        <v>0</v>
      </c>
      <c r="E28" s="25">
        <v>1</v>
      </c>
      <c r="F28" s="25">
        <v>0</v>
      </c>
      <c r="G28" s="25">
        <v>0</v>
      </c>
      <c r="H28" s="19">
        <v>59.146</v>
      </c>
      <c r="I28" s="19">
        <v>40.854</v>
      </c>
      <c r="J28" s="25">
        <v>2.288</v>
      </c>
      <c r="K28" s="25">
        <v>19.33</v>
      </c>
      <c r="L28" s="25">
        <f t="shared" si="0"/>
        <v>21.618</v>
      </c>
      <c r="M28" s="25">
        <v>40.132</v>
      </c>
      <c r="N28" s="25">
        <v>11.954</v>
      </c>
      <c r="O28" s="25">
        <v>8.97</v>
      </c>
      <c r="P28" s="25">
        <f t="shared" si="1"/>
        <v>61.056</v>
      </c>
      <c r="Q28" s="25">
        <v>9.236</v>
      </c>
      <c r="R28" s="19">
        <v>0.647</v>
      </c>
      <c r="S28" s="19">
        <f t="shared" si="2"/>
        <v>9.883</v>
      </c>
      <c r="T28" s="19">
        <v>418</v>
      </c>
      <c r="U28" s="19">
        <f t="shared" si="3"/>
        <v>0.186940966010733</v>
      </c>
      <c r="V28" s="19">
        <v>794</v>
      </c>
      <c r="W28" s="19">
        <f t="shared" si="4"/>
        <v>0.355098389982111</v>
      </c>
      <c r="X28" s="19">
        <v>1024</v>
      </c>
      <c r="Y28" s="14">
        <f t="shared" si="5"/>
        <v>0.457960644007156</v>
      </c>
      <c r="Z28" s="14">
        <v>2236</v>
      </c>
      <c r="AA28" s="25">
        <v>4.2</v>
      </c>
      <c r="AB28" s="25">
        <v>2</v>
      </c>
      <c r="AC28" s="25">
        <v>213.1</v>
      </c>
      <c r="AD28" s="25">
        <v>8.7</v>
      </c>
      <c r="AE28" s="25">
        <v>176.7</v>
      </c>
      <c r="AF28" s="25">
        <v>23.9</v>
      </c>
      <c r="AG28" s="25">
        <v>10.8</v>
      </c>
      <c r="AH28" s="25">
        <v>20.8</v>
      </c>
      <c r="AI28" s="25">
        <v>7.8</v>
      </c>
      <c r="AJ28" s="25">
        <v>16.3</v>
      </c>
      <c r="AK28" s="25">
        <f t="shared" si="6"/>
        <v>79.6</v>
      </c>
      <c r="AL28" s="25">
        <v>28.7</v>
      </c>
      <c r="AM28" s="25">
        <v>10</v>
      </c>
      <c r="AN28" s="19">
        <v>3.8</v>
      </c>
      <c r="AO28" s="25">
        <v>4.3</v>
      </c>
      <c r="AP28" s="25">
        <f t="shared" si="7"/>
        <v>46.8</v>
      </c>
      <c r="AQ28" s="25">
        <v>5.8</v>
      </c>
      <c r="AR28" s="25">
        <v>53.1</v>
      </c>
      <c r="AS28" s="25">
        <v>24</v>
      </c>
      <c r="AT28" s="25">
        <v>42.7</v>
      </c>
      <c r="AU28" s="25">
        <f t="shared" si="8"/>
        <v>125.6</v>
      </c>
      <c r="AV28" s="25">
        <v>15.6</v>
      </c>
      <c r="AW28" s="19">
        <v>1022.074</v>
      </c>
      <c r="AX28" s="25">
        <v>1493.74</v>
      </c>
      <c r="AY28" s="19">
        <v>2515.814</v>
      </c>
      <c r="AZ28" s="25">
        <v>819.342</v>
      </c>
      <c r="BA28" s="25">
        <v>2949.268</v>
      </c>
      <c r="BB28" s="25">
        <v>3768.61</v>
      </c>
      <c r="BC28" s="25">
        <f t="shared" si="10"/>
        <v>0.623672018688607</v>
      </c>
    </row>
    <row r="29" ht="14" spans="1:55">
      <c r="A29" s="29">
        <v>2018</v>
      </c>
      <c r="B29" s="29">
        <v>350000</v>
      </c>
      <c r="C29" s="30" t="s">
        <v>53</v>
      </c>
      <c r="D29" s="25">
        <v>0</v>
      </c>
      <c r="E29" s="25">
        <v>1</v>
      </c>
      <c r="F29" s="25">
        <v>0</v>
      </c>
      <c r="G29" s="25">
        <v>0</v>
      </c>
      <c r="H29" s="19">
        <v>57.792</v>
      </c>
      <c r="I29" s="19">
        <v>42.208</v>
      </c>
      <c r="J29" s="25">
        <v>2.266</v>
      </c>
      <c r="K29" s="25">
        <v>19.022</v>
      </c>
      <c r="L29" s="25">
        <f t="shared" si="0"/>
        <v>21.288</v>
      </c>
      <c r="M29" s="25">
        <v>39.582</v>
      </c>
      <c r="N29" s="25">
        <v>11.849</v>
      </c>
      <c r="O29" s="25">
        <v>9.193</v>
      </c>
      <c r="P29" s="25">
        <f t="shared" si="1"/>
        <v>60.624</v>
      </c>
      <c r="Q29" s="25">
        <v>10.463</v>
      </c>
      <c r="R29" s="19">
        <v>0.621</v>
      </c>
      <c r="S29" s="19">
        <f t="shared" si="2"/>
        <v>11.084</v>
      </c>
      <c r="T29" s="19">
        <v>400</v>
      </c>
      <c r="U29" s="19">
        <f t="shared" si="3"/>
        <v>0.18001800180018</v>
      </c>
      <c r="V29" s="19">
        <v>782</v>
      </c>
      <c r="W29" s="19">
        <f t="shared" si="4"/>
        <v>0.351935193519352</v>
      </c>
      <c r="X29" s="19">
        <v>1040</v>
      </c>
      <c r="Y29" s="14">
        <f t="shared" si="5"/>
        <v>0.468046804680468</v>
      </c>
      <c r="Z29" s="14">
        <v>2222</v>
      </c>
      <c r="AA29" s="25">
        <v>3.6</v>
      </c>
      <c r="AB29" s="25">
        <v>1.3</v>
      </c>
      <c r="AC29" s="25">
        <v>213.6</v>
      </c>
      <c r="AD29" s="25">
        <v>11.5</v>
      </c>
      <c r="AE29" s="25">
        <v>197</v>
      </c>
      <c r="AF29" s="25">
        <v>23</v>
      </c>
      <c r="AG29" s="25">
        <v>12.3</v>
      </c>
      <c r="AH29" s="25">
        <v>20</v>
      </c>
      <c r="AI29" s="25">
        <v>7.7</v>
      </c>
      <c r="AJ29" s="25">
        <v>18.6</v>
      </c>
      <c r="AK29" s="25">
        <f t="shared" si="6"/>
        <v>81.6</v>
      </c>
      <c r="AL29" s="25">
        <v>29.5</v>
      </c>
      <c r="AM29" s="25">
        <v>11.1</v>
      </c>
      <c r="AN29" s="19">
        <v>3.1</v>
      </c>
      <c r="AO29" s="25">
        <v>4.3</v>
      </c>
      <c r="AP29" s="25">
        <f t="shared" si="7"/>
        <v>48</v>
      </c>
      <c r="AQ29" s="25">
        <v>5.7</v>
      </c>
      <c r="AR29" s="25">
        <v>54.7</v>
      </c>
      <c r="AS29" s="25">
        <v>23.8</v>
      </c>
      <c r="AT29" s="25">
        <v>47.2</v>
      </c>
      <c r="AU29" s="25">
        <f t="shared" si="8"/>
        <v>131.4</v>
      </c>
      <c r="AV29" s="25">
        <v>17.1</v>
      </c>
      <c r="AW29" s="19">
        <v>1074.269</v>
      </c>
      <c r="AX29" s="25">
        <v>1525.637</v>
      </c>
      <c r="AY29" s="19">
        <v>2599.906</v>
      </c>
      <c r="AZ29" s="25">
        <v>853.063</v>
      </c>
      <c r="BA29" s="25">
        <v>2951.675</v>
      </c>
      <c r="BB29" s="25">
        <v>3804.738</v>
      </c>
      <c r="BC29" s="25">
        <f t="shared" si="10"/>
        <v>0.637406031022482</v>
      </c>
    </row>
    <row r="30" ht="14" spans="1:55">
      <c r="A30" s="29">
        <v>2019</v>
      </c>
      <c r="B30" s="29">
        <v>350000</v>
      </c>
      <c r="C30" s="30" t="s">
        <v>53</v>
      </c>
      <c r="D30" s="25">
        <v>0</v>
      </c>
      <c r="E30" s="25">
        <v>1</v>
      </c>
      <c r="F30" s="25">
        <v>0</v>
      </c>
      <c r="G30" s="25">
        <v>0</v>
      </c>
      <c r="H30" s="19">
        <v>59.1</v>
      </c>
      <c r="I30" s="19">
        <v>40.9</v>
      </c>
      <c r="J30" s="25">
        <v>2.2</v>
      </c>
      <c r="K30" s="25">
        <v>17.4</v>
      </c>
      <c r="L30" s="25">
        <f t="shared" si="0"/>
        <v>19.6</v>
      </c>
      <c r="M30" s="25">
        <v>39.8</v>
      </c>
      <c r="N30" s="25">
        <v>19</v>
      </c>
      <c r="O30" s="25">
        <v>10.6</v>
      </c>
      <c r="P30" s="25">
        <f t="shared" si="1"/>
        <v>69.4</v>
      </c>
      <c r="Q30" s="25">
        <v>10.2</v>
      </c>
      <c r="R30" s="19">
        <v>0.8</v>
      </c>
      <c r="S30" s="19">
        <f t="shared" si="2"/>
        <v>11</v>
      </c>
      <c r="T30" s="19">
        <v>369</v>
      </c>
      <c r="U30" s="19">
        <f t="shared" si="3"/>
        <v>0.166968325791855</v>
      </c>
      <c r="V30" s="19">
        <v>745</v>
      </c>
      <c r="W30" s="19">
        <f t="shared" si="4"/>
        <v>0.33710407239819</v>
      </c>
      <c r="X30" s="19">
        <v>1096</v>
      </c>
      <c r="Y30" s="14">
        <f t="shared" si="5"/>
        <v>0.495927601809955</v>
      </c>
      <c r="Z30" s="14">
        <v>2210</v>
      </c>
      <c r="AA30" s="25">
        <v>1.5</v>
      </c>
      <c r="AB30" s="25">
        <v>1.4</v>
      </c>
      <c r="AC30" s="25">
        <v>170.8</v>
      </c>
      <c r="AD30" s="25">
        <v>11.4</v>
      </c>
      <c r="AE30" s="25">
        <v>163.7</v>
      </c>
      <c r="AF30" s="25">
        <v>22.9</v>
      </c>
      <c r="AG30" s="25">
        <v>10.8</v>
      </c>
      <c r="AH30" s="25">
        <v>25.2</v>
      </c>
      <c r="AI30" s="25">
        <v>7.9</v>
      </c>
      <c r="AJ30" s="25">
        <v>19.9</v>
      </c>
      <c r="AK30" s="25">
        <f t="shared" si="6"/>
        <v>86.7</v>
      </c>
      <c r="AL30" s="25">
        <v>24.7</v>
      </c>
      <c r="AM30" s="25">
        <v>9.2</v>
      </c>
      <c r="AN30" s="19">
        <v>3.5</v>
      </c>
      <c r="AO30" s="25">
        <v>4.2</v>
      </c>
      <c r="AP30" s="25">
        <f t="shared" si="7"/>
        <v>41.6</v>
      </c>
      <c r="AQ30" s="25">
        <v>6.9</v>
      </c>
      <c r="AR30" s="25">
        <v>60.7</v>
      </c>
      <c r="AS30" s="25">
        <v>25.8</v>
      </c>
      <c r="AT30" s="25">
        <v>51.9</v>
      </c>
      <c r="AU30" s="25">
        <f t="shared" si="8"/>
        <v>145.3</v>
      </c>
      <c r="AV30" s="25">
        <v>17.4</v>
      </c>
      <c r="AW30" s="19">
        <v>1137.3</v>
      </c>
      <c r="AX30" s="25">
        <v>1554.1</v>
      </c>
      <c r="AY30" s="19">
        <v>2691.5</v>
      </c>
      <c r="AZ30" s="25">
        <v>841.4</v>
      </c>
      <c r="BA30" s="25">
        <v>2946.7</v>
      </c>
      <c r="BB30" s="25">
        <v>3788.1</v>
      </c>
      <c r="BC30" s="25">
        <f t="shared" si="10"/>
        <v>0.644669108418625</v>
      </c>
    </row>
    <row r="31" ht="14" spans="1:55">
      <c r="A31" s="29">
        <v>2020</v>
      </c>
      <c r="B31" s="29">
        <v>350000</v>
      </c>
      <c r="C31" s="30" t="s">
        <v>53</v>
      </c>
      <c r="D31" s="25">
        <v>0</v>
      </c>
      <c r="E31" s="25">
        <v>1</v>
      </c>
      <c r="F31" s="25">
        <v>0</v>
      </c>
      <c r="G31" s="25">
        <v>0</v>
      </c>
      <c r="H31" s="19">
        <v>58.3</v>
      </c>
      <c r="I31" s="19">
        <v>41.7</v>
      </c>
      <c r="J31" s="25">
        <v>2</v>
      </c>
      <c r="K31" s="25">
        <v>17.6</v>
      </c>
      <c r="L31" s="25">
        <f t="shared" si="0"/>
        <v>19.6</v>
      </c>
      <c r="M31" s="25">
        <v>40.6</v>
      </c>
      <c r="N31" s="25">
        <v>17.5</v>
      </c>
      <c r="O31" s="25">
        <v>10.8</v>
      </c>
      <c r="P31" s="25">
        <f t="shared" si="1"/>
        <v>68.9</v>
      </c>
      <c r="Q31" s="25">
        <v>10.8</v>
      </c>
      <c r="R31" s="19">
        <v>0.7</v>
      </c>
      <c r="S31" s="19">
        <f t="shared" si="2"/>
        <v>11.5</v>
      </c>
      <c r="T31" s="19">
        <v>323</v>
      </c>
      <c r="U31" s="19">
        <f t="shared" si="3"/>
        <v>0.146418857660925</v>
      </c>
      <c r="V31" s="19">
        <v>719</v>
      </c>
      <c r="W31" s="19">
        <f t="shared" si="4"/>
        <v>0.325929283771532</v>
      </c>
      <c r="X31" s="19">
        <v>1164</v>
      </c>
      <c r="Y31" s="14">
        <f t="shared" si="5"/>
        <v>0.527651858567543</v>
      </c>
      <c r="Z31" s="14">
        <v>2206</v>
      </c>
      <c r="AA31" s="25">
        <v>1.1</v>
      </c>
      <c r="AB31" s="25">
        <v>1.6</v>
      </c>
      <c r="AC31" s="25">
        <v>162.1</v>
      </c>
      <c r="AD31" s="25">
        <v>10.9</v>
      </c>
      <c r="AE31" s="25">
        <v>136.9</v>
      </c>
      <c r="AF31" s="25">
        <v>22.8</v>
      </c>
      <c r="AG31" s="25">
        <v>10.3</v>
      </c>
      <c r="AH31" s="25">
        <v>26.6</v>
      </c>
      <c r="AI31" s="25">
        <v>8.4</v>
      </c>
      <c r="AJ31" s="25">
        <v>18.3</v>
      </c>
      <c r="AK31" s="25">
        <f t="shared" si="6"/>
        <v>86.4</v>
      </c>
      <c r="AL31" s="25">
        <v>24.1</v>
      </c>
      <c r="AM31" s="25">
        <v>8.8</v>
      </c>
      <c r="AN31" s="19">
        <v>3.6</v>
      </c>
      <c r="AO31" s="25">
        <v>4.2</v>
      </c>
      <c r="AP31" s="25">
        <f t="shared" si="7"/>
        <v>40.7</v>
      </c>
      <c r="AQ31" s="25">
        <v>7.4</v>
      </c>
      <c r="AR31" s="25">
        <v>63.5</v>
      </c>
      <c r="AS31" s="25">
        <v>26.5</v>
      </c>
      <c r="AT31" s="25">
        <v>51.8</v>
      </c>
      <c r="AU31" s="25">
        <f t="shared" si="8"/>
        <v>149.2</v>
      </c>
      <c r="AV31" s="25">
        <v>16.9</v>
      </c>
      <c r="AW31" s="19">
        <v>1200.6</v>
      </c>
      <c r="AX31" s="25">
        <v>1588.2</v>
      </c>
      <c r="AY31" s="19">
        <v>2788.7</v>
      </c>
      <c r="AZ31" s="25">
        <v>893.1</v>
      </c>
      <c r="BA31" s="25">
        <v>2947.3</v>
      </c>
      <c r="BB31" s="25">
        <v>3840.5</v>
      </c>
      <c r="BC31" s="25">
        <f t="shared" si="10"/>
        <v>0.663071028177692</v>
      </c>
    </row>
    <row r="32" ht="14" spans="1:55">
      <c r="A32" s="29">
        <v>2021</v>
      </c>
      <c r="B32" s="29">
        <v>350000</v>
      </c>
      <c r="C32" s="30" t="s">
        <v>53</v>
      </c>
      <c r="D32" s="25">
        <v>0</v>
      </c>
      <c r="E32" s="25">
        <v>1</v>
      </c>
      <c r="F32" s="25">
        <v>0</v>
      </c>
      <c r="G32" s="25">
        <v>0</v>
      </c>
      <c r="H32" s="19">
        <v>58.487</v>
      </c>
      <c r="I32" s="19">
        <v>41.513</v>
      </c>
      <c r="J32" s="25">
        <v>1.867</v>
      </c>
      <c r="K32" s="25">
        <v>16.874</v>
      </c>
      <c r="L32" s="25">
        <f t="shared" si="0"/>
        <v>18.741</v>
      </c>
      <c r="M32" s="25">
        <v>39.105</v>
      </c>
      <c r="N32" s="25">
        <v>18.366</v>
      </c>
      <c r="O32" s="25">
        <v>11.079</v>
      </c>
      <c r="P32" s="25">
        <f t="shared" si="1"/>
        <v>68.55</v>
      </c>
      <c r="Q32" s="25">
        <v>11.712</v>
      </c>
      <c r="R32" s="19">
        <v>0.997</v>
      </c>
      <c r="S32" s="19">
        <f t="shared" si="2"/>
        <v>12.709</v>
      </c>
      <c r="T32" s="19">
        <v>301</v>
      </c>
      <c r="U32" s="19">
        <f t="shared" si="3"/>
        <v>0.137005006827492</v>
      </c>
      <c r="V32" s="19">
        <v>729</v>
      </c>
      <c r="W32" s="19">
        <f t="shared" si="4"/>
        <v>0.331816112881202</v>
      </c>
      <c r="X32" s="19">
        <v>1167</v>
      </c>
      <c r="Y32" s="14">
        <f t="shared" si="5"/>
        <v>0.531178880291306</v>
      </c>
      <c r="Z32" s="14">
        <v>2197</v>
      </c>
      <c r="AA32" s="25">
        <v>1.3</v>
      </c>
      <c r="AB32" s="25">
        <v>1.6</v>
      </c>
      <c r="AC32" s="25">
        <v>160.4</v>
      </c>
      <c r="AD32" s="25">
        <v>10.9</v>
      </c>
      <c r="AE32" s="25">
        <v>112.8</v>
      </c>
      <c r="AF32" s="25">
        <v>21.6</v>
      </c>
      <c r="AG32" s="25">
        <v>10.7</v>
      </c>
      <c r="AH32" s="25">
        <v>24</v>
      </c>
      <c r="AI32" s="25">
        <v>8.3</v>
      </c>
      <c r="AJ32" s="25">
        <v>18.7</v>
      </c>
      <c r="AK32" s="25">
        <f t="shared" si="6"/>
        <v>83.3</v>
      </c>
      <c r="AL32" s="25">
        <v>24.5</v>
      </c>
      <c r="AM32" s="25">
        <v>9.4</v>
      </c>
      <c r="AN32" s="19">
        <v>3.7</v>
      </c>
      <c r="AO32" s="25">
        <v>4</v>
      </c>
      <c r="AP32" s="25">
        <f t="shared" si="7"/>
        <v>41.6</v>
      </c>
      <c r="AQ32" s="25">
        <v>7.2</v>
      </c>
      <c r="AR32" s="25">
        <v>64</v>
      </c>
      <c r="AS32" s="25">
        <v>27.9</v>
      </c>
      <c r="AT32" s="25">
        <v>51.8</v>
      </c>
      <c r="AU32" s="25">
        <f t="shared" si="8"/>
        <v>150.9</v>
      </c>
      <c r="AV32" s="25">
        <v>16.2</v>
      </c>
      <c r="AW32" s="19">
        <v>1329.955</v>
      </c>
      <c r="AX32" s="25">
        <v>1597.427</v>
      </c>
      <c r="AY32" s="19">
        <v>2927.382</v>
      </c>
      <c r="AZ32" s="25">
        <v>933.046</v>
      </c>
      <c r="BA32" s="25">
        <v>2939.018</v>
      </c>
      <c r="BB32" s="25">
        <v>3872.064</v>
      </c>
      <c r="BC32" s="25">
        <f t="shared" si="10"/>
        <v>0.695284135199788</v>
      </c>
    </row>
    <row r="33" ht="14" spans="1:55">
      <c r="A33" s="29">
        <v>2022</v>
      </c>
      <c r="B33" s="29">
        <v>350000</v>
      </c>
      <c r="C33" s="30" t="s">
        <v>53</v>
      </c>
      <c r="D33" s="25">
        <v>0</v>
      </c>
      <c r="E33" s="25">
        <v>1</v>
      </c>
      <c r="F33" s="25">
        <v>0</v>
      </c>
      <c r="G33" s="25">
        <v>0</v>
      </c>
      <c r="H33" s="19">
        <v>58.298</v>
      </c>
      <c r="I33" s="19">
        <v>41.702</v>
      </c>
      <c r="J33" s="25">
        <v>2.063</v>
      </c>
      <c r="K33" s="25">
        <v>19.609</v>
      </c>
      <c r="L33" s="25">
        <f t="shared" si="0"/>
        <v>21.672</v>
      </c>
      <c r="M33" s="25">
        <v>37.865</v>
      </c>
      <c r="N33" s="25">
        <v>16.113</v>
      </c>
      <c r="O33" s="25">
        <v>11.276</v>
      </c>
      <c r="P33" s="25">
        <f t="shared" si="1"/>
        <v>65.254</v>
      </c>
      <c r="Q33" s="25">
        <v>12.07</v>
      </c>
      <c r="R33" s="19">
        <v>1.005</v>
      </c>
      <c r="S33" s="19">
        <f t="shared" si="2"/>
        <v>13.075</v>
      </c>
      <c r="T33" s="19">
        <v>299</v>
      </c>
      <c r="U33" s="19">
        <f t="shared" si="3"/>
        <v>0.137534498620055</v>
      </c>
      <c r="V33" s="19">
        <v>721</v>
      </c>
      <c r="W33" s="19">
        <f t="shared" si="4"/>
        <v>0.331646734130635</v>
      </c>
      <c r="X33" s="19">
        <v>1154</v>
      </c>
      <c r="Y33" s="14">
        <f t="shared" si="5"/>
        <v>0.53081876724931</v>
      </c>
      <c r="Z33" s="14">
        <v>2174</v>
      </c>
      <c r="AA33" s="25">
        <v>1.1</v>
      </c>
      <c r="AB33" s="25">
        <v>1.4</v>
      </c>
      <c r="AC33" s="25">
        <v>150.5</v>
      </c>
      <c r="AD33" s="25">
        <v>11</v>
      </c>
      <c r="AE33" s="25">
        <v>110.1</v>
      </c>
      <c r="AF33" s="25">
        <v>21.4</v>
      </c>
      <c r="AG33" s="25">
        <v>10.4</v>
      </c>
      <c r="AH33" s="25">
        <v>20.5</v>
      </c>
      <c r="AI33" s="25">
        <v>8</v>
      </c>
      <c r="AJ33" s="25">
        <v>18.5</v>
      </c>
      <c r="AK33" s="25">
        <f t="shared" si="6"/>
        <v>78.8</v>
      </c>
      <c r="AL33" s="25">
        <v>24.1</v>
      </c>
      <c r="AM33" s="25">
        <v>9.3</v>
      </c>
      <c r="AN33" s="19">
        <v>3.8</v>
      </c>
      <c r="AO33" s="25">
        <v>3.8</v>
      </c>
      <c r="AP33" s="25">
        <f t="shared" si="7"/>
        <v>41</v>
      </c>
      <c r="AQ33" s="25">
        <v>7</v>
      </c>
      <c r="AR33" s="25">
        <v>63</v>
      </c>
      <c r="AS33" s="25">
        <v>27.4</v>
      </c>
      <c r="AT33" s="25">
        <v>51.7</v>
      </c>
      <c r="AU33" s="25">
        <f t="shared" si="8"/>
        <v>149.1</v>
      </c>
      <c r="AV33" s="25">
        <v>16.3</v>
      </c>
      <c r="AW33" s="19">
        <v>1673.829</v>
      </c>
      <c r="AX33" s="25">
        <v>1598.768</v>
      </c>
      <c r="AY33" s="19">
        <v>3272.596</v>
      </c>
      <c r="AZ33" s="25">
        <v>972.196</v>
      </c>
      <c r="BA33" s="25">
        <v>2891.297</v>
      </c>
      <c r="BB33" s="25">
        <v>3863.494</v>
      </c>
      <c r="BC33" s="25">
        <f t="shared" si="10"/>
        <v>0.763104737624318</v>
      </c>
    </row>
    <row r="34" ht="14" spans="1:55">
      <c r="A34" s="29">
        <v>2013</v>
      </c>
      <c r="B34" s="29">
        <v>620000</v>
      </c>
      <c r="C34" s="30" t="s">
        <v>54</v>
      </c>
      <c r="D34" s="25">
        <v>1</v>
      </c>
      <c r="E34" s="25">
        <v>0</v>
      </c>
      <c r="F34" s="25">
        <v>0</v>
      </c>
      <c r="G34" s="25">
        <v>0</v>
      </c>
      <c r="H34" s="19">
        <v>51.1199999999999</v>
      </c>
      <c r="I34" s="19">
        <v>48.8800000000001</v>
      </c>
      <c r="J34" s="25">
        <v>5.949</v>
      </c>
      <c r="K34" s="25">
        <v>24.836</v>
      </c>
      <c r="L34" s="25">
        <f t="shared" si="0"/>
        <v>30.785</v>
      </c>
      <c r="M34" s="25">
        <v>40.65</v>
      </c>
      <c r="N34" s="25">
        <v>14.776</v>
      </c>
      <c r="O34" s="25">
        <v>8.028</v>
      </c>
      <c r="P34" s="25">
        <f t="shared" si="1"/>
        <v>63.454</v>
      </c>
      <c r="Q34" s="25">
        <v>5.392</v>
      </c>
      <c r="R34" s="19">
        <v>0.369</v>
      </c>
      <c r="S34" s="19">
        <f t="shared" si="2"/>
        <v>5.761</v>
      </c>
      <c r="T34" s="19">
        <v>801.20848</v>
      </c>
      <c r="U34" s="19">
        <f t="shared" si="3"/>
        <v>0.592609822485207</v>
      </c>
      <c r="V34" s="19">
        <v>216.99808</v>
      </c>
      <c r="W34" s="19">
        <f t="shared" si="4"/>
        <v>0.160501538461538</v>
      </c>
      <c r="X34" s="19">
        <v>333.79344</v>
      </c>
      <c r="Y34" s="14">
        <f t="shared" si="5"/>
        <v>0.246888639053254</v>
      </c>
      <c r="Z34" s="14">
        <v>1352</v>
      </c>
      <c r="AA34" s="25">
        <v>5.2</v>
      </c>
      <c r="AB34" s="25">
        <v>10.6</v>
      </c>
      <c r="AC34" s="25">
        <v>39.2</v>
      </c>
      <c r="AD34" s="25">
        <v>10</v>
      </c>
      <c r="AE34" s="25">
        <v>46.1</v>
      </c>
      <c r="AF34" s="25">
        <v>12.7</v>
      </c>
      <c r="AG34" s="25">
        <v>3.1</v>
      </c>
      <c r="AH34" s="25">
        <v>7.2</v>
      </c>
      <c r="AI34" s="25">
        <v>6.9</v>
      </c>
      <c r="AJ34" s="25">
        <v>2.7</v>
      </c>
      <c r="AK34" s="25">
        <f t="shared" si="6"/>
        <v>32.6</v>
      </c>
      <c r="AL34" s="25">
        <v>7.7</v>
      </c>
      <c r="AM34" s="25">
        <v>3.5</v>
      </c>
      <c r="AN34" s="19">
        <v>0.3</v>
      </c>
      <c r="AO34" s="25">
        <v>2.5</v>
      </c>
      <c r="AP34" s="25">
        <f t="shared" si="7"/>
        <v>14</v>
      </c>
      <c r="AQ34" s="25">
        <v>5.4</v>
      </c>
      <c r="AR34" s="25">
        <v>36.5</v>
      </c>
      <c r="AS34" s="25">
        <v>12.8</v>
      </c>
      <c r="AT34" s="25">
        <v>40.4</v>
      </c>
      <c r="AU34" s="25">
        <f t="shared" si="8"/>
        <v>95.1</v>
      </c>
      <c r="AV34" s="25">
        <v>3.9</v>
      </c>
      <c r="AW34" s="19">
        <v>288.398</v>
      </c>
      <c r="AX34" s="25">
        <v>1238.492</v>
      </c>
      <c r="AY34" s="19">
        <v>1526.89</v>
      </c>
      <c r="AZ34" s="25">
        <v>297.052</v>
      </c>
      <c r="BA34" s="25">
        <v>325.718</v>
      </c>
      <c r="BB34" s="25">
        <v>622.771</v>
      </c>
      <c r="BC34" s="25">
        <f t="shared" si="10"/>
        <v>0.665863672944408</v>
      </c>
    </row>
    <row r="35" ht="14" spans="1:55">
      <c r="A35" s="29">
        <v>2014</v>
      </c>
      <c r="B35" s="29">
        <v>620000</v>
      </c>
      <c r="C35" s="30" t="s">
        <v>54</v>
      </c>
      <c r="D35" s="25">
        <v>1</v>
      </c>
      <c r="E35" s="25">
        <v>0</v>
      </c>
      <c r="F35" s="25">
        <v>0</v>
      </c>
      <c r="G35" s="25">
        <v>0</v>
      </c>
      <c r="H35" s="19">
        <v>54.8</v>
      </c>
      <c r="I35" s="19">
        <v>45.2</v>
      </c>
      <c r="J35" s="25">
        <v>5.7</v>
      </c>
      <c r="K35" s="25">
        <v>25.7</v>
      </c>
      <c r="L35" s="25">
        <f t="shared" si="0"/>
        <v>31.4</v>
      </c>
      <c r="M35" s="25">
        <v>39.9</v>
      </c>
      <c r="N35" s="25">
        <v>14.3</v>
      </c>
      <c r="O35" s="25">
        <v>8.3</v>
      </c>
      <c r="P35" s="25">
        <f t="shared" si="1"/>
        <v>62.5</v>
      </c>
      <c r="Q35" s="25">
        <v>5.8</v>
      </c>
      <c r="R35" s="19">
        <v>0.3</v>
      </c>
      <c r="S35" s="19">
        <f t="shared" si="2"/>
        <v>6.1</v>
      </c>
      <c r="T35" s="19">
        <v>782.1655</v>
      </c>
      <c r="U35" s="19">
        <f t="shared" si="3"/>
        <v>0.58024146884273</v>
      </c>
      <c r="V35" s="19">
        <v>217.04055</v>
      </c>
      <c r="W35" s="19">
        <f t="shared" si="4"/>
        <v>0.161009310089021</v>
      </c>
      <c r="X35" s="19">
        <v>348.80282</v>
      </c>
      <c r="Y35" s="14">
        <f t="shared" si="5"/>
        <v>0.258755801186944</v>
      </c>
      <c r="Z35" s="14">
        <v>1348</v>
      </c>
      <c r="AA35" s="25">
        <v>5</v>
      </c>
      <c r="AB35" s="25">
        <v>12.6</v>
      </c>
      <c r="AC35" s="25">
        <v>37.5</v>
      </c>
      <c r="AD35" s="25">
        <v>12.9</v>
      </c>
      <c r="AE35" s="25">
        <v>45.7</v>
      </c>
      <c r="AF35" s="25">
        <v>12.4</v>
      </c>
      <c r="AG35" s="25">
        <v>2.8</v>
      </c>
      <c r="AH35" s="25">
        <v>7.2</v>
      </c>
      <c r="AI35" s="25">
        <v>7</v>
      </c>
      <c r="AJ35" s="25">
        <v>3.1</v>
      </c>
      <c r="AK35" s="25">
        <f t="shared" si="6"/>
        <v>32.5</v>
      </c>
      <c r="AL35" s="25">
        <v>8.2</v>
      </c>
      <c r="AM35" s="25">
        <v>3.4</v>
      </c>
      <c r="AN35" s="19">
        <v>0.3</v>
      </c>
      <c r="AO35" s="25">
        <v>2.5</v>
      </c>
      <c r="AP35" s="25">
        <f t="shared" si="7"/>
        <v>14.4</v>
      </c>
      <c r="AQ35" s="25">
        <v>5.9</v>
      </c>
      <c r="AR35" s="25">
        <v>38.1</v>
      </c>
      <c r="AS35" s="25">
        <v>13.7</v>
      </c>
      <c r="AT35" s="25">
        <v>41.9</v>
      </c>
      <c r="AU35" s="25">
        <f t="shared" si="8"/>
        <v>99.6</v>
      </c>
      <c r="AV35" s="25">
        <v>4.5</v>
      </c>
      <c r="AW35" s="19">
        <v>298.8</v>
      </c>
      <c r="AX35" s="25">
        <v>1240.1</v>
      </c>
      <c r="AY35" s="19">
        <v>1539</v>
      </c>
      <c r="AZ35" s="25">
        <v>302.6</v>
      </c>
      <c r="BA35" s="25">
        <v>328.1</v>
      </c>
      <c r="BB35" s="25">
        <v>630.6</v>
      </c>
      <c r="BC35" s="25">
        <f t="shared" si="10"/>
        <v>0.674012497148358</v>
      </c>
    </row>
    <row r="36" ht="14" spans="1:55">
      <c r="A36" s="29">
        <v>2015</v>
      </c>
      <c r="B36" s="29">
        <v>620000</v>
      </c>
      <c r="C36" s="30" t="s">
        <v>54</v>
      </c>
      <c r="D36" s="25">
        <v>1</v>
      </c>
      <c r="E36" s="25">
        <v>0</v>
      </c>
      <c r="F36" s="25">
        <v>0</v>
      </c>
      <c r="G36" s="25">
        <v>0</v>
      </c>
      <c r="H36" s="19">
        <v>58.48</v>
      </c>
      <c r="I36" s="19">
        <v>41.52</v>
      </c>
      <c r="J36" s="25">
        <v>5.563</v>
      </c>
      <c r="K36" s="25">
        <v>27.652</v>
      </c>
      <c r="L36" s="25">
        <f t="shared" si="0"/>
        <v>33.215</v>
      </c>
      <c r="M36" s="25">
        <v>36.881</v>
      </c>
      <c r="N36" s="25">
        <v>11.821</v>
      </c>
      <c r="O36" s="25">
        <v>6.829</v>
      </c>
      <c r="P36" s="25">
        <f t="shared" si="1"/>
        <v>55.531</v>
      </c>
      <c r="Q36" s="25">
        <v>6.158</v>
      </c>
      <c r="R36" s="19">
        <v>0.436</v>
      </c>
      <c r="S36" s="19">
        <f t="shared" si="2"/>
        <v>6.594</v>
      </c>
      <c r="T36" s="19">
        <v>768.03223</v>
      </c>
      <c r="U36" s="19">
        <f t="shared" si="3"/>
        <v>0.570603439821694</v>
      </c>
      <c r="V36" s="19">
        <v>216.83213</v>
      </c>
      <c r="W36" s="19">
        <f t="shared" si="4"/>
        <v>0.161093707280832</v>
      </c>
      <c r="X36" s="19">
        <v>361.13563</v>
      </c>
      <c r="Y36" s="14">
        <f t="shared" si="5"/>
        <v>0.268302845468053</v>
      </c>
      <c r="Z36" s="14">
        <v>1346</v>
      </c>
      <c r="AA36" s="25">
        <v>5</v>
      </c>
      <c r="AB36" s="25">
        <v>11.9</v>
      </c>
      <c r="AC36" s="25">
        <v>35.6</v>
      </c>
      <c r="AD36" s="25">
        <v>12.1</v>
      </c>
      <c r="AE36" s="25">
        <v>43.8</v>
      </c>
      <c r="AF36" s="25">
        <v>12.6</v>
      </c>
      <c r="AG36" s="25">
        <v>2.7</v>
      </c>
      <c r="AH36" s="25">
        <v>7.5</v>
      </c>
      <c r="AI36" s="25">
        <v>7</v>
      </c>
      <c r="AJ36" s="25">
        <v>3</v>
      </c>
      <c r="AK36" s="25">
        <f t="shared" si="6"/>
        <v>32.8</v>
      </c>
      <c r="AL36" s="25">
        <v>8.2</v>
      </c>
      <c r="AM36" s="25">
        <v>3.3</v>
      </c>
      <c r="AN36" s="19">
        <v>0.3</v>
      </c>
      <c r="AO36" s="25">
        <v>2.5</v>
      </c>
      <c r="AP36" s="25">
        <f t="shared" si="7"/>
        <v>14.3</v>
      </c>
      <c r="AQ36" s="25">
        <v>5.9</v>
      </c>
      <c r="AR36" s="25">
        <v>38.9</v>
      </c>
      <c r="AS36" s="25">
        <v>14.3</v>
      </c>
      <c r="AT36" s="25">
        <v>42.8</v>
      </c>
      <c r="AU36" s="25">
        <f t="shared" si="8"/>
        <v>101.9</v>
      </c>
      <c r="AV36" s="25">
        <v>4.5</v>
      </c>
      <c r="AW36" s="19">
        <v>306.209</v>
      </c>
      <c r="AX36" s="25">
        <v>1236.74</v>
      </c>
      <c r="AY36" s="19">
        <v>1542.949</v>
      </c>
      <c r="AZ36" s="25">
        <v>307.924</v>
      </c>
      <c r="BA36" s="25">
        <v>327.032</v>
      </c>
      <c r="BB36" s="25">
        <v>634.956</v>
      </c>
      <c r="BC36" s="25">
        <f t="shared" si="10"/>
        <v>0.683410268857535</v>
      </c>
    </row>
    <row r="37" ht="14" spans="1:55">
      <c r="A37" s="29">
        <v>2016</v>
      </c>
      <c r="B37" s="29">
        <v>620000</v>
      </c>
      <c r="C37" s="30" t="s">
        <v>54</v>
      </c>
      <c r="D37" s="25">
        <v>1</v>
      </c>
      <c r="E37" s="25">
        <v>0</v>
      </c>
      <c r="F37" s="25">
        <v>0</v>
      </c>
      <c r="G37" s="25">
        <v>0</v>
      </c>
      <c r="H37" s="19">
        <v>56.023</v>
      </c>
      <c r="I37" s="19">
        <v>43.977</v>
      </c>
      <c r="J37" s="25">
        <v>5.287</v>
      </c>
      <c r="K37" s="25">
        <v>26.699</v>
      </c>
      <c r="L37" s="25">
        <f t="shared" si="0"/>
        <v>31.986</v>
      </c>
      <c r="M37" s="25">
        <v>38.091</v>
      </c>
      <c r="N37" s="25">
        <v>11.382</v>
      </c>
      <c r="O37" s="25">
        <v>7.347</v>
      </c>
      <c r="P37" s="25">
        <f t="shared" si="1"/>
        <v>56.82</v>
      </c>
      <c r="Q37" s="25">
        <v>6.381</v>
      </c>
      <c r="R37" s="19">
        <v>0.389</v>
      </c>
      <c r="S37" s="19">
        <f t="shared" si="2"/>
        <v>6.77</v>
      </c>
      <c r="T37" s="19">
        <v>750.41935</v>
      </c>
      <c r="U37" s="19">
        <f t="shared" si="3"/>
        <v>0.559596830723341</v>
      </c>
      <c r="V37" s="19">
        <v>213.48771</v>
      </c>
      <c r="W37" s="19">
        <f t="shared" si="4"/>
        <v>0.159200380313199</v>
      </c>
      <c r="X37" s="19">
        <v>377.09293</v>
      </c>
      <c r="Y37" s="14">
        <f t="shared" si="5"/>
        <v>0.281202781506339</v>
      </c>
      <c r="Z37" s="14">
        <v>1341</v>
      </c>
      <c r="AA37" s="25">
        <v>5</v>
      </c>
      <c r="AB37" s="25">
        <v>10.7</v>
      </c>
      <c r="AC37" s="25">
        <v>33.6</v>
      </c>
      <c r="AD37" s="25">
        <v>12.2</v>
      </c>
      <c r="AE37" s="25">
        <v>43.7</v>
      </c>
      <c r="AF37" s="25">
        <v>12.8</v>
      </c>
      <c r="AG37" s="25">
        <v>2.7</v>
      </c>
      <c r="AH37" s="25">
        <v>7.6</v>
      </c>
      <c r="AI37" s="25">
        <v>6.9</v>
      </c>
      <c r="AJ37" s="25">
        <v>3.6</v>
      </c>
      <c r="AK37" s="25">
        <f t="shared" si="6"/>
        <v>33.6</v>
      </c>
      <c r="AL37" s="25">
        <v>8.1</v>
      </c>
      <c r="AM37" s="25">
        <v>3.2</v>
      </c>
      <c r="AN37" s="19">
        <v>0.3</v>
      </c>
      <c r="AO37" s="25">
        <v>2.7</v>
      </c>
      <c r="AP37" s="25">
        <f t="shared" si="7"/>
        <v>14.3</v>
      </c>
      <c r="AQ37" s="25">
        <v>5.9</v>
      </c>
      <c r="AR37" s="25">
        <v>38.7</v>
      </c>
      <c r="AS37" s="25">
        <v>14.5</v>
      </c>
      <c r="AT37" s="25">
        <v>43.5</v>
      </c>
      <c r="AU37" s="25">
        <f t="shared" si="8"/>
        <v>102.6</v>
      </c>
      <c r="AV37" s="25">
        <v>5.2</v>
      </c>
      <c r="AW37" s="19">
        <v>314.967</v>
      </c>
      <c r="AX37" s="25">
        <v>1253.733</v>
      </c>
      <c r="AY37" s="19">
        <v>1568.7</v>
      </c>
      <c r="AZ37" s="25">
        <v>314.44</v>
      </c>
      <c r="BA37" s="25">
        <v>328.896</v>
      </c>
      <c r="BB37" s="25">
        <v>643.336</v>
      </c>
      <c r="BC37" s="25">
        <f t="shared" si="10"/>
        <v>0.689546989734445</v>
      </c>
    </row>
    <row r="38" ht="14" spans="1:55">
      <c r="A38" s="29">
        <v>2017</v>
      </c>
      <c r="B38" s="29">
        <v>620000</v>
      </c>
      <c r="C38" s="30" t="s">
        <v>54</v>
      </c>
      <c r="D38" s="25">
        <v>1</v>
      </c>
      <c r="E38" s="25">
        <v>0</v>
      </c>
      <c r="F38" s="25">
        <v>0</v>
      </c>
      <c r="G38" s="25">
        <v>0</v>
      </c>
      <c r="H38" s="19">
        <v>55.782</v>
      </c>
      <c r="I38" s="19">
        <v>44.218</v>
      </c>
      <c r="J38" s="25">
        <v>4.762</v>
      </c>
      <c r="K38" s="25">
        <v>24.579</v>
      </c>
      <c r="L38" s="25">
        <f t="shared" si="0"/>
        <v>29.341</v>
      </c>
      <c r="M38" s="25">
        <v>40.628</v>
      </c>
      <c r="N38" s="25">
        <v>11.797</v>
      </c>
      <c r="O38" s="25">
        <v>7.248</v>
      </c>
      <c r="P38" s="25">
        <f t="shared" si="1"/>
        <v>59.673</v>
      </c>
      <c r="Q38" s="25">
        <v>6.768</v>
      </c>
      <c r="R38" s="19">
        <v>0.333</v>
      </c>
      <c r="S38" s="19">
        <f t="shared" si="2"/>
        <v>7.101</v>
      </c>
      <c r="T38" s="19">
        <v>733.4811</v>
      </c>
      <c r="U38" s="19">
        <f t="shared" si="3"/>
        <v>0.548602169035153</v>
      </c>
      <c r="V38" s="19">
        <v>210.17326</v>
      </c>
      <c r="W38" s="19">
        <f t="shared" si="4"/>
        <v>0.157197651458489</v>
      </c>
      <c r="X38" s="19">
        <v>393.34563</v>
      </c>
      <c r="Y38" s="14">
        <f t="shared" si="5"/>
        <v>0.294200172026926</v>
      </c>
      <c r="Z38" s="14">
        <v>1337</v>
      </c>
      <c r="AA38" s="25">
        <v>4.2</v>
      </c>
      <c r="AB38" s="25">
        <v>9.2</v>
      </c>
      <c r="AC38" s="25">
        <v>31.5</v>
      </c>
      <c r="AD38" s="25">
        <v>12.6</v>
      </c>
      <c r="AE38" s="25">
        <v>40.5</v>
      </c>
      <c r="AF38" s="25">
        <v>13.3</v>
      </c>
      <c r="AG38" s="25">
        <v>2.9</v>
      </c>
      <c r="AH38" s="25">
        <v>8.4</v>
      </c>
      <c r="AI38" s="25">
        <v>7.1</v>
      </c>
      <c r="AJ38" s="25">
        <v>5.3</v>
      </c>
      <c r="AK38" s="25">
        <f t="shared" si="6"/>
        <v>37</v>
      </c>
      <c r="AL38" s="25">
        <v>7.7</v>
      </c>
      <c r="AM38" s="25">
        <v>3.2</v>
      </c>
      <c r="AN38" s="19">
        <v>0.3</v>
      </c>
      <c r="AO38" s="25">
        <v>2.8</v>
      </c>
      <c r="AP38" s="25">
        <f t="shared" si="7"/>
        <v>14</v>
      </c>
      <c r="AQ38" s="25">
        <v>6.4</v>
      </c>
      <c r="AR38" s="25">
        <v>38.2</v>
      </c>
      <c r="AS38" s="25">
        <v>15.4</v>
      </c>
      <c r="AT38" s="25">
        <v>44.8</v>
      </c>
      <c r="AU38" s="25">
        <f t="shared" si="8"/>
        <v>104.8</v>
      </c>
      <c r="AV38" s="25">
        <v>5.3</v>
      </c>
      <c r="AW38" s="19">
        <v>429.842</v>
      </c>
      <c r="AX38" s="25">
        <v>1262.357</v>
      </c>
      <c r="AY38" s="19">
        <v>1692.199</v>
      </c>
      <c r="AZ38" s="25">
        <v>320.245</v>
      </c>
      <c r="BA38" s="25">
        <v>2191.966</v>
      </c>
      <c r="BB38" s="25">
        <v>2512.211</v>
      </c>
      <c r="BC38" s="25">
        <f t="shared" si="10"/>
        <v>0.38148921942678</v>
      </c>
    </row>
    <row r="39" ht="14" spans="1:55">
      <c r="A39" s="29">
        <v>2018</v>
      </c>
      <c r="B39" s="29">
        <v>620000</v>
      </c>
      <c r="C39" s="30" t="s">
        <v>54</v>
      </c>
      <c r="D39" s="25">
        <v>1</v>
      </c>
      <c r="E39" s="25">
        <v>0</v>
      </c>
      <c r="F39" s="25">
        <v>0</v>
      </c>
      <c r="G39" s="25">
        <v>0</v>
      </c>
      <c r="H39" s="19">
        <v>56.424</v>
      </c>
      <c r="I39" s="19">
        <v>43.576</v>
      </c>
      <c r="J39" s="25">
        <v>5.15</v>
      </c>
      <c r="K39" s="25">
        <v>24.095</v>
      </c>
      <c r="L39" s="25">
        <f t="shared" si="0"/>
        <v>29.245</v>
      </c>
      <c r="M39" s="25">
        <v>39.097</v>
      </c>
      <c r="N39" s="25">
        <v>11.124</v>
      </c>
      <c r="O39" s="25">
        <v>8.195</v>
      </c>
      <c r="P39" s="25">
        <f t="shared" si="1"/>
        <v>58.416</v>
      </c>
      <c r="Q39" s="25">
        <v>7.266</v>
      </c>
      <c r="R39" s="19">
        <v>0.423</v>
      </c>
      <c r="S39" s="19">
        <f t="shared" si="2"/>
        <v>7.689</v>
      </c>
      <c r="T39" s="19">
        <v>720.643</v>
      </c>
      <c r="U39" s="19">
        <f t="shared" si="3"/>
        <v>0.539</v>
      </c>
      <c r="V39" s="19">
        <v>207.235</v>
      </c>
      <c r="W39" s="19">
        <f t="shared" si="4"/>
        <v>0.155</v>
      </c>
      <c r="X39" s="19">
        <v>409.122</v>
      </c>
      <c r="Y39" s="14">
        <f t="shared" si="5"/>
        <v>0.306</v>
      </c>
      <c r="Z39" s="14">
        <v>1337</v>
      </c>
      <c r="AA39" s="25">
        <v>4</v>
      </c>
      <c r="AB39" s="25">
        <v>8.4</v>
      </c>
      <c r="AC39" s="25">
        <v>29.1</v>
      </c>
      <c r="AD39" s="25">
        <v>12</v>
      </c>
      <c r="AE39" s="25">
        <v>35.6</v>
      </c>
      <c r="AF39" s="25">
        <v>14.6</v>
      </c>
      <c r="AG39" s="25">
        <v>3</v>
      </c>
      <c r="AH39" s="25">
        <v>7.7</v>
      </c>
      <c r="AI39" s="25">
        <v>6.5</v>
      </c>
      <c r="AJ39" s="25">
        <v>3.4</v>
      </c>
      <c r="AK39" s="25">
        <f t="shared" si="6"/>
        <v>35.2</v>
      </c>
      <c r="AL39" s="25">
        <v>7</v>
      </c>
      <c r="AM39" s="25">
        <v>2.7</v>
      </c>
      <c r="AN39" s="19">
        <v>0.4</v>
      </c>
      <c r="AO39" s="25">
        <v>2.7</v>
      </c>
      <c r="AP39" s="25">
        <f t="shared" si="7"/>
        <v>12.8</v>
      </c>
      <c r="AQ39" s="25">
        <v>6.4</v>
      </c>
      <c r="AR39" s="25">
        <v>35.6</v>
      </c>
      <c r="AS39" s="25">
        <v>16.6</v>
      </c>
      <c r="AT39" s="25">
        <v>46.5</v>
      </c>
      <c r="AU39" s="25">
        <f t="shared" si="8"/>
        <v>105.1</v>
      </c>
      <c r="AV39" s="25">
        <v>4.5</v>
      </c>
      <c r="AW39" s="19">
        <v>454.71</v>
      </c>
      <c r="AX39" s="25">
        <v>1316.965</v>
      </c>
      <c r="AY39" s="19">
        <v>1771.675</v>
      </c>
      <c r="AZ39" s="25">
        <v>331.593</v>
      </c>
      <c r="BA39" s="25">
        <v>2215.062</v>
      </c>
      <c r="BB39" s="25">
        <v>2546.655</v>
      </c>
      <c r="BC39" s="25">
        <f t="shared" si="10"/>
        <v>0.386862696842917</v>
      </c>
    </row>
    <row r="40" ht="14" spans="1:55">
      <c r="A40" s="29">
        <v>2019</v>
      </c>
      <c r="B40" s="29">
        <v>620000</v>
      </c>
      <c r="C40" s="30" t="s">
        <v>54</v>
      </c>
      <c r="D40" s="25">
        <v>1</v>
      </c>
      <c r="E40" s="25">
        <v>0</v>
      </c>
      <c r="F40" s="25">
        <v>0</v>
      </c>
      <c r="G40" s="25">
        <v>0</v>
      </c>
      <c r="H40" s="19">
        <v>56.3</v>
      </c>
      <c r="I40" s="19">
        <v>43.7</v>
      </c>
      <c r="J40" s="25">
        <v>5.1</v>
      </c>
      <c r="K40" s="25">
        <v>25.5</v>
      </c>
      <c r="L40" s="25">
        <f t="shared" si="0"/>
        <v>30.6</v>
      </c>
      <c r="M40" s="25">
        <v>36.8</v>
      </c>
      <c r="N40" s="25">
        <v>14.7</v>
      </c>
      <c r="O40" s="25">
        <v>9.3</v>
      </c>
      <c r="P40" s="25">
        <f t="shared" si="1"/>
        <v>60.8</v>
      </c>
      <c r="Q40" s="25">
        <v>7.9</v>
      </c>
      <c r="R40" s="19">
        <v>0.7</v>
      </c>
      <c r="S40" s="19">
        <f t="shared" si="2"/>
        <v>8.6</v>
      </c>
      <c r="T40" s="19">
        <v>706.49</v>
      </c>
      <c r="U40" s="19">
        <f t="shared" si="3"/>
        <v>0.53</v>
      </c>
      <c r="V40" s="19">
        <v>201.283</v>
      </c>
      <c r="W40" s="19">
        <f t="shared" si="4"/>
        <v>0.151</v>
      </c>
      <c r="X40" s="19">
        <v>425.227</v>
      </c>
      <c r="Y40" s="14">
        <f t="shared" si="5"/>
        <v>0.319</v>
      </c>
      <c r="Z40" s="14">
        <v>1333</v>
      </c>
      <c r="AA40" s="25">
        <v>2</v>
      </c>
      <c r="AB40" s="25">
        <v>7.7</v>
      </c>
      <c r="AC40" s="25">
        <v>28.1</v>
      </c>
      <c r="AD40" s="25">
        <v>11.3</v>
      </c>
      <c r="AE40" s="25">
        <v>34.6</v>
      </c>
      <c r="AF40" s="25">
        <v>13.2</v>
      </c>
      <c r="AG40" s="25">
        <v>3.7</v>
      </c>
      <c r="AH40" s="25">
        <v>9.6</v>
      </c>
      <c r="AI40" s="25">
        <v>6.6</v>
      </c>
      <c r="AJ40" s="25">
        <v>3.8</v>
      </c>
      <c r="AK40" s="25">
        <f t="shared" si="6"/>
        <v>36.9</v>
      </c>
      <c r="AL40" s="25">
        <v>7.8</v>
      </c>
      <c r="AM40" s="25">
        <v>2.8</v>
      </c>
      <c r="AN40" s="19">
        <v>0.5</v>
      </c>
      <c r="AO40" s="25">
        <v>2.8</v>
      </c>
      <c r="AP40" s="25">
        <f t="shared" si="7"/>
        <v>13.9</v>
      </c>
      <c r="AQ40" s="25">
        <v>6</v>
      </c>
      <c r="AR40" s="25">
        <v>39.2</v>
      </c>
      <c r="AS40" s="25">
        <v>17</v>
      </c>
      <c r="AT40" s="25">
        <v>50.9</v>
      </c>
      <c r="AU40" s="25">
        <f t="shared" si="8"/>
        <v>113.1</v>
      </c>
      <c r="AV40" s="25">
        <v>5.4</v>
      </c>
      <c r="AW40" s="19">
        <v>469.4</v>
      </c>
      <c r="AX40" s="25">
        <v>1372.6</v>
      </c>
      <c r="AY40" s="19">
        <v>1841.9</v>
      </c>
      <c r="AZ40" s="25">
        <v>344.3</v>
      </c>
      <c r="BA40" s="25">
        <v>2228.6</v>
      </c>
      <c r="BB40" s="25">
        <v>2572.9</v>
      </c>
      <c r="BC40" s="25">
        <f t="shared" si="10"/>
        <v>0.388663410816586</v>
      </c>
    </row>
    <row r="41" ht="14" spans="1:55">
      <c r="A41" s="29">
        <v>2020</v>
      </c>
      <c r="B41" s="29">
        <v>620000</v>
      </c>
      <c r="C41" s="30" t="s">
        <v>54</v>
      </c>
      <c r="D41" s="25">
        <v>1</v>
      </c>
      <c r="E41" s="25">
        <v>0</v>
      </c>
      <c r="F41" s="25">
        <v>0</v>
      </c>
      <c r="G41" s="25">
        <v>0</v>
      </c>
      <c r="H41" s="19">
        <v>55.3</v>
      </c>
      <c r="I41" s="19">
        <v>44.7</v>
      </c>
      <c r="J41" s="25">
        <v>6.9</v>
      </c>
      <c r="K41" s="25">
        <v>26</v>
      </c>
      <c r="L41" s="25">
        <f t="shared" si="0"/>
        <v>32.9</v>
      </c>
      <c r="M41" s="25">
        <v>36.1</v>
      </c>
      <c r="N41" s="25">
        <v>14.2</v>
      </c>
      <c r="O41" s="25">
        <v>8.7</v>
      </c>
      <c r="P41" s="25">
        <f t="shared" si="1"/>
        <v>59</v>
      </c>
      <c r="Q41" s="25">
        <v>7.6</v>
      </c>
      <c r="R41" s="19">
        <v>0.5</v>
      </c>
      <c r="S41" s="19">
        <f t="shared" si="2"/>
        <v>8.1</v>
      </c>
      <c r="T41" s="19">
        <v>597</v>
      </c>
      <c r="U41" s="19">
        <f t="shared" si="3"/>
        <v>0.448534936138242</v>
      </c>
      <c r="V41" s="19">
        <v>237</v>
      </c>
      <c r="W41" s="19">
        <f t="shared" si="4"/>
        <v>0.178061607813674</v>
      </c>
      <c r="X41" s="19">
        <v>497</v>
      </c>
      <c r="Y41" s="14">
        <f t="shared" si="5"/>
        <v>0.373403456048084</v>
      </c>
      <c r="Z41" s="14">
        <v>1331</v>
      </c>
      <c r="AA41" s="25">
        <v>1.9</v>
      </c>
      <c r="AB41" s="25">
        <v>7.2</v>
      </c>
      <c r="AC41" s="25">
        <v>28.3</v>
      </c>
      <c r="AD41" s="25">
        <v>10.7</v>
      </c>
      <c r="AE41" s="25">
        <v>33.1</v>
      </c>
      <c r="AF41" s="25">
        <v>13.2</v>
      </c>
      <c r="AG41" s="25">
        <v>3.6</v>
      </c>
      <c r="AH41" s="25">
        <v>14.3</v>
      </c>
      <c r="AI41" s="25">
        <v>7.3</v>
      </c>
      <c r="AJ41" s="25">
        <v>4.2</v>
      </c>
      <c r="AK41" s="25">
        <f t="shared" si="6"/>
        <v>42.6</v>
      </c>
      <c r="AL41" s="25">
        <v>8.5</v>
      </c>
      <c r="AM41" s="25">
        <v>3</v>
      </c>
      <c r="AN41" s="19">
        <v>0.9</v>
      </c>
      <c r="AO41" s="25">
        <v>2.9</v>
      </c>
      <c r="AP41" s="25">
        <f t="shared" si="7"/>
        <v>15.3</v>
      </c>
      <c r="AQ41" s="25">
        <v>4.5</v>
      </c>
      <c r="AR41" s="25">
        <v>40.8</v>
      </c>
      <c r="AS41" s="25">
        <v>19.3</v>
      </c>
      <c r="AT41" s="25">
        <v>51.7</v>
      </c>
      <c r="AU41" s="25">
        <f t="shared" si="8"/>
        <v>116.3</v>
      </c>
      <c r="AV41" s="25">
        <v>6.7</v>
      </c>
      <c r="AW41" s="19">
        <v>484.5</v>
      </c>
      <c r="AX41" s="25">
        <v>1388.2</v>
      </c>
      <c r="AY41" s="19">
        <v>1872.7</v>
      </c>
      <c r="AZ41" s="25">
        <v>361.9</v>
      </c>
      <c r="BA41" s="25">
        <v>2228.5</v>
      </c>
      <c r="BB41" s="25">
        <v>2590.4</v>
      </c>
      <c r="BC41" s="25">
        <f t="shared" si="10"/>
        <v>0.398425513142529</v>
      </c>
    </row>
    <row r="42" ht="14" spans="1:55">
      <c r="A42" s="29">
        <v>2021</v>
      </c>
      <c r="B42" s="29">
        <v>620000</v>
      </c>
      <c r="C42" s="30" t="s">
        <v>54</v>
      </c>
      <c r="D42" s="25">
        <v>1</v>
      </c>
      <c r="E42" s="25">
        <v>0</v>
      </c>
      <c r="F42" s="25">
        <v>0</v>
      </c>
      <c r="G42" s="25">
        <v>0</v>
      </c>
      <c r="H42" s="19">
        <v>56.039</v>
      </c>
      <c r="I42" s="19">
        <v>43.961</v>
      </c>
      <c r="J42" s="25">
        <v>7.263</v>
      </c>
      <c r="K42" s="25">
        <v>25.208</v>
      </c>
      <c r="L42" s="25">
        <f t="shared" si="0"/>
        <v>32.471</v>
      </c>
      <c r="M42" s="25">
        <v>34.505</v>
      </c>
      <c r="N42" s="25">
        <v>13.334</v>
      </c>
      <c r="O42" s="25">
        <v>9.724</v>
      </c>
      <c r="P42" s="25">
        <f t="shared" si="1"/>
        <v>57.563</v>
      </c>
      <c r="Q42" s="25">
        <v>9.275</v>
      </c>
      <c r="R42" s="19">
        <v>0.692</v>
      </c>
      <c r="S42" s="19">
        <f t="shared" si="2"/>
        <v>9.967</v>
      </c>
      <c r="T42" s="19">
        <v>580</v>
      </c>
      <c r="U42" s="19">
        <f t="shared" si="3"/>
        <v>0.43972706595906</v>
      </c>
      <c r="V42" s="19">
        <v>238</v>
      </c>
      <c r="W42" s="19">
        <f t="shared" si="4"/>
        <v>0.180439727065959</v>
      </c>
      <c r="X42" s="19">
        <v>501</v>
      </c>
      <c r="Y42" s="14">
        <f t="shared" si="5"/>
        <v>0.379833206974981</v>
      </c>
      <c r="Z42" s="14">
        <v>1319</v>
      </c>
      <c r="AA42" s="25">
        <v>2.1</v>
      </c>
      <c r="AB42" s="25">
        <v>7.3</v>
      </c>
      <c r="AC42" s="25">
        <v>28.3</v>
      </c>
      <c r="AD42" s="25">
        <v>10.6</v>
      </c>
      <c r="AE42" s="25">
        <v>31.5</v>
      </c>
      <c r="AF42" s="25">
        <v>13.2</v>
      </c>
      <c r="AG42" s="25">
        <v>3.5</v>
      </c>
      <c r="AH42" s="25">
        <v>12.6</v>
      </c>
      <c r="AI42" s="25">
        <v>7.6</v>
      </c>
      <c r="AJ42" s="25">
        <v>4.5</v>
      </c>
      <c r="AK42" s="25">
        <f t="shared" si="6"/>
        <v>41.4</v>
      </c>
      <c r="AL42" s="25">
        <v>9.4</v>
      </c>
      <c r="AM42" s="25">
        <v>3.1</v>
      </c>
      <c r="AN42" s="19">
        <v>0.9</v>
      </c>
      <c r="AO42" s="25">
        <v>3</v>
      </c>
      <c r="AP42" s="25">
        <f t="shared" si="7"/>
        <v>16.4</v>
      </c>
      <c r="AQ42" s="25">
        <v>4.9</v>
      </c>
      <c r="AR42" s="25">
        <v>41.6</v>
      </c>
      <c r="AS42" s="25">
        <v>20</v>
      </c>
      <c r="AT42" s="25">
        <v>50.5</v>
      </c>
      <c r="AU42" s="25">
        <f t="shared" si="8"/>
        <v>117</v>
      </c>
      <c r="AV42" s="25">
        <v>6.9</v>
      </c>
      <c r="AW42" s="19">
        <v>502.506</v>
      </c>
      <c r="AX42" s="25">
        <v>1387.891</v>
      </c>
      <c r="AY42" s="19">
        <v>1890.397</v>
      </c>
      <c r="AZ42" s="25">
        <v>372.336</v>
      </c>
      <c r="BA42" s="25">
        <v>2214.848</v>
      </c>
      <c r="BB42" s="25">
        <v>2587.184</v>
      </c>
      <c r="BC42" s="25">
        <f t="shared" si="10"/>
        <v>0.409735900924802</v>
      </c>
    </row>
    <row r="43" ht="14" spans="1:55">
      <c r="A43" s="29">
        <v>2022</v>
      </c>
      <c r="B43" s="29">
        <v>620000</v>
      </c>
      <c r="C43" s="30" t="s">
        <v>54</v>
      </c>
      <c r="D43" s="25">
        <v>1</v>
      </c>
      <c r="E43" s="25">
        <v>0</v>
      </c>
      <c r="F43" s="25">
        <v>0</v>
      </c>
      <c r="G43" s="25">
        <v>0</v>
      </c>
      <c r="H43" s="19">
        <v>55.797</v>
      </c>
      <c r="I43" s="19">
        <v>44.203</v>
      </c>
      <c r="J43" s="25">
        <v>7.626</v>
      </c>
      <c r="K43" s="25">
        <v>28.87</v>
      </c>
      <c r="L43" s="25">
        <f t="shared" si="0"/>
        <v>36.496</v>
      </c>
      <c r="M43" s="25">
        <v>31.389</v>
      </c>
      <c r="N43" s="25">
        <v>12.399</v>
      </c>
      <c r="O43" s="25">
        <v>9.329</v>
      </c>
      <c r="P43" s="25">
        <f t="shared" si="1"/>
        <v>53.117</v>
      </c>
      <c r="Q43" s="25">
        <v>9.701</v>
      </c>
      <c r="R43" s="19">
        <v>0.687</v>
      </c>
      <c r="S43" s="19">
        <f t="shared" si="2"/>
        <v>10.388</v>
      </c>
      <c r="T43" s="19">
        <v>614</v>
      </c>
      <c r="U43" s="19">
        <f t="shared" si="3"/>
        <v>0.469778117827085</v>
      </c>
      <c r="V43" s="19">
        <v>227</v>
      </c>
      <c r="W43" s="19">
        <f t="shared" si="4"/>
        <v>0.173680183626626</v>
      </c>
      <c r="X43" s="19">
        <v>466</v>
      </c>
      <c r="Y43" s="14">
        <f t="shared" si="5"/>
        <v>0.356541698546289</v>
      </c>
      <c r="Z43" s="14">
        <v>1307</v>
      </c>
      <c r="AA43" s="25">
        <v>2</v>
      </c>
      <c r="AB43" s="25">
        <v>7.6</v>
      </c>
      <c r="AC43" s="25">
        <v>28.3</v>
      </c>
      <c r="AD43" s="25">
        <v>10.8</v>
      </c>
      <c r="AE43" s="25">
        <v>27.9</v>
      </c>
      <c r="AF43" s="25">
        <v>13.1</v>
      </c>
      <c r="AG43" s="25">
        <v>3.3</v>
      </c>
      <c r="AH43" s="25">
        <v>11.6</v>
      </c>
      <c r="AI43" s="25">
        <v>7.9</v>
      </c>
      <c r="AJ43" s="25">
        <v>4.4</v>
      </c>
      <c r="AK43" s="25">
        <f t="shared" si="6"/>
        <v>40.3</v>
      </c>
      <c r="AL43" s="25">
        <v>9.7</v>
      </c>
      <c r="AM43" s="25">
        <v>2.8</v>
      </c>
      <c r="AN43" s="19">
        <v>0.7</v>
      </c>
      <c r="AO43" s="25">
        <v>2.8</v>
      </c>
      <c r="AP43" s="25">
        <f t="shared" si="7"/>
        <v>16</v>
      </c>
      <c r="AQ43" s="25">
        <v>5</v>
      </c>
      <c r="AR43" s="25">
        <v>41.2</v>
      </c>
      <c r="AS43" s="25">
        <v>21.1</v>
      </c>
      <c r="AT43" s="25">
        <v>50.6</v>
      </c>
      <c r="AU43" s="25">
        <f t="shared" si="8"/>
        <v>117.9</v>
      </c>
      <c r="AV43" s="25">
        <v>6.7</v>
      </c>
      <c r="AW43" s="19">
        <v>517.553</v>
      </c>
      <c r="AX43" s="25">
        <v>1386.553</v>
      </c>
      <c r="AY43" s="19">
        <v>1904.106</v>
      </c>
      <c r="AZ43" s="25">
        <v>380.968</v>
      </c>
      <c r="BA43" s="25">
        <v>2174.15</v>
      </c>
      <c r="BB43" s="25">
        <v>2555.119</v>
      </c>
      <c r="BC43" s="25">
        <f t="shared" si="10"/>
        <v>0.420908827338364</v>
      </c>
    </row>
    <row r="44" ht="14" spans="1:55">
      <c r="A44" s="29">
        <v>2013</v>
      </c>
      <c r="B44" s="29">
        <v>440000</v>
      </c>
      <c r="C44" s="30" t="s">
        <v>55</v>
      </c>
      <c r="D44" s="25">
        <v>0</v>
      </c>
      <c r="E44" s="25">
        <v>1</v>
      </c>
      <c r="F44" s="25">
        <v>0</v>
      </c>
      <c r="G44" s="25">
        <v>0</v>
      </c>
      <c r="H44" s="19">
        <v>53.6149999999998</v>
      </c>
      <c r="I44" s="19">
        <v>46.3850000000002</v>
      </c>
      <c r="J44" s="25">
        <v>0.622</v>
      </c>
      <c r="K44" s="25">
        <v>14.019</v>
      </c>
      <c r="L44" s="25">
        <f t="shared" si="0"/>
        <v>14.641</v>
      </c>
      <c r="M44" s="25">
        <v>49.337</v>
      </c>
      <c r="N44" s="25">
        <v>21.803</v>
      </c>
      <c r="O44" s="25">
        <v>8.582</v>
      </c>
      <c r="P44" s="25">
        <f t="shared" si="1"/>
        <v>79.722</v>
      </c>
      <c r="Q44" s="25">
        <v>5.226</v>
      </c>
      <c r="R44" s="19">
        <v>0.412</v>
      </c>
      <c r="S44" s="19">
        <f t="shared" si="2"/>
        <v>5.638</v>
      </c>
      <c r="T44" s="19">
        <v>1172</v>
      </c>
      <c r="U44" s="19">
        <f t="shared" si="3"/>
        <v>0.18683245655986</v>
      </c>
      <c r="V44" s="19">
        <v>2620</v>
      </c>
      <c r="W44" s="19">
        <f t="shared" si="4"/>
        <v>0.417663000159413</v>
      </c>
      <c r="X44" s="19">
        <v>2481</v>
      </c>
      <c r="Y44" s="14">
        <f t="shared" si="5"/>
        <v>0.395504543280727</v>
      </c>
      <c r="Z44" s="14">
        <v>6273</v>
      </c>
      <c r="AA44" s="25">
        <v>6.2</v>
      </c>
      <c r="AB44" s="25">
        <v>2.9</v>
      </c>
      <c r="AC44" s="25">
        <v>1020.2</v>
      </c>
      <c r="AD44" s="25">
        <v>32.2</v>
      </c>
      <c r="AE44" s="25">
        <v>162.3</v>
      </c>
      <c r="AF44" s="25">
        <v>83.3</v>
      </c>
      <c r="AG44" s="25">
        <v>33.3</v>
      </c>
      <c r="AH44" s="25">
        <v>43.3</v>
      </c>
      <c r="AI44" s="25">
        <v>29.5</v>
      </c>
      <c r="AJ44" s="25">
        <v>55.8</v>
      </c>
      <c r="AK44" s="25">
        <f t="shared" si="6"/>
        <v>245.2</v>
      </c>
      <c r="AL44" s="25">
        <v>95.5</v>
      </c>
      <c r="AM44" s="25">
        <v>39.3</v>
      </c>
      <c r="AN44" s="19">
        <v>7.3</v>
      </c>
      <c r="AO44" s="25">
        <v>10.9</v>
      </c>
      <c r="AP44" s="25">
        <f t="shared" si="7"/>
        <v>153</v>
      </c>
      <c r="AQ44" s="25">
        <v>16.3</v>
      </c>
      <c r="AR44" s="25">
        <v>118.6</v>
      </c>
      <c r="AS44" s="25">
        <v>55.9</v>
      </c>
      <c r="AT44" s="25">
        <v>101.7</v>
      </c>
      <c r="AU44" s="25">
        <f t="shared" si="8"/>
        <v>292.5</v>
      </c>
      <c r="AV44" s="25">
        <v>52.5</v>
      </c>
      <c r="AW44" s="19">
        <v>4183.037</v>
      </c>
      <c r="AX44" s="25">
        <v>2346.845</v>
      </c>
      <c r="AY44" s="19">
        <v>6529.883</v>
      </c>
      <c r="AZ44" s="25">
        <v>3472.962</v>
      </c>
      <c r="BA44" s="25">
        <v>5706.791</v>
      </c>
      <c r="BB44" s="25">
        <v>9179.753</v>
      </c>
      <c r="BC44" s="25">
        <f t="shared" si="10"/>
        <v>1.01892755360094</v>
      </c>
    </row>
    <row r="45" ht="14" spans="1:55">
      <c r="A45" s="29">
        <v>2014</v>
      </c>
      <c r="B45" s="29">
        <v>440000</v>
      </c>
      <c r="C45" s="30" t="s">
        <v>55</v>
      </c>
      <c r="D45" s="25">
        <v>0</v>
      </c>
      <c r="E45" s="25">
        <v>1</v>
      </c>
      <c r="F45" s="25">
        <v>0</v>
      </c>
      <c r="G45" s="25">
        <v>0</v>
      </c>
      <c r="H45" s="19">
        <v>56.5</v>
      </c>
      <c r="I45" s="19">
        <v>43.5</v>
      </c>
      <c r="J45" s="25">
        <v>0.5</v>
      </c>
      <c r="K45" s="25">
        <v>12.2</v>
      </c>
      <c r="L45" s="25">
        <f t="shared" si="0"/>
        <v>12.7</v>
      </c>
      <c r="M45" s="25">
        <v>47.8</v>
      </c>
      <c r="N45" s="25">
        <v>24</v>
      </c>
      <c r="O45" s="25">
        <v>9.6</v>
      </c>
      <c r="P45" s="25">
        <f t="shared" si="1"/>
        <v>81.4</v>
      </c>
      <c r="Q45" s="25">
        <v>5.4</v>
      </c>
      <c r="R45" s="19">
        <v>0.4</v>
      </c>
      <c r="S45" s="19">
        <f t="shared" si="2"/>
        <v>5.8</v>
      </c>
      <c r="T45" s="19">
        <v>1112</v>
      </c>
      <c r="U45" s="19">
        <f t="shared" si="3"/>
        <v>0.172993154947106</v>
      </c>
      <c r="V45" s="19">
        <v>2606</v>
      </c>
      <c r="W45" s="19">
        <f t="shared" si="4"/>
        <v>0.405413814561294</v>
      </c>
      <c r="X45" s="19">
        <v>2710</v>
      </c>
      <c r="Y45" s="14">
        <f t="shared" si="5"/>
        <v>0.421593030491599</v>
      </c>
      <c r="Z45" s="14">
        <v>6428</v>
      </c>
      <c r="AA45" s="25">
        <v>5.7</v>
      </c>
      <c r="AB45" s="25">
        <v>3</v>
      </c>
      <c r="AC45" s="25">
        <v>1015.2</v>
      </c>
      <c r="AD45" s="25">
        <v>30.8</v>
      </c>
      <c r="AE45" s="25">
        <v>149.4</v>
      </c>
      <c r="AF45" s="25">
        <v>85.4</v>
      </c>
      <c r="AG45" s="25">
        <v>34.6</v>
      </c>
      <c r="AH45" s="25">
        <v>43.2</v>
      </c>
      <c r="AI45" s="25">
        <v>31.9</v>
      </c>
      <c r="AJ45" s="25">
        <v>60.6</v>
      </c>
      <c r="AK45" s="25">
        <f t="shared" si="6"/>
        <v>255.7</v>
      </c>
      <c r="AL45" s="25">
        <v>95.8</v>
      </c>
      <c r="AM45" s="25">
        <v>37.1</v>
      </c>
      <c r="AN45" s="19">
        <v>7.5</v>
      </c>
      <c r="AO45" s="25">
        <v>11.5</v>
      </c>
      <c r="AP45" s="25">
        <f t="shared" si="7"/>
        <v>151.9</v>
      </c>
      <c r="AQ45" s="25">
        <v>17.3</v>
      </c>
      <c r="AR45" s="25">
        <v>124.5</v>
      </c>
      <c r="AS45" s="25">
        <v>59.7</v>
      </c>
      <c r="AT45" s="25">
        <v>104.3</v>
      </c>
      <c r="AU45" s="25">
        <f t="shared" si="8"/>
        <v>305.8</v>
      </c>
      <c r="AV45" s="25">
        <v>55.8</v>
      </c>
      <c r="AW45" s="19">
        <v>4809.5</v>
      </c>
      <c r="AX45" s="25">
        <v>2407.7</v>
      </c>
      <c r="AY45" s="19">
        <v>7217.1</v>
      </c>
      <c r="AZ45" s="25">
        <v>3647.1</v>
      </c>
      <c r="BA45" s="25">
        <v>6157.1</v>
      </c>
      <c r="BB45" s="25">
        <v>9804.2</v>
      </c>
      <c r="BC45" s="25">
        <f t="shared" si="10"/>
        <v>1.03839703840967</v>
      </c>
    </row>
    <row r="46" ht="14" spans="1:55">
      <c r="A46" s="29">
        <v>2015</v>
      </c>
      <c r="B46" s="29">
        <v>440000</v>
      </c>
      <c r="C46" s="30" t="s">
        <v>55</v>
      </c>
      <c r="D46" s="25">
        <v>0</v>
      </c>
      <c r="E46" s="25">
        <v>1</v>
      </c>
      <c r="F46" s="25">
        <v>0</v>
      </c>
      <c r="G46" s="25">
        <v>0</v>
      </c>
      <c r="H46" s="19">
        <v>59.385</v>
      </c>
      <c r="I46" s="19">
        <v>40.615</v>
      </c>
      <c r="J46" s="25">
        <v>0.864</v>
      </c>
      <c r="K46" s="25">
        <v>12.771</v>
      </c>
      <c r="L46" s="25">
        <f t="shared" si="0"/>
        <v>13.635</v>
      </c>
      <c r="M46" s="25">
        <v>42.666</v>
      </c>
      <c r="N46" s="25">
        <v>17.438</v>
      </c>
      <c r="O46" s="25">
        <v>9.804</v>
      </c>
      <c r="P46" s="25">
        <f t="shared" si="1"/>
        <v>69.908</v>
      </c>
      <c r="Q46" s="25">
        <v>6.947</v>
      </c>
      <c r="R46" s="19">
        <v>0.647</v>
      </c>
      <c r="S46" s="19">
        <f t="shared" si="2"/>
        <v>7.594</v>
      </c>
      <c r="T46" s="19">
        <v>1046</v>
      </c>
      <c r="U46" s="19">
        <f t="shared" si="3"/>
        <v>0.159305513250076</v>
      </c>
      <c r="V46" s="19">
        <v>2627</v>
      </c>
      <c r="W46" s="19">
        <f t="shared" si="4"/>
        <v>0.400091379835516</v>
      </c>
      <c r="X46" s="19">
        <v>2893</v>
      </c>
      <c r="Y46" s="14">
        <f t="shared" si="5"/>
        <v>0.440603106914408</v>
      </c>
      <c r="Z46" s="14">
        <v>6566</v>
      </c>
      <c r="AA46" s="25">
        <v>5.3</v>
      </c>
      <c r="AB46" s="25">
        <v>3</v>
      </c>
      <c r="AC46" s="25">
        <v>981</v>
      </c>
      <c r="AD46" s="25">
        <v>30.7</v>
      </c>
      <c r="AE46" s="25">
        <v>141.6</v>
      </c>
      <c r="AF46" s="25">
        <v>82.8</v>
      </c>
      <c r="AG46" s="25">
        <v>35.3</v>
      </c>
      <c r="AH46" s="25">
        <v>46.1</v>
      </c>
      <c r="AI46" s="25">
        <v>34.7</v>
      </c>
      <c r="AJ46" s="25">
        <v>64.7</v>
      </c>
      <c r="AK46" s="25">
        <f t="shared" si="6"/>
        <v>263.6</v>
      </c>
      <c r="AL46" s="25">
        <v>96.8</v>
      </c>
      <c r="AM46" s="25">
        <v>37.1</v>
      </c>
      <c r="AN46" s="19">
        <v>7.4</v>
      </c>
      <c r="AO46" s="25">
        <v>11.6</v>
      </c>
      <c r="AP46" s="25">
        <f t="shared" si="7"/>
        <v>152.9</v>
      </c>
      <c r="AQ46" s="25">
        <v>17.4</v>
      </c>
      <c r="AR46" s="25">
        <v>125.5</v>
      </c>
      <c r="AS46" s="25">
        <v>61.3</v>
      </c>
      <c r="AT46" s="25">
        <v>106.5</v>
      </c>
      <c r="AU46" s="25">
        <f t="shared" si="8"/>
        <v>310.7</v>
      </c>
      <c r="AV46" s="25">
        <v>59.1</v>
      </c>
      <c r="AW46" s="19">
        <v>5086.527</v>
      </c>
      <c r="AX46" s="25">
        <v>2499.715</v>
      </c>
      <c r="AY46" s="19">
        <v>7586.242</v>
      </c>
      <c r="AZ46" s="25">
        <v>3711.848</v>
      </c>
      <c r="BA46" s="25">
        <v>6424.173</v>
      </c>
      <c r="BB46" s="25">
        <v>10136.021</v>
      </c>
      <c r="BC46" s="25">
        <f t="shared" si="10"/>
        <v>1.03669729953242</v>
      </c>
    </row>
    <row r="47" ht="14" spans="1:55">
      <c r="A47" s="29">
        <v>2016</v>
      </c>
      <c r="B47" s="29">
        <v>440000</v>
      </c>
      <c r="C47" s="30" t="s">
        <v>55</v>
      </c>
      <c r="D47" s="25">
        <v>0</v>
      </c>
      <c r="E47" s="25">
        <v>1</v>
      </c>
      <c r="F47" s="25">
        <v>0</v>
      </c>
      <c r="G47" s="25">
        <v>0</v>
      </c>
      <c r="H47" s="19">
        <v>57.714</v>
      </c>
      <c r="I47" s="19">
        <v>42.286</v>
      </c>
      <c r="J47" s="25">
        <v>0.735</v>
      </c>
      <c r="K47" s="25">
        <v>11.105</v>
      </c>
      <c r="L47" s="25">
        <f t="shared" si="0"/>
        <v>11.84</v>
      </c>
      <c r="M47" s="25">
        <v>42.863</v>
      </c>
      <c r="N47" s="25">
        <v>17.738</v>
      </c>
      <c r="O47" s="25">
        <v>10.96</v>
      </c>
      <c r="P47" s="25">
        <f t="shared" si="1"/>
        <v>71.561</v>
      </c>
      <c r="Q47" s="25">
        <v>7.08</v>
      </c>
      <c r="R47" s="19">
        <v>0.531</v>
      </c>
      <c r="S47" s="19">
        <f t="shared" si="2"/>
        <v>7.611</v>
      </c>
      <c r="T47" s="19">
        <v>987</v>
      </c>
      <c r="U47" s="19">
        <f t="shared" si="3"/>
        <v>0.147247501118902</v>
      </c>
      <c r="V47" s="19">
        <v>2611</v>
      </c>
      <c r="W47" s="19">
        <f t="shared" si="4"/>
        <v>0.389527077428017</v>
      </c>
      <c r="X47" s="19">
        <v>3105</v>
      </c>
      <c r="Y47" s="14">
        <f t="shared" si="5"/>
        <v>0.463225421453081</v>
      </c>
      <c r="Z47" s="14">
        <v>6703</v>
      </c>
      <c r="AA47" s="25">
        <v>4.8</v>
      </c>
      <c r="AB47" s="25">
        <v>2.8</v>
      </c>
      <c r="AC47" s="25">
        <v>959.7</v>
      </c>
      <c r="AD47" s="25">
        <v>31.3</v>
      </c>
      <c r="AE47" s="25">
        <v>143.3</v>
      </c>
      <c r="AF47" s="25">
        <v>81.1</v>
      </c>
      <c r="AG47" s="25">
        <v>43.5</v>
      </c>
      <c r="AH47" s="25">
        <v>51.8</v>
      </c>
      <c r="AI47" s="25">
        <v>32.3</v>
      </c>
      <c r="AJ47" s="25">
        <v>71.2</v>
      </c>
      <c r="AK47" s="25">
        <f t="shared" si="6"/>
        <v>279.9</v>
      </c>
      <c r="AL47" s="25">
        <v>102.8</v>
      </c>
      <c r="AM47" s="25">
        <v>37</v>
      </c>
      <c r="AN47" s="19">
        <v>7.7</v>
      </c>
      <c r="AO47" s="25">
        <v>11.8</v>
      </c>
      <c r="AP47" s="25">
        <f t="shared" si="7"/>
        <v>159.3</v>
      </c>
      <c r="AQ47" s="25">
        <v>16.9</v>
      </c>
      <c r="AR47" s="25">
        <v>125.6</v>
      </c>
      <c r="AS47" s="25">
        <v>63.5</v>
      </c>
      <c r="AT47" s="25">
        <v>108.7</v>
      </c>
      <c r="AU47" s="25">
        <f t="shared" si="8"/>
        <v>314.7</v>
      </c>
      <c r="AV47" s="25">
        <v>61.8</v>
      </c>
      <c r="AW47" s="19">
        <v>5392.432</v>
      </c>
      <c r="AX47" s="25">
        <v>2543.222</v>
      </c>
      <c r="AY47" s="19">
        <v>7935.654</v>
      </c>
      <c r="AZ47" s="25">
        <v>3814.1</v>
      </c>
      <c r="BA47" s="25">
        <v>6336.062</v>
      </c>
      <c r="BB47" s="25">
        <v>10150.163</v>
      </c>
      <c r="BC47" s="25">
        <f t="shared" si="10"/>
        <v>1.05528691010912</v>
      </c>
    </row>
    <row r="48" ht="14" spans="1:55">
      <c r="A48" s="29">
        <v>2017</v>
      </c>
      <c r="B48" s="29">
        <v>440000</v>
      </c>
      <c r="C48" s="30" t="s">
        <v>55</v>
      </c>
      <c r="D48" s="25">
        <v>0</v>
      </c>
      <c r="E48" s="25">
        <v>1</v>
      </c>
      <c r="F48" s="25">
        <v>0</v>
      </c>
      <c r="G48" s="25">
        <v>0</v>
      </c>
      <c r="H48" s="19">
        <v>56.948</v>
      </c>
      <c r="I48" s="19">
        <v>43.052</v>
      </c>
      <c r="J48" s="25">
        <v>0.502</v>
      </c>
      <c r="K48" s="25">
        <v>10.679</v>
      </c>
      <c r="L48" s="25">
        <f t="shared" si="0"/>
        <v>11.181</v>
      </c>
      <c r="M48" s="25">
        <v>41.905</v>
      </c>
      <c r="N48" s="25">
        <v>18.902</v>
      </c>
      <c r="O48" s="25">
        <v>10.808</v>
      </c>
      <c r="P48" s="25">
        <f t="shared" si="1"/>
        <v>71.615</v>
      </c>
      <c r="Q48" s="25">
        <v>7.32</v>
      </c>
      <c r="R48" s="19">
        <v>0.539</v>
      </c>
      <c r="S48" s="19">
        <f t="shared" si="2"/>
        <v>7.859</v>
      </c>
      <c r="T48" s="19">
        <v>933</v>
      </c>
      <c r="U48" s="19">
        <f t="shared" si="3"/>
        <v>0.136045494313211</v>
      </c>
      <c r="V48" s="19">
        <v>2592</v>
      </c>
      <c r="W48" s="19">
        <f t="shared" si="4"/>
        <v>0.377952755905512</v>
      </c>
      <c r="X48" s="19">
        <v>3333</v>
      </c>
      <c r="Y48" s="14">
        <f t="shared" si="5"/>
        <v>0.486001749781277</v>
      </c>
      <c r="Z48" s="14">
        <v>6858</v>
      </c>
      <c r="AA48" s="25">
        <v>4.6</v>
      </c>
      <c r="AB48" s="25">
        <v>2.5</v>
      </c>
      <c r="AC48" s="25">
        <v>929.4</v>
      </c>
      <c r="AD48" s="25">
        <v>29.9</v>
      </c>
      <c r="AE48" s="25">
        <v>154.2</v>
      </c>
      <c r="AF48" s="25">
        <v>83.3</v>
      </c>
      <c r="AG48" s="25">
        <v>49.9</v>
      </c>
      <c r="AH48" s="25">
        <v>48.9</v>
      </c>
      <c r="AI48" s="25">
        <v>33.9</v>
      </c>
      <c r="AJ48" s="25">
        <v>76.1</v>
      </c>
      <c r="AK48" s="25">
        <f t="shared" si="6"/>
        <v>292.1</v>
      </c>
      <c r="AL48" s="25">
        <v>102.7</v>
      </c>
      <c r="AM48" s="25">
        <v>36.5</v>
      </c>
      <c r="AN48" s="19">
        <v>9</v>
      </c>
      <c r="AO48" s="25">
        <v>11.5</v>
      </c>
      <c r="AP48" s="25">
        <f t="shared" si="7"/>
        <v>159.7</v>
      </c>
      <c r="AQ48" s="25">
        <v>17.2</v>
      </c>
      <c r="AR48" s="25">
        <v>127.5</v>
      </c>
      <c r="AS48" s="25">
        <v>65.8</v>
      </c>
      <c r="AT48" s="25">
        <v>114.1</v>
      </c>
      <c r="AU48" s="25">
        <f t="shared" si="8"/>
        <v>324.6</v>
      </c>
      <c r="AV48" s="25">
        <v>66.3</v>
      </c>
      <c r="AW48" s="19">
        <v>5287.077</v>
      </c>
      <c r="AX48" s="25">
        <v>2586.755</v>
      </c>
      <c r="AY48" s="19">
        <v>7873.832</v>
      </c>
      <c r="AZ48" s="25">
        <v>3962.637</v>
      </c>
      <c r="BA48" s="25">
        <v>6402.431</v>
      </c>
      <c r="BB48" s="25">
        <v>10365.068</v>
      </c>
      <c r="BC48" s="25">
        <f t="shared" si="10"/>
        <v>1.05378134704494</v>
      </c>
    </row>
    <row r="49" ht="14" spans="1:55">
      <c r="A49" s="29">
        <v>2018</v>
      </c>
      <c r="B49" s="29">
        <v>440000</v>
      </c>
      <c r="C49" s="30" t="s">
        <v>55</v>
      </c>
      <c r="D49" s="25">
        <v>0</v>
      </c>
      <c r="E49" s="25">
        <v>1</v>
      </c>
      <c r="F49" s="25">
        <v>0</v>
      </c>
      <c r="G49" s="25">
        <v>0</v>
      </c>
      <c r="H49" s="19">
        <v>56.96</v>
      </c>
      <c r="I49" s="19">
        <v>43.04</v>
      </c>
      <c r="J49" s="25">
        <v>0.557</v>
      </c>
      <c r="K49" s="25">
        <v>10.406</v>
      </c>
      <c r="L49" s="25">
        <f t="shared" si="0"/>
        <v>10.963</v>
      </c>
      <c r="M49" s="25">
        <v>41.957</v>
      </c>
      <c r="N49" s="25">
        <v>18.685</v>
      </c>
      <c r="O49" s="25">
        <v>11.281</v>
      </c>
      <c r="P49" s="25">
        <f t="shared" si="1"/>
        <v>71.923</v>
      </c>
      <c r="Q49" s="25">
        <v>7.908</v>
      </c>
      <c r="R49" s="19">
        <v>0.53</v>
      </c>
      <c r="S49" s="19">
        <f t="shared" si="2"/>
        <v>8.438</v>
      </c>
      <c r="T49" s="19">
        <v>864</v>
      </c>
      <c r="U49" s="19">
        <f t="shared" si="3"/>
        <v>0.124137931034483</v>
      </c>
      <c r="V49" s="19">
        <v>2506</v>
      </c>
      <c r="W49" s="19">
        <f t="shared" si="4"/>
        <v>0.360057471264368</v>
      </c>
      <c r="X49" s="19">
        <v>3590</v>
      </c>
      <c r="Y49" s="14">
        <f t="shared" si="5"/>
        <v>0.515804597701149</v>
      </c>
      <c r="Z49" s="14">
        <v>6960</v>
      </c>
      <c r="AA49" s="25">
        <v>4.1</v>
      </c>
      <c r="AB49" s="25">
        <v>2.2</v>
      </c>
      <c r="AC49" s="25">
        <v>882.5</v>
      </c>
      <c r="AD49" s="25">
        <v>28</v>
      </c>
      <c r="AE49" s="25">
        <v>169</v>
      </c>
      <c r="AF49" s="25">
        <v>86.4</v>
      </c>
      <c r="AG49" s="25">
        <v>60.8</v>
      </c>
      <c r="AH49" s="25">
        <v>61.3</v>
      </c>
      <c r="AI49" s="25">
        <v>37.8</v>
      </c>
      <c r="AJ49" s="25">
        <v>78.8</v>
      </c>
      <c r="AK49" s="25">
        <f t="shared" si="6"/>
        <v>325.1</v>
      </c>
      <c r="AL49" s="25">
        <v>107.8</v>
      </c>
      <c r="AM49" s="25">
        <v>40.7</v>
      </c>
      <c r="AN49" s="19">
        <v>10.7</v>
      </c>
      <c r="AO49" s="25">
        <v>10.5</v>
      </c>
      <c r="AP49" s="25">
        <f t="shared" si="7"/>
        <v>169.7</v>
      </c>
      <c r="AQ49" s="25">
        <v>18.6</v>
      </c>
      <c r="AR49" s="25">
        <v>130.1</v>
      </c>
      <c r="AS49" s="25">
        <v>67.9</v>
      </c>
      <c r="AT49" s="25">
        <v>119.9</v>
      </c>
      <c r="AU49" s="25">
        <f t="shared" si="8"/>
        <v>336.5</v>
      </c>
      <c r="AV49" s="25">
        <v>77.1</v>
      </c>
      <c r="AW49" s="19">
        <v>4919.656</v>
      </c>
      <c r="AX49" s="25">
        <v>2661.071</v>
      </c>
      <c r="AY49" s="19">
        <v>7580.727</v>
      </c>
      <c r="AZ49" s="25">
        <v>4170.692</v>
      </c>
      <c r="BA49" s="25">
        <v>6445.078</v>
      </c>
      <c r="BB49" s="25">
        <v>10615.771</v>
      </c>
      <c r="BC49" s="25">
        <f t="shared" si="10"/>
        <v>1.04184586697969</v>
      </c>
    </row>
    <row r="50" ht="14" spans="1:55">
      <c r="A50" s="29">
        <v>2019</v>
      </c>
      <c r="B50" s="29">
        <v>440000</v>
      </c>
      <c r="C50" s="30" t="s">
        <v>55</v>
      </c>
      <c r="D50" s="25">
        <v>0</v>
      </c>
      <c r="E50" s="25">
        <v>1</v>
      </c>
      <c r="F50" s="25">
        <v>0</v>
      </c>
      <c r="G50" s="25">
        <v>0</v>
      </c>
      <c r="H50" s="19">
        <v>60.5</v>
      </c>
      <c r="I50" s="19">
        <v>39.5</v>
      </c>
      <c r="J50" s="25">
        <v>0.5</v>
      </c>
      <c r="K50" s="25">
        <v>10.7</v>
      </c>
      <c r="L50" s="25">
        <f t="shared" si="0"/>
        <v>11.2</v>
      </c>
      <c r="M50" s="25">
        <v>39.1</v>
      </c>
      <c r="N50" s="25">
        <v>25.7</v>
      </c>
      <c r="O50" s="25">
        <v>13.2</v>
      </c>
      <c r="P50" s="25">
        <f t="shared" si="1"/>
        <v>78</v>
      </c>
      <c r="Q50" s="25">
        <v>9.8</v>
      </c>
      <c r="R50" s="19">
        <v>1</v>
      </c>
      <c r="S50" s="19">
        <f t="shared" si="2"/>
        <v>10.8</v>
      </c>
      <c r="T50" s="19">
        <v>823</v>
      </c>
      <c r="U50" s="19">
        <f t="shared" si="3"/>
        <v>0.117655468191565</v>
      </c>
      <c r="V50" s="19">
        <v>2522</v>
      </c>
      <c r="W50" s="19">
        <f t="shared" si="4"/>
        <v>0.360543245175125</v>
      </c>
      <c r="X50" s="19">
        <v>3650</v>
      </c>
      <c r="Y50" s="14">
        <f t="shared" si="5"/>
        <v>0.521801286633309</v>
      </c>
      <c r="Z50" s="14">
        <v>6995</v>
      </c>
      <c r="AA50" s="25">
        <v>2.4</v>
      </c>
      <c r="AB50" s="25">
        <v>1.7</v>
      </c>
      <c r="AC50" s="25">
        <v>835.8</v>
      </c>
      <c r="AD50" s="25">
        <v>25.7</v>
      </c>
      <c r="AE50" s="25">
        <v>132.8</v>
      </c>
      <c r="AF50" s="25">
        <v>82.6</v>
      </c>
      <c r="AG50" s="25">
        <v>66.2</v>
      </c>
      <c r="AH50" s="25">
        <v>84.4</v>
      </c>
      <c r="AI50" s="25">
        <v>47.3</v>
      </c>
      <c r="AJ50" s="25">
        <v>112.6</v>
      </c>
      <c r="AK50" s="25">
        <f t="shared" si="6"/>
        <v>393.1</v>
      </c>
      <c r="AL50" s="25">
        <v>114.7</v>
      </c>
      <c r="AM50" s="25">
        <v>40.6</v>
      </c>
      <c r="AN50" s="19">
        <v>12.9</v>
      </c>
      <c r="AO50" s="25">
        <v>13.4</v>
      </c>
      <c r="AP50" s="25">
        <f t="shared" si="7"/>
        <v>181.6</v>
      </c>
      <c r="AQ50" s="25">
        <v>18</v>
      </c>
      <c r="AR50" s="25">
        <v>162.4</v>
      </c>
      <c r="AS50" s="25">
        <v>82.9</v>
      </c>
      <c r="AT50" s="25">
        <v>142.1</v>
      </c>
      <c r="AU50" s="25">
        <f t="shared" si="8"/>
        <v>405.4</v>
      </c>
      <c r="AV50" s="25">
        <v>86</v>
      </c>
      <c r="AW50" s="19">
        <v>4633.4</v>
      </c>
      <c r="AX50" s="25">
        <v>2646.2</v>
      </c>
      <c r="AY50" s="19">
        <v>7279.6</v>
      </c>
      <c r="AZ50" s="25">
        <v>4375.7</v>
      </c>
      <c r="BA50" s="25">
        <v>6407.7</v>
      </c>
      <c r="BB50" s="25">
        <v>10783.5</v>
      </c>
      <c r="BC50" s="25">
        <f t="shared" si="10"/>
        <v>1.04226836100774</v>
      </c>
    </row>
    <row r="51" ht="14" spans="1:55">
      <c r="A51" s="29">
        <v>2020</v>
      </c>
      <c r="B51" s="29">
        <v>440000</v>
      </c>
      <c r="C51" s="30" t="s">
        <v>55</v>
      </c>
      <c r="D51" s="25">
        <v>0</v>
      </c>
      <c r="E51" s="25">
        <v>1</v>
      </c>
      <c r="F51" s="25">
        <v>0</v>
      </c>
      <c r="G51" s="25">
        <v>0</v>
      </c>
      <c r="H51" s="19">
        <v>59.9</v>
      </c>
      <c r="I51" s="19">
        <v>40.1</v>
      </c>
      <c r="J51" s="25">
        <v>0.7</v>
      </c>
      <c r="K51" s="25">
        <v>10.5</v>
      </c>
      <c r="L51" s="25">
        <f t="shared" si="0"/>
        <v>11.2</v>
      </c>
      <c r="M51" s="25">
        <v>40.7</v>
      </c>
      <c r="N51" s="25">
        <v>23.4</v>
      </c>
      <c r="O51" s="25">
        <v>13.8</v>
      </c>
      <c r="P51" s="25">
        <f t="shared" si="1"/>
        <v>77.9</v>
      </c>
      <c r="Q51" s="25">
        <v>9.9</v>
      </c>
      <c r="R51" s="19">
        <v>0.9</v>
      </c>
      <c r="S51" s="19">
        <f t="shared" si="2"/>
        <v>10.8</v>
      </c>
      <c r="T51" s="19">
        <v>767</v>
      </c>
      <c r="U51" s="19">
        <f t="shared" si="3"/>
        <v>0.108964341525785</v>
      </c>
      <c r="V51" s="19">
        <v>2526</v>
      </c>
      <c r="W51" s="19">
        <f t="shared" si="4"/>
        <v>0.358857792300043</v>
      </c>
      <c r="X51" s="19">
        <v>3746</v>
      </c>
      <c r="Y51" s="14">
        <f t="shared" si="5"/>
        <v>0.532177866174173</v>
      </c>
      <c r="Z51" s="14">
        <v>7039</v>
      </c>
      <c r="AA51" s="25">
        <v>2.2</v>
      </c>
      <c r="AB51" s="25">
        <v>1.4</v>
      </c>
      <c r="AC51" s="25">
        <v>819.1</v>
      </c>
      <c r="AD51" s="25">
        <v>26.9</v>
      </c>
      <c r="AE51" s="25">
        <v>127.8</v>
      </c>
      <c r="AF51" s="25">
        <v>83.1</v>
      </c>
      <c r="AG51" s="25">
        <v>74</v>
      </c>
      <c r="AH51" s="25">
        <v>95.3</v>
      </c>
      <c r="AI51" s="25">
        <v>47.8</v>
      </c>
      <c r="AJ51" s="25">
        <v>118.6</v>
      </c>
      <c r="AK51" s="25">
        <f t="shared" si="6"/>
        <v>418.8</v>
      </c>
      <c r="AL51" s="25">
        <v>105.4</v>
      </c>
      <c r="AM51" s="25">
        <v>39.3</v>
      </c>
      <c r="AN51" s="19">
        <v>11.6</v>
      </c>
      <c r="AO51" s="25">
        <v>12.5</v>
      </c>
      <c r="AP51" s="25">
        <f t="shared" si="7"/>
        <v>168.8</v>
      </c>
      <c r="AQ51" s="25">
        <v>20.4</v>
      </c>
      <c r="AR51" s="25">
        <v>169.8</v>
      </c>
      <c r="AS51" s="25">
        <v>90.6</v>
      </c>
      <c r="AT51" s="25">
        <v>149.4</v>
      </c>
      <c r="AU51" s="25">
        <f t="shared" si="8"/>
        <v>430.2</v>
      </c>
      <c r="AV51" s="25">
        <v>90.1</v>
      </c>
      <c r="AW51" s="19">
        <v>4873.1</v>
      </c>
      <c r="AX51" s="25">
        <v>2655.3</v>
      </c>
      <c r="AY51" s="19">
        <v>7528.3</v>
      </c>
      <c r="AZ51" s="25">
        <v>4578.1</v>
      </c>
      <c r="BA51" s="25">
        <v>6413.3</v>
      </c>
      <c r="BB51" s="25">
        <v>10991.4</v>
      </c>
      <c r="BC51" s="25">
        <f t="shared" si="10"/>
        <v>1.06382072155887</v>
      </c>
    </row>
    <row r="52" ht="14" spans="1:55">
      <c r="A52" s="29">
        <v>2021</v>
      </c>
      <c r="B52" s="29">
        <v>440000</v>
      </c>
      <c r="C52" s="30" t="s">
        <v>55</v>
      </c>
      <c r="D52" s="25">
        <v>0</v>
      </c>
      <c r="E52" s="25">
        <v>1</v>
      </c>
      <c r="F52" s="25">
        <v>0</v>
      </c>
      <c r="G52" s="25">
        <v>0</v>
      </c>
      <c r="H52" s="19">
        <v>58.701</v>
      </c>
      <c r="I52" s="19">
        <v>41.299</v>
      </c>
      <c r="J52" s="25">
        <v>0.635</v>
      </c>
      <c r="K52" s="25">
        <v>9.869</v>
      </c>
      <c r="L52" s="25">
        <f t="shared" si="0"/>
        <v>10.504</v>
      </c>
      <c r="M52" s="25">
        <v>40.24</v>
      </c>
      <c r="N52" s="25">
        <v>23.558</v>
      </c>
      <c r="O52" s="25">
        <v>13.735</v>
      </c>
      <c r="P52" s="25">
        <f t="shared" si="1"/>
        <v>77.533</v>
      </c>
      <c r="Q52" s="25">
        <v>10.833</v>
      </c>
      <c r="R52" s="19">
        <v>1.129</v>
      </c>
      <c r="S52" s="19">
        <f t="shared" si="2"/>
        <v>11.962</v>
      </c>
      <c r="T52" s="19">
        <v>753</v>
      </c>
      <c r="U52" s="19">
        <f t="shared" si="3"/>
        <v>0.106476244343891</v>
      </c>
      <c r="V52" s="19">
        <v>2565</v>
      </c>
      <c r="W52" s="19">
        <f t="shared" si="4"/>
        <v>0.362697963800905</v>
      </c>
      <c r="X52" s="19">
        <v>3754</v>
      </c>
      <c r="Y52" s="14">
        <f t="shared" si="5"/>
        <v>0.530825791855204</v>
      </c>
      <c r="Z52" s="14">
        <v>7072</v>
      </c>
      <c r="AA52" s="25">
        <v>2.1</v>
      </c>
      <c r="AB52" s="25">
        <v>1.4</v>
      </c>
      <c r="AC52" s="25">
        <v>830</v>
      </c>
      <c r="AD52" s="25">
        <v>27.5</v>
      </c>
      <c r="AE52" s="25">
        <v>124.5</v>
      </c>
      <c r="AF52" s="25">
        <v>81.1</v>
      </c>
      <c r="AG52" s="25">
        <v>80.6</v>
      </c>
      <c r="AH52" s="25">
        <v>83.7</v>
      </c>
      <c r="AI52" s="25">
        <v>51.5</v>
      </c>
      <c r="AJ52" s="25">
        <v>119.2</v>
      </c>
      <c r="AK52" s="25">
        <f t="shared" si="6"/>
        <v>416.1</v>
      </c>
      <c r="AL52" s="25">
        <v>109.6</v>
      </c>
      <c r="AM52" s="25">
        <v>41.7</v>
      </c>
      <c r="AN52" s="19">
        <v>12.4</v>
      </c>
      <c r="AO52" s="25">
        <v>13.1</v>
      </c>
      <c r="AP52" s="25">
        <f t="shared" si="7"/>
        <v>176.8</v>
      </c>
      <c r="AQ52" s="25">
        <v>21.7</v>
      </c>
      <c r="AR52" s="25">
        <v>170.2</v>
      </c>
      <c r="AS52" s="25">
        <v>95.7</v>
      </c>
      <c r="AT52" s="25">
        <v>154.2</v>
      </c>
      <c r="AU52" s="25">
        <f t="shared" si="8"/>
        <v>441.8</v>
      </c>
      <c r="AV52" s="25">
        <v>90.8</v>
      </c>
      <c r="AW52" s="19">
        <v>5079.485</v>
      </c>
      <c r="AX52" s="25">
        <v>2681.397</v>
      </c>
      <c r="AY52" s="19">
        <v>7760.882</v>
      </c>
      <c r="AZ52" s="25">
        <v>4757.138</v>
      </c>
      <c r="BA52" s="25">
        <v>6514.781</v>
      </c>
      <c r="BB52" s="25">
        <v>11271.919</v>
      </c>
      <c r="BC52" s="25">
        <f t="shared" si="10"/>
        <v>1.07653285709224</v>
      </c>
    </row>
    <row r="53" ht="14" spans="1:55">
      <c r="A53" s="29">
        <v>2022</v>
      </c>
      <c r="B53" s="29">
        <v>440000</v>
      </c>
      <c r="C53" s="30" t="s">
        <v>55</v>
      </c>
      <c r="D53" s="25">
        <v>0</v>
      </c>
      <c r="E53" s="25">
        <v>1</v>
      </c>
      <c r="F53" s="25">
        <v>0</v>
      </c>
      <c r="G53" s="25">
        <v>0</v>
      </c>
      <c r="H53" s="19">
        <v>58.236</v>
      </c>
      <c r="I53" s="19">
        <v>41.764</v>
      </c>
      <c r="J53" s="25">
        <v>0.686</v>
      </c>
      <c r="K53" s="25">
        <v>12.152</v>
      </c>
      <c r="L53" s="25">
        <f t="shared" si="0"/>
        <v>12.838</v>
      </c>
      <c r="M53" s="25">
        <v>39.003</v>
      </c>
      <c r="N53" s="25">
        <v>20.672</v>
      </c>
      <c r="O53" s="25">
        <v>14.18</v>
      </c>
      <c r="P53" s="25">
        <f t="shared" si="1"/>
        <v>73.855</v>
      </c>
      <c r="Q53" s="25">
        <v>12.061</v>
      </c>
      <c r="R53" s="19">
        <v>1.246</v>
      </c>
      <c r="S53" s="19">
        <f t="shared" si="2"/>
        <v>13.307</v>
      </c>
      <c r="T53" s="19">
        <v>722</v>
      </c>
      <c r="U53" s="19">
        <f t="shared" si="3"/>
        <v>0.104577056778679</v>
      </c>
      <c r="V53" s="19">
        <v>2524</v>
      </c>
      <c r="W53" s="19">
        <f t="shared" si="4"/>
        <v>0.36558516801854</v>
      </c>
      <c r="X53" s="19">
        <v>3658</v>
      </c>
      <c r="Y53" s="14">
        <f t="shared" si="5"/>
        <v>0.529837775202781</v>
      </c>
      <c r="Z53" s="14">
        <v>6904</v>
      </c>
      <c r="AA53" s="25">
        <v>1.9</v>
      </c>
      <c r="AB53" s="25">
        <v>1.5</v>
      </c>
      <c r="AC53" s="25">
        <v>782.2</v>
      </c>
      <c r="AD53" s="25">
        <v>26.8</v>
      </c>
      <c r="AE53" s="25">
        <v>119.6</v>
      </c>
      <c r="AF53" s="25">
        <v>80</v>
      </c>
      <c r="AG53" s="25">
        <v>83.9</v>
      </c>
      <c r="AH53" s="25">
        <v>79</v>
      </c>
      <c r="AI53" s="25">
        <v>52.4</v>
      </c>
      <c r="AJ53" s="25">
        <v>130.6</v>
      </c>
      <c r="AK53" s="25">
        <f t="shared" si="6"/>
        <v>425.9</v>
      </c>
      <c r="AL53" s="25">
        <v>109.1</v>
      </c>
      <c r="AM53" s="25">
        <v>40.5</v>
      </c>
      <c r="AN53" s="19">
        <v>13</v>
      </c>
      <c r="AO53" s="25">
        <v>12.5</v>
      </c>
      <c r="AP53" s="25">
        <f t="shared" si="7"/>
        <v>175.1</v>
      </c>
      <c r="AQ53" s="25">
        <v>22.4</v>
      </c>
      <c r="AR53" s="25">
        <v>169.7</v>
      </c>
      <c r="AS53" s="25">
        <v>96.9</v>
      </c>
      <c r="AT53" s="25">
        <v>154</v>
      </c>
      <c r="AU53" s="25">
        <f t="shared" si="8"/>
        <v>443</v>
      </c>
      <c r="AV53" s="25">
        <v>90.8</v>
      </c>
      <c r="AW53" s="19">
        <v>5229.207</v>
      </c>
      <c r="AX53" s="25">
        <v>2764.324</v>
      </c>
      <c r="AY53" s="19">
        <v>7993.531</v>
      </c>
      <c r="AZ53" s="25">
        <v>4856.021</v>
      </c>
      <c r="BA53" s="25">
        <v>6297.178</v>
      </c>
      <c r="BB53" s="25">
        <v>11153.198</v>
      </c>
      <c r="BC53" s="25">
        <f t="shared" si="10"/>
        <v>1.08957256201024</v>
      </c>
    </row>
    <row r="54" ht="14" spans="1:55">
      <c r="A54" s="29">
        <v>2013</v>
      </c>
      <c r="B54" s="29">
        <v>450000</v>
      </c>
      <c r="C54" s="30" t="s">
        <v>56</v>
      </c>
      <c r="D54" s="25">
        <v>1</v>
      </c>
      <c r="E54" s="25">
        <v>0</v>
      </c>
      <c r="F54" s="25">
        <v>0</v>
      </c>
      <c r="G54" s="25">
        <v>0</v>
      </c>
      <c r="H54" s="19">
        <v>53.0259999999998</v>
      </c>
      <c r="I54" s="19">
        <v>46.9740000000002</v>
      </c>
      <c r="J54" s="25">
        <v>1.214</v>
      </c>
      <c r="K54" s="25">
        <v>18.992</v>
      </c>
      <c r="L54" s="25">
        <f t="shared" si="0"/>
        <v>20.206</v>
      </c>
      <c r="M54" s="25">
        <v>57.736</v>
      </c>
      <c r="N54" s="25">
        <v>13.723</v>
      </c>
      <c r="O54" s="25">
        <v>5.344</v>
      </c>
      <c r="P54" s="25">
        <f t="shared" si="1"/>
        <v>76.803</v>
      </c>
      <c r="Q54" s="25">
        <v>2.761</v>
      </c>
      <c r="R54" s="19">
        <v>0.23</v>
      </c>
      <c r="S54" s="19">
        <f t="shared" si="2"/>
        <v>2.991</v>
      </c>
      <c r="T54" s="19">
        <v>1478.43</v>
      </c>
      <c r="U54" s="19">
        <f t="shared" si="3"/>
        <v>0.531377369476613</v>
      </c>
      <c r="V54" s="19">
        <v>528.98</v>
      </c>
      <c r="W54" s="19">
        <f t="shared" si="4"/>
        <v>0.190126012665962</v>
      </c>
      <c r="X54" s="19">
        <v>774.85</v>
      </c>
      <c r="Y54" s="14">
        <f t="shared" si="5"/>
        <v>0.278496617857425</v>
      </c>
      <c r="Z54" s="14">
        <v>2782.26</v>
      </c>
      <c r="AA54" s="25">
        <v>9.1</v>
      </c>
      <c r="AB54" s="25">
        <v>4.4</v>
      </c>
      <c r="AC54" s="25">
        <v>80.8</v>
      </c>
      <c r="AD54" s="25">
        <v>14.7</v>
      </c>
      <c r="AE54" s="25">
        <v>60.9</v>
      </c>
      <c r="AF54" s="25">
        <v>21.2</v>
      </c>
      <c r="AG54" s="25">
        <v>5.2</v>
      </c>
      <c r="AH54" s="25">
        <v>11.6</v>
      </c>
      <c r="AI54" s="25">
        <v>9.4</v>
      </c>
      <c r="AJ54" s="25">
        <v>9.8</v>
      </c>
      <c r="AK54" s="25">
        <f t="shared" si="6"/>
        <v>57.2</v>
      </c>
      <c r="AL54" s="25">
        <v>14.1</v>
      </c>
      <c r="AM54" s="25">
        <v>5.4</v>
      </c>
      <c r="AN54" s="19">
        <v>0.6</v>
      </c>
      <c r="AO54" s="25">
        <v>3.3</v>
      </c>
      <c r="AP54" s="25">
        <f t="shared" si="7"/>
        <v>23.4</v>
      </c>
      <c r="AQ54" s="25">
        <v>9.6</v>
      </c>
      <c r="AR54" s="25">
        <v>61.8</v>
      </c>
      <c r="AS54" s="25">
        <v>28</v>
      </c>
      <c r="AT54" s="25">
        <v>45.2</v>
      </c>
      <c r="AU54" s="25">
        <f t="shared" si="8"/>
        <v>144.6</v>
      </c>
      <c r="AV54" s="25">
        <v>7.8</v>
      </c>
      <c r="AW54" s="19">
        <v>538.369</v>
      </c>
      <c r="AX54" s="25">
        <v>1663.986</v>
      </c>
      <c r="AY54" s="19">
        <v>2202.355</v>
      </c>
      <c r="AZ54" s="25">
        <v>466.615</v>
      </c>
      <c r="BA54" s="25">
        <v>564.36</v>
      </c>
      <c r="BB54" s="25">
        <v>1030.975</v>
      </c>
      <c r="BC54" s="25">
        <f t="shared" si="10"/>
        <v>0.697047351330887</v>
      </c>
    </row>
    <row r="55" ht="14" spans="1:55">
      <c r="A55" s="29">
        <v>2014</v>
      </c>
      <c r="B55" s="29">
        <v>450000</v>
      </c>
      <c r="C55" s="30" t="s">
        <v>56</v>
      </c>
      <c r="D55" s="25">
        <v>1</v>
      </c>
      <c r="E55" s="25">
        <v>0</v>
      </c>
      <c r="F55" s="25">
        <v>0</v>
      </c>
      <c r="G55" s="25">
        <v>0</v>
      </c>
      <c r="H55" s="19">
        <v>54.7</v>
      </c>
      <c r="I55" s="19">
        <v>45.3</v>
      </c>
      <c r="J55" s="25">
        <v>0.9</v>
      </c>
      <c r="K55" s="25">
        <v>18.3</v>
      </c>
      <c r="L55" s="25">
        <f t="shared" si="0"/>
        <v>19.2</v>
      </c>
      <c r="M55" s="25">
        <v>58.2</v>
      </c>
      <c r="N55" s="25">
        <v>12.2</v>
      </c>
      <c r="O55" s="25">
        <v>7.2</v>
      </c>
      <c r="P55" s="25">
        <f t="shared" si="1"/>
        <v>77.6</v>
      </c>
      <c r="Q55" s="25">
        <v>3</v>
      </c>
      <c r="R55" s="19">
        <v>0.3</v>
      </c>
      <c r="S55" s="19">
        <f t="shared" si="2"/>
        <v>3.3</v>
      </c>
      <c r="T55" s="19">
        <v>1450</v>
      </c>
      <c r="U55" s="19">
        <f t="shared" si="3"/>
        <v>0.518783542039356</v>
      </c>
      <c r="V55" s="19">
        <v>540</v>
      </c>
      <c r="W55" s="19">
        <f t="shared" si="4"/>
        <v>0.193202146690519</v>
      </c>
      <c r="X55" s="19">
        <v>805</v>
      </c>
      <c r="Y55" s="14">
        <f t="shared" si="5"/>
        <v>0.288014311270125</v>
      </c>
      <c r="Z55" s="14">
        <v>2795</v>
      </c>
      <c r="AA55" s="25">
        <v>8.3</v>
      </c>
      <c r="AB55" s="25">
        <v>3.8</v>
      </c>
      <c r="AC55" s="25">
        <v>78.2</v>
      </c>
      <c r="AD55" s="25">
        <v>14.1</v>
      </c>
      <c r="AE55" s="25">
        <v>61</v>
      </c>
      <c r="AF55" s="25">
        <v>20.9</v>
      </c>
      <c r="AG55" s="25">
        <v>4.5</v>
      </c>
      <c r="AH55" s="25">
        <v>11.8</v>
      </c>
      <c r="AI55" s="25">
        <v>9.8</v>
      </c>
      <c r="AJ55" s="25">
        <v>11.1</v>
      </c>
      <c r="AK55" s="25">
        <f t="shared" si="6"/>
        <v>58.1</v>
      </c>
      <c r="AL55" s="25">
        <v>13.3</v>
      </c>
      <c r="AM55" s="25">
        <v>5</v>
      </c>
      <c r="AN55" s="19">
        <v>0.8</v>
      </c>
      <c r="AO55" s="25">
        <v>3.4</v>
      </c>
      <c r="AP55" s="25">
        <f t="shared" si="7"/>
        <v>22.5</v>
      </c>
      <c r="AQ55" s="25">
        <v>9.6</v>
      </c>
      <c r="AR55" s="25">
        <v>61.9</v>
      </c>
      <c r="AS55" s="25">
        <v>29.9</v>
      </c>
      <c r="AT55" s="25">
        <v>46.4</v>
      </c>
      <c r="AU55" s="25">
        <f t="shared" si="8"/>
        <v>147.8</v>
      </c>
      <c r="AV55" s="25">
        <v>8</v>
      </c>
      <c r="AW55" s="19">
        <v>557.6</v>
      </c>
      <c r="AX55" s="25">
        <v>1713.9</v>
      </c>
      <c r="AY55" s="19">
        <v>2271.5</v>
      </c>
      <c r="AZ55" s="25">
        <v>482.6</v>
      </c>
      <c r="BA55" s="25">
        <v>584.7</v>
      </c>
      <c r="BB55" s="25">
        <v>1067.3</v>
      </c>
      <c r="BC55" s="25">
        <f t="shared" si="10"/>
        <v>0.697645581982583</v>
      </c>
    </row>
    <row r="56" ht="14" spans="1:55">
      <c r="A56" s="29">
        <v>2015</v>
      </c>
      <c r="B56" s="29">
        <v>450000</v>
      </c>
      <c r="C56" s="30" t="s">
        <v>56</v>
      </c>
      <c r="D56" s="25">
        <v>1</v>
      </c>
      <c r="E56" s="25">
        <v>0</v>
      </c>
      <c r="F56" s="25">
        <v>0</v>
      </c>
      <c r="G56" s="25">
        <v>0</v>
      </c>
      <c r="H56" s="19">
        <v>56.374</v>
      </c>
      <c r="I56" s="19">
        <v>43.626</v>
      </c>
      <c r="J56" s="25">
        <v>1.729</v>
      </c>
      <c r="K56" s="25">
        <v>19.194</v>
      </c>
      <c r="L56" s="25">
        <f t="shared" si="0"/>
        <v>20.923</v>
      </c>
      <c r="M56" s="25">
        <v>49.981</v>
      </c>
      <c r="N56" s="25">
        <v>9.325</v>
      </c>
      <c r="O56" s="25">
        <v>8.061</v>
      </c>
      <c r="P56" s="25">
        <f t="shared" si="1"/>
        <v>67.367</v>
      </c>
      <c r="Q56" s="25">
        <v>4.975</v>
      </c>
      <c r="R56" s="19">
        <v>0.411</v>
      </c>
      <c r="S56" s="19">
        <f t="shared" si="2"/>
        <v>5.386</v>
      </c>
      <c r="T56" s="19">
        <v>1297</v>
      </c>
      <c r="U56" s="19">
        <f t="shared" si="3"/>
        <v>0.49980732177264</v>
      </c>
      <c r="V56" s="19">
        <v>497</v>
      </c>
      <c r="W56" s="19">
        <f t="shared" si="4"/>
        <v>0.191522157996146</v>
      </c>
      <c r="X56" s="19">
        <v>801</v>
      </c>
      <c r="Y56" s="14">
        <f t="shared" si="5"/>
        <v>0.308670520231214</v>
      </c>
      <c r="Z56" s="14">
        <v>2595</v>
      </c>
      <c r="AA56" s="25">
        <v>8.2</v>
      </c>
      <c r="AB56" s="25">
        <v>3</v>
      </c>
      <c r="AC56" s="25">
        <v>76.2</v>
      </c>
      <c r="AD56" s="25">
        <v>13.9</v>
      </c>
      <c r="AE56" s="25">
        <v>65.2</v>
      </c>
      <c r="AF56" s="25">
        <v>20</v>
      </c>
      <c r="AG56" s="25">
        <v>4.4</v>
      </c>
      <c r="AH56" s="25">
        <v>13.3</v>
      </c>
      <c r="AI56" s="25">
        <v>9.5</v>
      </c>
      <c r="AJ56" s="25">
        <v>11.2</v>
      </c>
      <c r="AK56" s="25">
        <f t="shared" si="6"/>
        <v>58.4</v>
      </c>
      <c r="AL56" s="25">
        <v>13.4</v>
      </c>
      <c r="AM56" s="25">
        <v>4.8</v>
      </c>
      <c r="AN56" s="19">
        <v>0.8</v>
      </c>
      <c r="AO56" s="25">
        <v>3.4</v>
      </c>
      <c r="AP56" s="25">
        <f t="shared" si="7"/>
        <v>22.4</v>
      </c>
      <c r="AQ56" s="25">
        <v>9.3</v>
      </c>
      <c r="AR56" s="25">
        <v>62</v>
      </c>
      <c r="AS56" s="25">
        <v>30.7</v>
      </c>
      <c r="AT56" s="25">
        <v>48.2</v>
      </c>
      <c r="AU56" s="25">
        <f t="shared" si="8"/>
        <v>150.2</v>
      </c>
      <c r="AV56" s="25">
        <v>7.9</v>
      </c>
      <c r="AW56" s="19">
        <v>576.629</v>
      </c>
      <c r="AX56" s="25">
        <v>1741.513</v>
      </c>
      <c r="AY56" s="19">
        <v>2318.142</v>
      </c>
      <c r="AZ56" s="25">
        <v>505.485</v>
      </c>
      <c r="BA56" s="25">
        <v>572.1</v>
      </c>
      <c r="BB56" s="25">
        <v>1077.585</v>
      </c>
      <c r="BC56" s="25">
        <f t="shared" si="10"/>
        <v>0.717836799531793</v>
      </c>
    </row>
    <row r="57" ht="14" spans="1:55">
      <c r="A57" s="29">
        <v>2016</v>
      </c>
      <c r="B57" s="29">
        <v>450000</v>
      </c>
      <c r="C57" s="30" t="s">
        <v>56</v>
      </c>
      <c r="D57" s="25">
        <v>1</v>
      </c>
      <c r="E57" s="25">
        <v>0</v>
      </c>
      <c r="F57" s="25">
        <v>0</v>
      </c>
      <c r="G57" s="25">
        <v>0</v>
      </c>
      <c r="H57" s="19">
        <v>55.471</v>
      </c>
      <c r="I57" s="19">
        <v>44.529</v>
      </c>
      <c r="J57" s="25">
        <v>1.472</v>
      </c>
      <c r="K57" s="25">
        <v>19.768</v>
      </c>
      <c r="L57" s="25">
        <f t="shared" si="0"/>
        <v>21.24</v>
      </c>
      <c r="M57" s="25">
        <v>49.933</v>
      </c>
      <c r="N57" s="25">
        <v>9.539</v>
      </c>
      <c r="O57" s="25">
        <v>7.799</v>
      </c>
      <c r="P57" s="25">
        <f t="shared" si="1"/>
        <v>67.271</v>
      </c>
      <c r="Q57" s="25">
        <v>4.852</v>
      </c>
      <c r="R57" s="19">
        <v>0.456</v>
      </c>
      <c r="S57" s="19">
        <f t="shared" si="2"/>
        <v>5.308</v>
      </c>
      <c r="T57" s="19">
        <v>1207</v>
      </c>
      <c r="U57" s="19">
        <f t="shared" si="3"/>
        <v>0.467286101432443</v>
      </c>
      <c r="V57" s="19">
        <v>528</v>
      </c>
      <c r="W57" s="19">
        <f t="shared" si="4"/>
        <v>0.204413472706156</v>
      </c>
      <c r="X57" s="19">
        <v>848</v>
      </c>
      <c r="Y57" s="14">
        <f t="shared" si="5"/>
        <v>0.328300425861401</v>
      </c>
      <c r="Z57" s="14">
        <v>2583</v>
      </c>
      <c r="AA57" s="25">
        <v>7.8</v>
      </c>
      <c r="AB57" s="25">
        <v>3.1</v>
      </c>
      <c r="AC57" s="25">
        <v>72.4</v>
      </c>
      <c r="AD57" s="25">
        <v>13.7</v>
      </c>
      <c r="AE57" s="25">
        <v>64.9</v>
      </c>
      <c r="AF57" s="25">
        <v>19.4</v>
      </c>
      <c r="AG57" s="25">
        <v>4.2</v>
      </c>
      <c r="AH57" s="25">
        <v>14.3</v>
      </c>
      <c r="AI57" s="25">
        <v>8.9</v>
      </c>
      <c r="AJ57" s="25">
        <v>10</v>
      </c>
      <c r="AK57" s="25">
        <f t="shared" si="6"/>
        <v>56.8</v>
      </c>
      <c r="AL57" s="25">
        <v>13.5</v>
      </c>
      <c r="AM57" s="25">
        <v>4.6</v>
      </c>
      <c r="AN57" s="19">
        <v>0.7</v>
      </c>
      <c r="AO57" s="25">
        <v>3.2</v>
      </c>
      <c r="AP57" s="25">
        <f t="shared" si="7"/>
        <v>22</v>
      </c>
      <c r="AQ57" s="25">
        <v>8.5</v>
      </c>
      <c r="AR57" s="25">
        <v>61.8</v>
      </c>
      <c r="AS57" s="25">
        <v>31.7</v>
      </c>
      <c r="AT57" s="25">
        <v>50.5</v>
      </c>
      <c r="AU57" s="25">
        <f t="shared" si="8"/>
        <v>152.5</v>
      </c>
      <c r="AV57" s="25">
        <v>8</v>
      </c>
      <c r="AW57" s="19">
        <v>751.912</v>
      </c>
      <c r="AX57" s="25">
        <v>1770.91</v>
      </c>
      <c r="AY57" s="19">
        <v>2522.822</v>
      </c>
      <c r="AZ57" s="25">
        <v>530.712</v>
      </c>
      <c r="BA57" s="25">
        <v>565.71</v>
      </c>
      <c r="BB57" s="25">
        <v>1096.422</v>
      </c>
      <c r="BC57" s="25">
        <f t="shared" si="10"/>
        <v>0.782083920132069</v>
      </c>
    </row>
    <row r="58" ht="14" spans="1:55">
      <c r="A58" s="29">
        <v>2017</v>
      </c>
      <c r="B58" s="29">
        <v>450000</v>
      </c>
      <c r="C58" s="30" t="s">
        <v>56</v>
      </c>
      <c r="D58" s="25">
        <v>1</v>
      </c>
      <c r="E58" s="25">
        <v>0</v>
      </c>
      <c r="F58" s="25">
        <v>0</v>
      </c>
      <c r="G58" s="25">
        <v>0</v>
      </c>
      <c r="H58" s="19">
        <v>55.836</v>
      </c>
      <c r="I58" s="19">
        <v>44.164</v>
      </c>
      <c r="J58" s="25">
        <v>1.025</v>
      </c>
      <c r="K58" s="25">
        <v>18.023</v>
      </c>
      <c r="L58" s="25">
        <f t="shared" si="0"/>
        <v>19.048</v>
      </c>
      <c r="M58" s="25">
        <v>51.615</v>
      </c>
      <c r="N58" s="25">
        <v>9.602</v>
      </c>
      <c r="O58" s="25">
        <v>7.327</v>
      </c>
      <c r="P58" s="25">
        <f t="shared" si="1"/>
        <v>68.544</v>
      </c>
      <c r="Q58" s="25">
        <v>5.168</v>
      </c>
      <c r="R58" s="19">
        <v>0.428</v>
      </c>
      <c r="S58" s="19">
        <f t="shared" si="2"/>
        <v>5.596</v>
      </c>
      <c r="T58" s="19">
        <v>1110</v>
      </c>
      <c r="U58" s="19">
        <f t="shared" si="3"/>
        <v>0.432579890880748</v>
      </c>
      <c r="V58" s="19">
        <v>556</v>
      </c>
      <c r="W58" s="19">
        <f t="shared" si="4"/>
        <v>0.21667965705378</v>
      </c>
      <c r="X58" s="19">
        <v>900</v>
      </c>
      <c r="Y58" s="14">
        <f t="shared" si="5"/>
        <v>0.350740452065472</v>
      </c>
      <c r="Z58" s="14">
        <v>2566</v>
      </c>
      <c r="AA58" s="25">
        <v>7.3</v>
      </c>
      <c r="AB58" s="25">
        <v>3.4</v>
      </c>
      <c r="AC58" s="25">
        <v>66.9</v>
      </c>
      <c r="AD58" s="25">
        <v>11.8</v>
      </c>
      <c r="AE58" s="25">
        <v>65.1</v>
      </c>
      <c r="AF58" s="25">
        <v>19</v>
      </c>
      <c r="AG58" s="25">
        <v>4</v>
      </c>
      <c r="AH58" s="25">
        <v>14.7</v>
      </c>
      <c r="AI58" s="25">
        <v>8.3</v>
      </c>
      <c r="AJ58" s="25">
        <v>10.8</v>
      </c>
      <c r="AK58" s="25">
        <f t="shared" si="6"/>
        <v>56.8</v>
      </c>
      <c r="AL58" s="25">
        <v>12.7</v>
      </c>
      <c r="AM58" s="25">
        <v>4.4</v>
      </c>
      <c r="AN58" s="19">
        <v>0.7</v>
      </c>
      <c r="AO58" s="25">
        <v>3.3</v>
      </c>
      <c r="AP58" s="25">
        <f t="shared" si="7"/>
        <v>21.1</v>
      </c>
      <c r="AQ58" s="25">
        <v>7.9</v>
      </c>
      <c r="AR58" s="25">
        <v>62.4</v>
      </c>
      <c r="AS58" s="25">
        <v>33.3</v>
      </c>
      <c r="AT58" s="25">
        <v>54</v>
      </c>
      <c r="AU58" s="25">
        <f t="shared" si="8"/>
        <v>157.6</v>
      </c>
      <c r="AV58" s="25">
        <v>7.9</v>
      </c>
      <c r="AW58" s="19">
        <v>777.791</v>
      </c>
      <c r="AX58" s="25">
        <v>1805.94</v>
      </c>
      <c r="AY58" s="19">
        <v>2583.731</v>
      </c>
      <c r="AZ58" s="25">
        <v>556.746</v>
      </c>
      <c r="BA58" s="25">
        <v>4616.54</v>
      </c>
      <c r="BB58" s="25">
        <v>5173.286</v>
      </c>
      <c r="BC58" s="25">
        <f t="shared" si="10"/>
        <v>0.408653459772247</v>
      </c>
    </row>
    <row r="59" ht="14" spans="1:55">
      <c r="A59" s="29">
        <v>2018</v>
      </c>
      <c r="B59" s="29">
        <v>450000</v>
      </c>
      <c r="C59" s="30" t="s">
        <v>56</v>
      </c>
      <c r="D59" s="25">
        <v>1</v>
      </c>
      <c r="E59" s="25">
        <v>0</v>
      </c>
      <c r="F59" s="25">
        <v>0</v>
      </c>
      <c r="G59" s="25">
        <v>0</v>
      </c>
      <c r="H59" s="19">
        <v>54.992</v>
      </c>
      <c r="I59" s="19">
        <v>45.008</v>
      </c>
      <c r="J59" s="25">
        <v>1.284</v>
      </c>
      <c r="K59" s="25">
        <v>18.818</v>
      </c>
      <c r="L59" s="25">
        <f t="shared" si="0"/>
        <v>20.102</v>
      </c>
      <c r="M59" s="25">
        <v>51.34</v>
      </c>
      <c r="N59" s="25">
        <v>9.764</v>
      </c>
      <c r="O59" s="25">
        <v>6.89</v>
      </c>
      <c r="P59" s="25">
        <f t="shared" si="1"/>
        <v>67.994</v>
      </c>
      <c r="Q59" s="25">
        <v>4.99</v>
      </c>
      <c r="R59" s="19">
        <v>0.421</v>
      </c>
      <c r="S59" s="19">
        <f t="shared" si="2"/>
        <v>5.411</v>
      </c>
      <c r="T59" s="19">
        <v>1024</v>
      </c>
      <c r="U59" s="19">
        <f t="shared" si="3"/>
        <v>0.399687743950039</v>
      </c>
      <c r="V59" s="19">
        <v>597</v>
      </c>
      <c r="W59" s="19">
        <f t="shared" si="4"/>
        <v>0.233021077283372</v>
      </c>
      <c r="X59" s="19">
        <v>941</v>
      </c>
      <c r="Y59" s="14">
        <f t="shared" si="5"/>
        <v>0.367291178766589</v>
      </c>
      <c r="Z59" s="14">
        <v>2562</v>
      </c>
      <c r="AA59" s="25">
        <v>5.9</v>
      </c>
      <c r="AB59" s="25">
        <v>3</v>
      </c>
      <c r="AC59" s="25">
        <v>53</v>
      </c>
      <c r="AD59" s="25">
        <v>10.2</v>
      </c>
      <c r="AE59" s="25">
        <v>66.8</v>
      </c>
      <c r="AF59" s="25">
        <v>18.8</v>
      </c>
      <c r="AG59" s="25">
        <v>4.9</v>
      </c>
      <c r="AH59" s="25">
        <v>15.6</v>
      </c>
      <c r="AI59" s="25">
        <v>7.1</v>
      </c>
      <c r="AJ59" s="25">
        <v>11.8</v>
      </c>
      <c r="AK59" s="25">
        <f t="shared" si="6"/>
        <v>58.2</v>
      </c>
      <c r="AL59" s="25">
        <v>12.5</v>
      </c>
      <c r="AM59" s="25">
        <v>4.4</v>
      </c>
      <c r="AN59" s="19">
        <v>0.7</v>
      </c>
      <c r="AO59" s="25">
        <v>3.2</v>
      </c>
      <c r="AP59" s="25">
        <f t="shared" si="7"/>
        <v>20.8</v>
      </c>
      <c r="AQ59" s="25">
        <v>7.1</v>
      </c>
      <c r="AR59" s="25">
        <v>63.1</v>
      </c>
      <c r="AS59" s="25">
        <v>33.5</v>
      </c>
      <c r="AT59" s="25">
        <v>57.5</v>
      </c>
      <c r="AU59" s="25">
        <f t="shared" si="8"/>
        <v>161.2</v>
      </c>
      <c r="AV59" s="25">
        <v>7.8</v>
      </c>
      <c r="AW59" s="19">
        <v>825.876</v>
      </c>
      <c r="AX59" s="25">
        <v>1889.617</v>
      </c>
      <c r="AY59" s="19">
        <v>2715.493</v>
      </c>
      <c r="AZ59" s="25">
        <v>588.47</v>
      </c>
      <c r="BA59" s="25">
        <v>4548.218</v>
      </c>
      <c r="BB59" s="25">
        <v>5136.688</v>
      </c>
      <c r="BC59" s="25">
        <f t="shared" si="10"/>
        <v>0.418696975173278</v>
      </c>
    </row>
    <row r="60" ht="14" spans="1:55">
      <c r="A60" s="29">
        <v>2019</v>
      </c>
      <c r="B60" s="29">
        <v>450000</v>
      </c>
      <c r="C60" s="30" t="s">
        <v>56</v>
      </c>
      <c r="D60" s="25">
        <v>1</v>
      </c>
      <c r="E60" s="25">
        <v>0</v>
      </c>
      <c r="F60" s="25">
        <v>0</v>
      </c>
      <c r="G60" s="25">
        <v>0</v>
      </c>
      <c r="H60" s="19">
        <v>55.7</v>
      </c>
      <c r="I60" s="19">
        <v>44.3</v>
      </c>
      <c r="J60" s="25">
        <v>1.2</v>
      </c>
      <c r="K60" s="25">
        <v>17.2</v>
      </c>
      <c r="L60" s="25">
        <f t="shared" si="0"/>
        <v>18.4</v>
      </c>
      <c r="M60" s="25">
        <v>50.7</v>
      </c>
      <c r="N60" s="25">
        <v>15.5</v>
      </c>
      <c r="O60" s="25">
        <v>8.8</v>
      </c>
      <c r="P60" s="25">
        <f t="shared" si="1"/>
        <v>75</v>
      </c>
      <c r="Q60" s="25">
        <v>6</v>
      </c>
      <c r="R60" s="19">
        <v>0.5</v>
      </c>
      <c r="S60" s="19">
        <f t="shared" si="2"/>
        <v>6.5</v>
      </c>
      <c r="T60" s="19">
        <v>951</v>
      </c>
      <c r="U60" s="19">
        <f t="shared" si="3"/>
        <v>0.371774824081314</v>
      </c>
      <c r="V60" s="19">
        <v>625</v>
      </c>
      <c r="W60" s="19">
        <f t="shared" si="4"/>
        <v>0.2443315089914</v>
      </c>
      <c r="X60" s="19">
        <v>982</v>
      </c>
      <c r="Y60" s="14">
        <f t="shared" si="5"/>
        <v>0.383893666927287</v>
      </c>
      <c r="Z60" s="14">
        <v>2558</v>
      </c>
      <c r="AA60" s="25">
        <v>5.4</v>
      </c>
      <c r="AB60" s="25">
        <v>1.4</v>
      </c>
      <c r="AC60" s="25">
        <v>50</v>
      </c>
      <c r="AD60" s="25">
        <v>10</v>
      </c>
      <c r="AE60" s="25">
        <v>71.9</v>
      </c>
      <c r="AF60" s="25">
        <v>19.1</v>
      </c>
      <c r="AG60" s="25">
        <v>4.5</v>
      </c>
      <c r="AH60" s="25">
        <v>19.6</v>
      </c>
      <c r="AI60" s="25">
        <v>7.4</v>
      </c>
      <c r="AJ60" s="25">
        <v>11.3</v>
      </c>
      <c r="AK60" s="25">
        <f t="shared" si="6"/>
        <v>61.9</v>
      </c>
      <c r="AL60" s="25">
        <v>13</v>
      </c>
      <c r="AM60" s="25">
        <v>4.4</v>
      </c>
      <c r="AN60" s="19">
        <v>1</v>
      </c>
      <c r="AO60" s="25">
        <v>3.2</v>
      </c>
      <c r="AP60" s="25">
        <f t="shared" si="7"/>
        <v>21.6</v>
      </c>
      <c r="AQ60" s="25">
        <v>7.4</v>
      </c>
      <c r="AR60" s="25">
        <v>68.7</v>
      </c>
      <c r="AS60" s="25">
        <v>35.3</v>
      </c>
      <c r="AT60" s="25">
        <v>61.6</v>
      </c>
      <c r="AU60" s="25">
        <f t="shared" si="8"/>
        <v>173</v>
      </c>
      <c r="AV60" s="25">
        <v>9.1</v>
      </c>
      <c r="AW60" s="19">
        <v>869.5</v>
      </c>
      <c r="AX60" s="25">
        <v>1983.7</v>
      </c>
      <c r="AY60" s="19">
        <v>2853.2</v>
      </c>
      <c r="AZ60" s="25">
        <v>620.5</v>
      </c>
      <c r="BA60" s="25">
        <v>4586.6</v>
      </c>
      <c r="BB60" s="25">
        <v>5207.2</v>
      </c>
      <c r="BC60" s="25">
        <f t="shared" si="10"/>
        <v>0.423907478493312</v>
      </c>
    </row>
    <row r="61" ht="14" spans="1:55">
      <c r="A61" s="29">
        <v>2020</v>
      </c>
      <c r="B61" s="29">
        <v>450000</v>
      </c>
      <c r="C61" s="30" t="s">
        <v>56</v>
      </c>
      <c r="D61" s="25">
        <v>1</v>
      </c>
      <c r="E61" s="25">
        <v>0</v>
      </c>
      <c r="F61" s="25">
        <v>0</v>
      </c>
      <c r="G61" s="25">
        <v>0</v>
      </c>
      <c r="H61" s="19">
        <v>55.6</v>
      </c>
      <c r="I61" s="19">
        <v>44.4</v>
      </c>
      <c r="J61" s="25">
        <v>0.8</v>
      </c>
      <c r="K61" s="25">
        <v>16.8</v>
      </c>
      <c r="L61" s="25">
        <f t="shared" si="0"/>
        <v>17.6</v>
      </c>
      <c r="M61" s="25">
        <v>52.1</v>
      </c>
      <c r="N61" s="25">
        <v>15.2</v>
      </c>
      <c r="O61" s="25">
        <v>8.5</v>
      </c>
      <c r="P61" s="25">
        <f t="shared" si="1"/>
        <v>75.8</v>
      </c>
      <c r="Q61" s="25">
        <v>6.3</v>
      </c>
      <c r="R61" s="19">
        <v>0.4</v>
      </c>
      <c r="S61" s="19">
        <f t="shared" si="2"/>
        <v>6.7</v>
      </c>
      <c r="T61" s="19">
        <v>866</v>
      </c>
      <c r="U61" s="19">
        <f t="shared" si="3"/>
        <v>0.338545738858483</v>
      </c>
      <c r="V61" s="19">
        <v>655</v>
      </c>
      <c r="W61" s="19">
        <f t="shared" si="4"/>
        <v>0.256059421422987</v>
      </c>
      <c r="X61" s="19">
        <v>1037</v>
      </c>
      <c r="Y61" s="14">
        <f t="shared" si="5"/>
        <v>0.40539483971853</v>
      </c>
      <c r="Z61" s="14">
        <v>2558</v>
      </c>
      <c r="AA61" s="25">
        <v>2.6</v>
      </c>
      <c r="AB61" s="25">
        <v>0.8</v>
      </c>
      <c r="AC61" s="25">
        <v>51.2</v>
      </c>
      <c r="AD61" s="25">
        <v>11.6</v>
      </c>
      <c r="AE61" s="25">
        <v>67</v>
      </c>
      <c r="AF61" s="25">
        <v>18.6</v>
      </c>
      <c r="AG61" s="25">
        <v>5.9</v>
      </c>
      <c r="AH61" s="25">
        <v>19.5</v>
      </c>
      <c r="AI61" s="25">
        <v>8.6</v>
      </c>
      <c r="AJ61" s="25">
        <v>13.4</v>
      </c>
      <c r="AK61" s="25">
        <f t="shared" si="6"/>
        <v>66</v>
      </c>
      <c r="AL61" s="25">
        <v>12.8</v>
      </c>
      <c r="AM61" s="25">
        <v>4.1</v>
      </c>
      <c r="AN61" s="19">
        <v>0.9</v>
      </c>
      <c r="AO61" s="25">
        <v>2.9</v>
      </c>
      <c r="AP61" s="25">
        <f t="shared" si="7"/>
        <v>20.7</v>
      </c>
      <c r="AQ61" s="25">
        <v>7.1</v>
      </c>
      <c r="AR61" s="25">
        <v>76.7</v>
      </c>
      <c r="AS61" s="25">
        <v>38.1</v>
      </c>
      <c r="AT61" s="25">
        <v>59.2</v>
      </c>
      <c r="AU61" s="25">
        <f t="shared" si="8"/>
        <v>181.1</v>
      </c>
      <c r="AV61" s="25">
        <v>9.4</v>
      </c>
      <c r="AW61" s="19">
        <v>919.5</v>
      </c>
      <c r="AX61" s="25">
        <v>2437.7</v>
      </c>
      <c r="AY61" s="19">
        <v>3357.3</v>
      </c>
      <c r="AZ61" s="25">
        <v>656.2</v>
      </c>
      <c r="BA61" s="25">
        <v>4561</v>
      </c>
      <c r="BB61" s="25">
        <v>5217.2</v>
      </c>
      <c r="BC61" s="25">
        <f t="shared" si="10"/>
        <v>0.399657075532617</v>
      </c>
    </row>
    <row r="62" ht="14" spans="1:55">
      <c r="A62" s="29">
        <v>2021</v>
      </c>
      <c r="B62" s="29">
        <v>450000</v>
      </c>
      <c r="C62" s="30" t="s">
        <v>56</v>
      </c>
      <c r="D62" s="25">
        <v>1</v>
      </c>
      <c r="E62" s="25">
        <v>0</v>
      </c>
      <c r="F62" s="25">
        <v>0</v>
      </c>
      <c r="G62" s="25">
        <v>0</v>
      </c>
      <c r="H62" s="19">
        <v>55.888</v>
      </c>
      <c r="I62" s="19">
        <v>44.112</v>
      </c>
      <c r="J62" s="25">
        <v>1.123</v>
      </c>
      <c r="K62" s="25">
        <v>17.2</v>
      </c>
      <c r="L62" s="25">
        <f t="shared" si="0"/>
        <v>18.323</v>
      </c>
      <c r="M62" s="25">
        <v>49.246</v>
      </c>
      <c r="N62" s="25">
        <v>15.513</v>
      </c>
      <c r="O62" s="25">
        <v>9.034</v>
      </c>
      <c r="P62" s="25">
        <f t="shared" si="1"/>
        <v>73.793</v>
      </c>
      <c r="Q62" s="25">
        <v>7.368</v>
      </c>
      <c r="R62" s="19">
        <v>0.515</v>
      </c>
      <c r="S62" s="19">
        <f t="shared" si="2"/>
        <v>7.883</v>
      </c>
      <c r="T62" s="19">
        <v>842</v>
      </c>
      <c r="U62" s="19">
        <f t="shared" si="3"/>
        <v>0.330974842767296</v>
      </c>
      <c r="V62" s="19">
        <v>659</v>
      </c>
      <c r="W62" s="19">
        <f t="shared" si="4"/>
        <v>0.259040880503145</v>
      </c>
      <c r="X62" s="19">
        <v>1043</v>
      </c>
      <c r="Y62" s="14">
        <f t="shared" si="5"/>
        <v>0.40998427672956</v>
      </c>
      <c r="Z62" s="14">
        <v>2544</v>
      </c>
      <c r="AA62" s="25">
        <v>3.3</v>
      </c>
      <c r="AB62" s="25">
        <v>0.9</v>
      </c>
      <c r="AC62" s="25">
        <v>54.2</v>
      </c>
      <c r="AD62" s="25">
        <v>11.3</v>
      </c>
      <c r="AE62" s="25">
        <v>56.4</v>
      </c>
      <c r="AF62" s="25">
        <v>18.9</v>
      </c>
      <c r="AG62" s="25">
        <v>5.9</v>
      </c>
      <c r="AH62" s="25">
        <v>19</v>
      </c>
      <c r="AI62" s="25">
        <v>8.8</v>
      </c>
      <c r="AJ62" s="25">
        <v>17.9</v>
      </c>
      <c r="AK62" s="25">
        <f t="shared" si="6"/>
        <v>70.5</v>
      </c>
      <c r="AL62" s="25">
        <v>13.6</v>
      </c>
      <c r="AM62" s="25">
        <v>4.5</v>
      </c>
      <c r="AN62" s="19">
        <v>1.2</v>
      </c>
      <c r="AO62" s="25">
        <v>3.3</v>
      </c>
      <c r="AP62" s="25">
        <f t="shared" si="7"/>
        <v>22.6</v>
      </c>
      <c r="AQ62" s="25">
        <v>7.1</v>
      </c>
      <c r="AR62" s="25">
        <v>77</v>
      </c>
      <c r="AS62" s="25">
        <v>38.5</v>
      </c>
      <c r="AT62" s="25">
        <v>59.3</v>
      </c>
      <c r="AU62" s="25">
        <f t="shared" si="8"/>
        <v>181.9</v>
      </c>
      <c r="AV62" s="25">
        <v>9.4</v>
      </c>
      <c r="AW62" s="19">
        <v>985.253</v>
      </c>
      <c r="AX62" s="25">
        <v>2671.828</v>
      </c>
      <c r="AY62" s="19">
        <v>3657.081</v>
      </c>
      <c r="AZ62" s="25">
        <v>714.771</v>
      </c>
      <c r="BA62" s="25">
        <v>4534.499</v>
      </c>
      <c r="BB62" s="25">
        <v>5249.27</v>
      </c>
      <c r="BC62" s="25">
        <f t="shared" si="10"/>
        <v>0.40557546467141</v>
      </c>
    </row>
    <row r="63" ht="14" spans="1:55">
      <c r="A63" s="29">
        <v>2022</v>
      </c>
      <c r="B63" s="29">
        <v>450000</v>
      </c>
      <c r="C63" s="30" t="s">
        <v>56</v>
      </c>
      <c r="D63" s="25">
        <v>1</v>
      </c>
      <c r="E63" s="25">
        <v>0</v>
      </c>
      <c r="F63" s="25">
        <v>0</v>
      </c>
      <c r="G63" s="25">
        <v>0</v>
      </c>
      <c r="H63" s="19">
        <v>55.98</v>
      </c>
      <c r="I63" s="19">
        <v>44.02</v>
      </c>
      <c r="J63" s="25">
        <v>1.251</v>
      </c>
      <c r="K63" s="25">
        <v>19.072</v>
      </c>
      <c r="L63" s="25">
        <f t="shared" si="0"/>
        <v>20.323</v>
      </c>
      <c r="M63" s="25">
        <v>47.869</v>
      </c>
      <c r="N63" s="25">
        <v>13.629</v>
      </c>
      <c r="O63" s="25">
        <v>9.362</v>
      </c>
      <c r="P63" s="25">
        <f t="shared" si="1"/>
        <v>70.86</v>
      </c>
      <c r="Q63" s="25">
        <v>8.408</v>
      </c>
      <c r="R63" s="19">
        <v>0.41</v>
      </c>
      <c r="S63" s="19">
        <f t="shared" si="2"/>
        <v>8.818</v>
      </c>
      <c r="T63" s="19">
        <v>857</v>
      </c>
      <c r="U63" s="19">
        <f t="shared" si="3"/>
        <v>0.34170653907496</v>
      </c>
      <c r="V63" s="19">
        <v>635</v>
      </c>
      <c r="W63" s="19">
        <f t="shared" si="4"/>
        <v>0.253189792663477</v>
      </c>
      <c r="X63" s="19">
        <v>1016</v>
      </c>
      <c r="Y63" s="14">
        <f t="shared" si="5"/>
        <v>0.405103668261563</v>
      </c>
      <c r="Z63" s="14">
        <v>2508</v>
      </c>
      <c r="AA63" s="25">
        <v>3.1</v>
      </c>
      <c r="AB63" s="25">
        <v>0.8</v>
      </c>
      <c r="AC63" s="25">
        <v>55.7</v>
      </c>
      <c r="AD63" s="25">
        <v>10.8</v>
      </c>
      <c r="AE63" s="25">
        <v>44.2</v>
      </c>
      <c r="AF63" s="25">
        <v>17.3</v>
      </c>
      <c r="AG63" s="25">
        <v>5.7</v>
      </c>
      <c r="AH63" s="25">
        <v>16</v>
      </c>
      <c r="AI63" s="25">
        <v>9.1</v>
      </c>
      <c r="AJ63" s="25">
        <v>17.2</v>
      </c>
      <c r="AK63" s="25">
        <f t="shared" si="6"/>
        <v>65.3</v>
      </c>
      <c r="AL63" s="25">
        <v>14.2</v>
      </c>
      <c r="AM63" s="25">
        <v>4.6</v>
      </c>
      <c r="AN63" s="19">
        <v>1.4</v>
      </c>
      <c r="AO63" s="25">
        <v>3.3</v>
      </c>
      <c r="AP63" s="25">
        <f t="shared" si="7"/>
        <v>23.5</v>
      </c>
      <c r="AQ63" s="25">
        <v>7.1</v>
      </c>
      <c r="AR63" s="25">
        <v>78.9</v>
      </c>
      <c r="AS63" s="25">
        <v>39.2</v>
      </c>
      <c r="AT63" s="25">
        <v>58.8</v>
      </c>
      <c r="AU63" s="25">
        <f t="shared" si="8"/>
        <v>184</v>
      </c>
      <c r="AV63" s="25">
        <v>8.5</v>
      </c>
      <c r="AW63" s="19">
        <v>1032.601</v>
      </c>
      <c r="AX63" s="25">
        <v>2671.828</v>
      </c>
      <c r="AY63" s="19">
        <v>3704.429</v>
      </c>
      <c r="AZ63" s="25">
        <v>730.386</v>
      </c>
      <c r="BA63" s="25">
        <v>4471.467</v>
      </c>
      <c r="BB63" s="25">
        <v>5201.853</v>
      </c>
      <c r="BC63" s="25">
        <f t="shared" si="10"/>
        <v>0.419156494854988</v>
      </c>
    </row>
    <row r="64" ht="14" spans="1:55">
      <c r="A64" s="29">
        <v>2013</v>
      </c>
      <c r="B64" s="29">
        <v>520000</v>
      </c>
      <c r="C64" s="30" t="s">
        <v>57</v>
      </c>
      <c r="D64" s="25">
        <v>1</v>
      </c>
      <c r="E64" s="25">
        <v>0</v>
      </c>
      <c r="F64" s="25">
        <v>0</v>
      </c>
      <c r="G64" s="25">
        <v>0</v>
      </c>
      <c r="H64" s="19">
        <v>49.9509999999991</v>
      </c>
      <c r="I64" s="19">
        <v>50.0490000000009</v>
      </c>
      <c r="J64" s="25">
        <v>3.597</v>
      </c>
      <c r="K64" s="25">
        <v>31.591</v>
      </c>
      <c r="L64" s="25">
        <f t="shared" si="0"/>
        <v>35.188</v>
      </c>
      <c r="M64" s="25">
        <v>47.715</v>
      </c>
      <c r="N64" s="25">
        <v>7.758</v>
      </c>
      <c r="O64" s="25">
        <v>5.688</v>
      </c>
      <c r="P64" s="25">
        <f t="shared" si="1"/>
        <v>61.161</v>
      </c>
      <c r="Q64" s="25">
        <v>3.596</v>
      </c>
      <c r="R64" s="19">
        <v>0.056</v>
      </c>
      <c r="S64" s="19">
        <f t="shared" si="2"/>
        <v>3.652</v>
      </c>
      <c r="T64" s="19">
        <v>1039.884</v>
      </c>
      <c r="U64" s="19">
        <f t="shared" si="3"/>
        <v>0.579</v>
      </c>
      <c r="V64" s="19">
        <v>278.2004</v>
      </c>
      <c r="W64" s="19">
        <f t="shared" si="4"/>
        <v>0.1549</v>
      </c>
      <c r="X64" s="19">
        <v>477.9156</v>
      </c>
      <c r="Y64" s="14">
        <f t="shared" si="5"/>
        <v>0.2661</v>
      </c>
      <c r="Z64" s="14">
        <v>1796</v>
      </c>
      <c r="AA64" s="25">
        <v>1.6</v>
      </c>
      <c r="AB64" s="25">
        <v>18.4</v>
      </c>
      <c r="AC64" s="25">
        <v>46.4</v>
      </c>
      <c r="AD64" s="25">
        <v>13.5</v>
      </c>
      <c r="AE64" s="25">
        <v>39.5</v>
      </c>
      <c r="AF64" s="25">
        <v>11.3</v>
      </c>
      <c r="AG64" s="25">
        <v>3.4</v>
      </c>
      <c r="AH64" s="25">
        <v>8</v>
      </c>
      <c r="AI64" s="25">
        <v>6.5</v>
      </c>
      <c r="AJ64" s="25">
        <v>4.6</v>
      </c>
      <c r="AK64" s="25">
        <f t="shared" si="6"/>
        <v>33.8</v>
      </c>
      <c r="AL64" s="25">
        <v>14</v>
      </c>
      <c r="AM64" s="25">
        <v>4.1</v>
      </c>
      <c r="AN64" s="19">
        <v>1.3</v>
      </c>
      <c r="AO64" s="25">
        <v>1.9</v>
      </c>
      <c r="AP64" s="25">
        <f t="shared" si="7"/>
        <v>21.3</v>
      </c>
      <c r="AQ64" s="25">
        <v>4.6</v>
      </c>
      <c r="AR64" s="25">
        <v>47.6</v>
      </c>
      <c r="AS64" s="25">
        <v>16.7</v>
      </c>
      <c r="AT64" s="25">
        <v>46.4</v>
      </c>
      <c r="AU64" s="25">
        <f t="shared" si="8"/>
        <v>115.3</v>
      </c>
      <c r="AV64" s="25">
        <v>6.9</v>
      </c>
      <c r="AW64" s="19">
        <v>337.295</v>
      </c>
      <c r="AX64" s="25">
        <v>1487.215</v>
      </c>
      <c r="AY64" s="19">
        <v>1824.51</v>
      </c>
      <c r="AZ64" s="25">
        <v>344.716</v>
      </c>
      <c r="BA64" s="25">
        <v>327.374</v>
      </c>
      <c r="BB64" s="25">
        <v>672.09</v>
      </c>
      <c r="BC64" s="25">
        <f t="shared" si="10"/>
        <v>0.69777036001646</v>
      </c>
    </row>
    <row r="65" ht="14" spans="1:55">
      <c r="A65" s="29">
        <v>2014</v>
      </c>
      <c r="B65" s="29">
        <v>520000</v>
      </c>
      <c r="C65" s="30" t="s">
        <v>57</v>
      </c>
      <c r="D65" s="25">
        <v>1</v>
      </c>
      <c r="E65" s="25">
        <v>0</v>
      </c>
      <c r="F65" s="25">
        <v>0</v>
      </c>
      <c r="G65" s="25">
        <v>0</v>
      </c>
      <c r="H65" s="19">
        <v>52.7</v>
      </c>
      <c r="I65" s="19">
        <v>47.3</v>
      </c>
      <c r="J65" s="25">
        <v>5.4</v>
      </c>
      <c r="K65" s="25">
        <v>31.1</v>
      </c>
      <c r="L65" s="25">
        <f t="shared" si="0"/>
        <v>36.5</v>
      </c>
      <c r="M65" s="25">
        <v>45</v>
      </c>
      <c r="N65" s="25">
        <v>8.3</v>
      </c>
      <c r="O65" s="25">
        <v>6.4</v>
      </c>
      <c r="P65" s="25">
        <f t="shared" si="1"/>
        <v>59.7</v>
      </c>
      <c r="Q65" s="25">
        <v>3.7</v>
      </c>
      <c r="R65" s="19">
        <v>0.1</v>
      </c>
      <c r="S65" s="19">
        <f t="shared" si="2"/>
        <v>3.8</v>
      </c>
      <c r="T65" s="19">
        <v>990.808</v>
      </c>
      <c r="U65" s="19">
        <f t="shared" si="3"/>
        <v>0.5444</v>
      </c>
      <c r="V65" s="19">
        <v>306.124</v>
      </c>
      <c r="W65" s="19">
        <f t="shared" si="4"/>
        <v>0.1682</v>
      </c>
      <c r="X65" s="19">
        <v>523.068</v>
      </c>
      <c r="Y65" s="14">
        <f t="shared" si="5"/>
        <v>0.2874</v>
      </c>
      <c r="Z65" s="14">
        <v>1820</v>
      </c>
      <c r="AA65" s="25">
        <v>1.5</v>
      </c>
      <c r="AB65" s="25">
        <v>17.6</v>
      </c>
      <c r="AC65" s="25">
        <v>44.1</v>
      </c>
      <c r="AD65" s="25">
        <v>13</v>
      </c>
      <c r="AE65" s="25">
        <v>42.8</v>
      </c>
      <c r="AF65" s="25">
        <v>11.1</v>
      </c>
      <c r="AG65" s="25">
        <v>3.3</v>
      </c>
      <c r="AH65" s="25">
        <v>8.4</v>
      </c>
      <c r="AI65" s="25">
        <v>7.7</v>
      </c>
      <c r="AJ65" s="25">
        <v>4.5</v>
      </c>
      <c r="AK65" s="25">
        <f t="shared" si="6"/>
        <v>35</v>
      </c>
      <c r="AL65" s="25">
        <v>13.9</v>
      </c>
      <c r="AM65" s="25">
        <v>3.9</v>
      </c>
      <c r="AN65" s="19">
        <v>1.3</v>
      </c>
      <c r="AO65" s="25">
        <v>2</v>
      </c>
      <c r="AP65" s="25">
        <f t="shared" si="7"/>
        <v>21.1</v>
      </c>
      <c r="AQ65" s="25">
        <v>5</v>
      </c>
      <c r="AR65" s="25">
        <v>51.1</v>
      </c>
      <c r="AS65" s="25">
        <v>18.1</v>
      </c>
      <c r="AT65" s="25">
        <v>47.7</v>
      </c>
      <c r="AU65" s="25">
        <f t="shared" si="8"/>
        <v>121.9</v>
      </c>
      <c r="AV65" s="25">
        <v>7.9</v>
      </c>
      <c r="AW65" s="19">
        <v>361.5</v>
      </c>
      <c r="AX65" s="25">
        <v>1586.6</v>
      </c>
      <c r="AY65" s="19">
        <v>1948.1</v>
      </c>
      <c r="AZ65" s="25">
        <v>354.8</v>
      </c>
      <c r="BA65" s="25">
        <v>332.4</v>
      </c>
      <c r="BB65" s="25">
        <v>687.1</v>
      </c>
      <c r="BC65" s="25">
        <f t="shared" si="10"/>
        <v>0.701938585286885</v>
      </c>
    </row>
    <row r="66" ht="14" spans="1:55">
      <c r="A66" s="29">
        <v>2015</v>
      </c>
      <c r="B66" s="29">
        <v>520000</v>
      </c>
      <c r="C66" s="30" t="s">
        <v>57</v>
      </c>
      <c r="D66" s="25">
        <v>1</v>
      </c>
      <c r="E66" s="25">
        <v>0</v>
      </c>
      <c r="F66" s="25">
        <v>0</v>
      </c>
      <c r="G66" s="25">
        <v>0</v>
      </c>
      <c r="H66" s="19">
        <v>55.449</v>
      </c>
      <c r="I66" s="19">
        <v>44.551</v>
      </c>
      <c r="J66" s="25">
        <v>8.715</v>
      </c>
      <c r="K66" s="25">
        <v>32.222</v>
      </c>
      <c r="L66" s="25">
        <f t="shared" si="0"/>
        <v>40.937</v>
      </c>
      <c r="M66" s="25">
        <v>40.26</v>
      </c>
      <c r="N66" s="25">
        <v>5.633</v>
      </c>
      <c r="O66" s="25">
        <v>5.322</v>
      </c>
      <c r="P66" s="25">
        <f t="shared" si="1"/>
        <v>51.215</v>
      </c>
      <c r="Q66" s="25">
        <v>4.005</v>
      </c>
      <c r="R66" s="19">
        <v>0.154</v>
      </c>
      <c r="S66" s="19">
        <f t="shared" si="2"/>
        <v>4.159</v>
      </c>
      <c r="T66" s="19">
        <v>937.578</v>
      </c>
      <c r="U66" s="19">
        <f t="shared" si="3"/>
        <v>0.509</v>
      </c>
      <c r="V66" s="19">
        <v>335.0598</v>
      </c>
      <c r="W66" s="19">
        <f t="shared" si="4"/>
        <v>0.1819</v>
      </c>
      <c r="X66" s="19">
        <v>569.3622</v>
      </c>
      <c r="Y66" s="14">
        <f t="shared" si="5"/>
        <v>0.3091</v>
      </c>
      <c r="Z66" s="14">
        <v>1842</v>
      </c>
      <c r="AA66" s="25">
        <v>1.1</v>
      </c>
      <c r="AB66" s="25">
        <v>15.5</v>
      </c>
      <c r="AC66" s="25">
        <v>42.5</v>
      </c>
      <c r="AD66" s="25">
        <v>12.8</v>
      </c>
      <c r="AE66" s="25">
        <v>42.8</v>
      </c>
      <c r="AF66" s="25">
        <v>11.6</v>
      </c>
      <c r="AG66" s="25">
        <v>3.3</v>
      </c>
      <c r="AH66" s="25">
        <v>8.6</v>
      </c>
      <c r="AI66" s="25">
        <v>7.7</v>
      </c>
      <c r="AJ66" s="25">
        <v>4.6</v>
      </c>
      <c r="AK66" s="25">
        <f t="shared" si="6"/>
        <v>35.8</v>
      </c>
      <c r="AL66" s="25">
        <v>12.4</v>
      </c>
      <c r="AM66" s="25">
        <v>2.9</v>
      </c>
      <c r="AN66" s="19">
        <v>1.2</v>
      </c>
      <c r="AO66" s="25">
        <v>2.1</v>
      </c>
      <c r="AP66" s="25">
        <f t="shared" si="7"/>
        <v>18.6</v>
      </c>
      <c r="AQ66" s="25">
        <v>5</v>
      </c>
      <c r="AR66" s="25">
        <v>53.7</v>
      </c>
      <c r="AS66" s="25">
        <v>19.9</v>
      </c>
      <c r="AT66" s="25">
        <v>51.1</v>
      </c>
      <c r="AU66" s="25">
        <f t="shared" si="8"/>
        <v>129.7</v>
      </c>
      <c r="AV66" s="25">
        <v>8.7</v>
      </c>
      <c r="AW66" s="19">
        <v>392.095</v>
      </c>
      <c r="AX66" s="25">
        <v>1649.033</v>
      </c>
      <c r="AY66" s="19">
        <v>2041.128</v>
      </c>
      <c r="AZ66" s="25">
        <v>372.739</v>
      </c>
      <c r="BA66" s="25">
        <v>582.711</v>
      </c>
      <c r="BB66" s="25">
        <v>955.45</v>
      </c>
      <c r="BC66" s="25">
        <f t="shared" si="10"/>
        <v>0.582216005105805</v>
      </c>
    </row>
    <row r="67" ht="14" spans="1:55">
      <c r="A67" s="29">
        <v>2016</v>
      </c>
      <c r="B67" s="29">
        <v>520000</v>
      </c>
      <c r="C67" s="30" t="s">
        <v>57</v>
      </c>
      <c r="D67" s="25">
        <v>1</v>
      </c>
      <c r="E67" s="25">
        <v>0</v>
      </c>
      <c r="F67" s="25">
        <v>0</v>
      </c>
      <c r="G67" s="25">
        <v>0</v>
      </c>
      <c r="H67" s="19">
        <v>53.863</v>
      </c>
      <c r="I67" s="19">
        <v>46.137</v>
      </c>
      <c r="J67" s="25">
        <v>9.698</v>
      </c>
      <c r="K67" s="25">
        <v>32.506</v>
      </c>
      <c r="L67" s="25">
        <f t="shared" si="0"/>
        <v>42.204</v>
      </c>
      <c r="M67" s="25">
        <v>37.844</v>
      </c>
      <c r="N67" s="25">
        <v>6.206</v>
      </c>
      <c r="O67" s="25">
        <v>5.209</v>
      </c>
      <c r="P67" s="25">
        <f t="shared" si="1"/>
        <v>49.259</v>
      </c>
      <c r="Q67" s="25">
        <v>4.835</v>
      </c>
      <c r="R67" s="19">
        <v>0.197</v>
      </c>
      <c r="S67" s="19">
        <f t="shared" si="2"/>
        <v>5.032</v>
      </c>
      <c r="T67" s="19">
        <v>883.025</v>
      </c>
      <c r="U67" s="19">
        <f t="shared" si="3"/>
        <v>0.475</v>
      </c>
      <c r="V67" s="19">
        <v>362.3191</v>
      </c>
      <c r="W67" s="19">
        <f t="shared" si="4"/>
        <v>0.1949</v>
      </c>
      <c r="X67" s="19">
        <v>613.6559</v>
      </c>
      <c r="Y67" s="14">
        <f t="shared" si="5"/>
        <v>0.3301</v>
      </c>
      <c r="Z67" s="14">
        <v>1859</v>
      </c>
      <c r="AA67" s="25">
        <v>1.1</v>
      </c>
      <c r="AB67" s="25">
        <v>13.4</v>
      </c>
      <c r="AC67" s="25">
        <v>40.2</v>
      </c>
      <c r="AD67" s="25">
        <v>12.2</v>
      </c>
      <c r="AE67" s="25">
        <v>45.7</v>
      </c>
      <c r="AF67" s="25">
        <v>12</v>
      </c>
      <c r="AG67" s="25">
        <v>3.6</v>
      </c>
      <c r="AH67" s="25">
        <v>9</v>
      </c>
      <c r="AI67" s="25">
        <v>7.3</v>
      </c>
      <c r="AJ67" s="25">
        <v>5</v>
      </c>
      <c r="AK67" s="25">
        <f t="shared" si="6"/>
        <v>36.9</v>
      </c>
      <c r="AL67" s="25">
        <v>12.4</v>
      </c>
      <c r="AM67" s="25">
        <v>2.8</v>
      </c>
      <c r="AN67" s="19">
        <v>1.4</v>
      </c>
      <c r="AO67" s="25">
        <v>2.3</v>
      </c>
      <c r="AP67" s="25">
        <f t="shared" si="7"/>
        <v>18.9</v>
      </c>
      <c r="AQ67" s="25">
        <v>5.2</v>
      </c>
      <c r="AR67" s="25">
        <v>54.3</v>
      </c>
      <c r="AS67" s="25">
        <v>20.5</v>
      </c>
      <c r="AT67" s="25">
        <v>53.3</v>
      </c>
      <c r="AU67" s="25">
        <f t="shared" si="8"/>
        <v>133.3</v>
      </c>
      <c r="AV67" s="25">
        <v>8.8</v>
      </c>
      <c r="AW67" s="19">
        <v>423.577</v>
      </c>
      <c r="AX67" s="25">
        <v>1702.249</v>
      </c>
      <c r="AY67" s="19">
        <v>2125.826</v>
      </c>
      <c r="AZ67" s="25">
        <v>389.808</v>
      </c>
      <c r="BA67" s="25">
        <v>583.778</v>
      </c>
      <c r="BB67" s="25">
        <v>973.586</v>
      </c>
      <c r="BC67" s="25">
        <f t="shared" si="10"/>
        <v>0.599636638168806</v>
      </c>
    </row>
    <row r="68" ht="14" spans="1:55">
      <c r="A68" s="29">
        <v>2017</v>
      </c>
      <c r="B68" s="29">
        <v>520000</v>
      </c>
      <c r="C68" s="30" t="s">
        <v>57</v>
      </c>
      <c r="D68" s="25">
        <v>1</v>
      </c>
      <c r="E68" s="25">
        <v>0</v>
      </c>
      <c r="F68" s="25">
        <v>0</v>
      </c>
      <c r="G68" s="25">
        <v>0</v>
      </c>
      <c r="H68" s="19">
        <v>53.941</v>
      </c>
      <c r="I68" s="19">
        <v>46.059</v>
      </c>
      <c r="J68" s="25">
        <v>8.404</v>
      </c>
      <c r="K68" s="25">
        <v>32.235</v>
      </c>
      <c r="L68" s="25">
        <f t="shared" si="0"/>
        <v>40.639</v>
      </c>
      <c r="M68" s="25">
        <v>39.139</v>
      </c>
      <c r="N68" s="25">
        <v>6.666</v>
      </c>
      <c r="O68" s="25">
        <v>4.848</v>
      </c>
      <c r="P68" s="25">
        <f t="shared" si="1"/>
        <v>50.653</v>
      </c>
      <c r="Q68" s="25">
        <v>5.174</v>
      </c>
      <c r="R68" s="19">
        <v>0.158</v>
      </c>
      <c r="S68" s="19">
        <f t="shared" si="2"/>
        <v>5.332</v>
      </c>
      <c r="T68" s="19">
        <v>828.0162</v>
      </c>
      <c r="U68" s="19">
        <f t="shared" si="3"/>
        <v>0.4402</v>
      </c>
      <c r="V68" s="19">
        <v>391.8123</v>
      </c>
      <c r="W68" s="19">
        <f t="shared" si="4"/>
        <v>0.2083</v>
      </c>
      <c r="X68" s="19">
        <v>661.1715</v>
      </c>
      <c r="Y68" s="14">
        <f t="shared" si="5"/>
        <v>0.3515</v>
      </c>
      <c r="Z68" s="14">
        <v>1881</v>
      </c>
      <c r="AA68" s="25">
        <v>1</v>
      </c>
      <c r="AB68" s="25">
        <v>13</v>
      </c>
      <c r="AC68" s="25">
        <v>39.1</v>
      </c>
      <c r="AD68" s="25">
        <v>9.1</v>
      </c>
      <c r="AE68" s="25">
        <v>45.2</v>
      </c>
      <c r="AF68" s="25">
        <v>12.2</v>
      </c>
      <c r="AG68" s="25">
        <v>3.8</v>
      </c>
      <c r="AH68" s="25">
        <v>9.2</v>
      </c>
      <c r="AI68" s="25">
        <v>7.2</v>
      </c>
      <c r="AJ68" s="25">
        <v>7.2</v>
      </c>
      <c r="AK68" s="25">
        <f t="shared" si="6"/>
        <v>39.6</v>
      </c>
      <c r="AL68" s="25">
        <v>12.7</v>
      </c>
      <c r="AM68" s="25">
        <v>2.9</v>
      </c>
      <c r="AN68" s="19">
        <v>1.7</v>
      </c>
      <c r="AO68" s="25">
        <v>2.4</v>
      </c>
      <c r="AP68" s="25">
        <f t="shared" si="7"/>
        <v>19.7</v>
      </c>
      <c r="AQ68" s="25">
        <v>5.3</v>
      </c>
      <c r="AR68" s="25">
        <v>54.4</v>
      </c>
      <c r="AS68" s="25">
        <v>22.7</v>
      </c>
      <c r="AT68" s="25">
        <v>56.5</v>
      </c>
      <c r="AU68" s="25">
        <f t="shared" si="8"/>
        <v>138.9</v>
      </c>
      <c r="AV68" s="25">
        <v>9.6</v>
      </c>
      <c r="AW68" s="19">
        <v>588.173</v>
      </c>
      <c r="AX68" s="25">
        <v>1748.546</v>
      </c>
      <c r="AY68" s="19">
        <v>2336.719</v>
      </c>
      <c r="AZ68" s="25">
        <v>410.417</v>
      </c>
      <c r="BA68" s="25">
        <v>590.924</v>
      </c>
      <c r="BB68" s="25">
        <v>1001.341</v>
      </c>
      <c r="BC68" s="25">
        <f t="shared" si="10"/>
        <v>0.661576281083755</v>
      </c>
    </row>
    <row r="69" ht="14" spans="1:55">
      <c r="A69" s="29">
        <v>2018</v>
      </c>
      <c r="B69" s="29">
        <v>520000</v>
      </c>
      <c r="C69" s="30" t="s">
        <v>57</v>
      </c>
      <c r="D69" s="25">
        <v>1</v>
      </c>
      <c r="E69" s="25">
        <v>0</v>
      </c>
      <c r="F69" s="25">
        <v>0</v>
      </c>
      <c r="G69" s="25">
        <v>0</v>
      </c>
      <c r="H69" s="19">
        <v>54.017</v>
      </c>
      <c r="I69" s="19">
        <v>45.983</v>
      </c>
      <c r="J69" s="25">
        <v>8.911</v>
      </c>
      <c r="K69" s="25">
        <v>30.941</v>
      </c>
      <c r="L69" s="25">
        <f t="shared" ref="L69:L132" si="11">J69+K69</f>
        <v>39.852</v>
      </c>
      <c r="M69" s="25">
        <v>39.82</v>
      </c>
      <c r="N69" s="25">
        <v>6.145</v>
      </c>
      <c r="O69" s="25">
        <v>4.941</v>
      </c>
      <c r="P69" s="25">
        <f t="shared" ref="P69:P132" si="12">M69+N69+O69</f>
        <v>50.906</v>
      </c>
      <c r="Q69" s="25">
        <v>5.382</v>
      </c>
      <c r="R69" s="19">
        <v>0.197</v>
      </c>
      <c r="S69" s="19">
        <f t="shared" ref="S69:S132" si="13">Q69+R69</f>
        <v>5.579</v>
      </c>
      <c r="T69" s="19">
        <v>764.9616</v>
      </c>
      <c r="U69" s="19">
        <f t="shared" ref="U69:U132" si="14">T69/Z69</f>
        <v>0.4056</v>
      </c>
      <c r="V69" s="19">
        <v>417.9376</v>
      </c>
      <c r="W69" s="19">
        <f t="shared" ref="W69:W132" si="15">V69/Z69</f>
        <v>0.2216</v>
      </c>
      <c r="X69" s="19">
        <v>703.1008</v>
      </c>
      <c r="Y69" s="14">
        <f t="shared" ref="Y69:Y132" si="16">X69/Z69</f>
        <v>0.3728</v>
      </c>
      <c r="Z69" s="14">
        <v>1886</v>
      </c>
      <c r="AA69" s="25">
        <v>0.8</v>
      </c>
      <c r="AB69" s="25">
        <v>11.4</v>
      </c>
      <c r="AC69" s="25">
        <v>31.5</v>
      </c>
      <c r="AD69" s="25">
        <v>9.1</v>
      </c>
      <c r="AE69" s="25">
        <v>45.1</v>
      </c>
      <c r="AF69" s="25">
        <v>11.9</v>
      </c>
      <c r="AG69" s="25">
        <v>3.5</v>
      </c>
      <c r="AH69" s="25">
        <v>8.8</v>
      </c>
      <c r="AI69" s="25">
        <v>6.7</v>
      </c>
      <c r="AJ69" s="25">
        <v>7.4</v>
      </c>
      <c r="AK69" s="25">
        <f t="shared" ref="AK69:AK132" si="17">AF69+AG69+AH69+AI69+AJ69</f>
        <v>38.3</v>
      </c>
      <c r="AL69" s="25">
        <v>12</v>
      </c>
      <c r="AM69" s="25">
        <v>2.6</v>
      </c>
      <c r="AN69" s="19">
        <v>1.4</v>
      </c>
      <c r="AO69" s="25">
        <v>2.4</v>
      </c>
      <c r="AP69" s="25">
        <f t="shared" ref="AP69:AP132" si="18">AL69+AM69+AN69+AO69</f>
        <v>18.4</v>
      </c>
      <c r="AQ69" s="25">
        <v>5.1</v>
      </c>
      <c r="AR69" s="25">
        <v>55.3</v>
      </c>
      <c r="AS69" s="25">
        <v>22</v>
      </c>
      <c r="AT69" s="25">
        <v>62.9</v>
      </c>
      <c r="AU69" s="25">
        <f t="shared" ref="AU69:AU132" si="19">AQ69+AR69+AS69+AT69</f>
        <v>145.3</v>
      </c>
      <c r="AV69" s="25">
        <v>8.6</v>
      </c>
      <c r="AW69" s="19">
        <v>639.815</v>
      </c>
      <c r="AX69" s="25">
        <v>1802.656</v>
      </c>
      <c r="AY69" s="19">
        <v>2442.471</v>
      </c>
      <c r="AZ69" s="25">
        <v>431.971</v>
      </c>
      <c r="BA69" s="25">
        <v>3801.631</v>
      </c>
      <c r="BB69" s="25">
        <v>4233.602</v>
      </c>
      <c r="BC69" s="25">
        <f t="shared" si="10"/>
        <v>0.363987898373383</v>
      </c>
    </row>
    <row r="70" ht="14" spans="1:55">
      <c r="A70" s="29">
        <v>2019</v>
      </c>
      <c r="B70" s="29">
        <v>520000</v>
      </c>
      <c r="C70" s="30" t="s">
        <v>57</v>
      </c>
      <c r="D70" s="25">
        <v>1</v>
      </c>
      <c r="E70" s="25">
        <v>0</v>
      </c>
      <c r="F70" s="25">
        <v>0</v>
      </c>
      <c r="G70" s="25">
        <v>0</v>
      </c>
      <c r="H70" s="19">
        <v>57.9</v>
      </c>
      <c r="I70" s="19">
        <v>42.1</v>
      </c>
      <c r="J70" s="25">
        <v>7.4</v>
      </c>
      <c r="K70" s="25">
        <v>29.5</v>
      </c>
      <c r="L70" s="25">
        <f t="shared" si="11"/>
        <v>36.9</v>
      </c>
      <c r="M70" s="25">
        <v>37.4</v>
      </c>
      <c r="N70" s="25">
        <v>10.9</v>
      </c>
      <c r="O70" s="25">
        <v>7.3</v>
      </c>
      <c r="P70" s="25">
        <f t="shared" si="12"/>
        <v>55.6</v>
      </c>
      <c r="Q70" s="25">
        <v>7</v>
      </c>
      <c r="R70" s="19">
        <v>0.3</v>
      </c>
      <c r="S70" s="19">
        <f t="shared" si="13"/>
        <v>7.3</v>
      </c>
      <c r="T70" s="19">
        <v>700.448</v>
      </c>
      <c r="U70" s="19">
        <f t="shared" si="14"/>
        <v>0.371</v>
      </c>
      <c r="V70" s="19">
        <v>443.4912</v>
      </c>
      <c r="W70" s="19">
        <f t="shared" si="15"/>
        <v>0.2349</v>
      </c>
      <c r="X70" s="19">
        <v>744.0608</v>
      </c>
      <c r="Y70" s="14">
        <f t="shared" si="16"/>
        <v>0.3941</v>
      </c>
      <c r="Z70" s="14">
        <v>1888</v>
      </c>
      <c r="AA70" s="25">
        <v>0.7</v>
      </c>
      <c r="AB70" s="25">
        <v>11.8</v>
      </c>
      <c r="AC70" s="25">
        <v>29.6</v>
      </c>
      <c r="AD70" s="25">
        <v>9.5</v>
      </c>
      <c r="AE70" s="25">
        <v>43.4</v>
      </c>
      <c r="AF70" s="25">
        <v>13.2</v>
      </c>
      <c r="AG70" s="25">
        <v>4</v>
      </c>
      <c r="AH70" s="25">
        <v>14.5</v>
      </c>
      <c r="AI70" s="25">
        <v>4.8</v>
      </c>
      <c r="AJ70" s="25">
        <v>8.2</v>
      </c>
      <c r="AK70" s="25">
        <f t="shared" si="17"/>
        <v>44.7</v>
      </c>
      <c r="AL70" s="25">
        <v>11.1</v>
      </c>
      <c r="AM70" s="25">
        <v>2.8</v>
      </c>
      <c r="AN70" s="19">
        <v>1.6</v>
      </c>
      <c r="AO70" s="25">
        <v>2.3</v>
      </c>
      <c r="AP70" s="25">
        <f t="shared" si="18"/>
        <v>17.8</v>
      </c>
      <c r="AQ70" s="25">
        <v>4.3</v>
      </c>
      <c r="AR70" s="25">
        <v>53.9</v>
      </c>
      <c r="AS70" s="25">
        <v>25</v>
      </c>
      <c r="AT70" s="25">
        <v>70</v>
      </c>
      <c r="AU70" s="25">
        <f t="shared" si="19"/>
        <v>153.2</v>
      </c>
      <c r="AV70" s="25">
        <v>10.7</v>
      </c>
      <c r="AW70" s="19">
        <v>677.5</v>
      </c>
      <c r="AX70" s="25">
        <v>1855.8</v>
      </c>
      <c r="AY70" s="19">
        <v>2533.3</v>
      </c>
      <c r="AZ70" s="25">
        <v>462</v>
      </c>
      <c r="BA70" s="25">
        <v>3724.7</v>
      </c>
      <c r="BB70" s="25">
        <v>4186.8</v>
      </c>
      <c r="BC70" s="25">
        <f t="shared" si="10"/>
        <v>0.377784533685712</v>
      </c>
    </row>
    <row r="71" ht="14" spans="1:55">
      <c r="A71" s="29">
        <v>2020</v>
      </c>
      <c r="B71" s="29">
        <v>520000</v>
      </c>
      <c r="C71" s="30" t="s">
        <v>57</v>
      </c>
      <c r="D71" s="25">
        <v>1</v>
      </c>
      <c r="E71" s="25">
        <v>0</v>
      </c>
      <c r="F71" s="25">
        <v>0</v>
      </c>
      <c r="G71" s="25">
        <v>0</v>
      </c>
      <c r="H71" s="19">
        <v>56.9</v>
      </c>
      <c r="I71" s="19">
        <v>43.1</v>
      </c>
      <c r="J71" s="25">
        <v>6.7</v>
      </c>
      <c r="K71" s="25">
        <v>31.2</v>
      </c>
      <c r="L71" s="25">
        <f t="shared" si="11"/>
        <v>37.9</v>
      </c>
      <c r="M71" s="25">
        <v>38.4</v>
      </c>
      <c r="N71" s="25">
        <v>9.7</v>
      </c>
      <c r="O71" s="25">
        <v>6.8</v>
      </c>
      <c r="P71" s="25">
        <f t="shared" si="12"/>
        <v>54.9</v>
      </c>
      <c r="Q71" s="25">
        <v>7</v>
      </c>
      <c r="R71" s="19">
        <v>0.3</v>
      </c>
      <c r="S71" s="19">
        <f t="shared" si="13"/>
        <v>7.3</v>
      </c>
      <c r="T71" s="19">
        <v>634</v>
      </c>
      <c r="U71" s="19">
        <f t="shared" si="14"/>
        <v>0.335095137420719</v>
      </c>
      <c r="V71" s="19">
        <v>472</v>
      </c>
      <c r="W71" s="19">
        <f t="shared" si="15"/>
        <v>0.249471458773784</v>
      </c>
      <c r="X71" s="19">
        <v>786</v>
      </c>
      <c r="Y71" s="14">
        <f t="shared" si="16"/>
        <v>0.415433403805497</v>
      </c>
      <c r="Z71" s="14">
        <v>1892</v>
      </c>
      <c r="AA71" s="25">
        <v>1</v>
      </c>
      <c r="AB71" s="25">
        <v>12.2</v>
      </c>
      <c r="AC71" s="25">
        <v>28.8</v>
      </c>
      <c r="AD71" s="25">
        <v>9.5</v>
      </c>
      <c r="AE71" s="25">
        <v>43.9</v>
      </c>
      <c r="AF71" s="25">
        <v>13.2</v>
      </c>
      <c r="AG71" s="25">
        <v>4.6</v>
      </c>
      <c r="AH71" s="25">
        <v>14.8</v>
      </c>
      <c r="AI71" s="25">
        <v>5.5</v>
      </c>
      <c r="AJ71" s="25">
        <v>7.2</v>
      </c>
      <c r="AK71" s="25">
        <f t="shared" si="17"/>
        <v>45.3</v>
      </c>
      <c r="AL71" s="25">
        <v>12.4</v>
      </c>
      <c r="AM71" s="25">
        <v>2.7</v>
      </c>
      <c r="AN71" s="19">
        <v>1.8</v>
      </c>
      <c r="AO71" s="25">
        <v>2.4</v>
      </c>
      <c r="AP71" s="25">
        <f t="shared" si="18"/>
        <v>19.3</v>
      </c>
      <c r="AQ71" s="25">
        <v>5</v>
      </c>
      <c r="AR71" s="25">
        <v>57.9</v>
      </c>
      <c r="AS71" s="25">
        <v>27.8</v>
      </c>
      <c r="AT71" s="25">
        <v>74</v>
      </c>
      <c r="AU71" s="25">
        <f t="shared" si="19"/>
        <v>164.7</v>
      </c>
      <c r="AV71" s="25">
        <v>10.6</v>
      </c>
      <c r="AW71" s="19">
        <v>714</v>
      </c>
      <c r="AX71" s="25">
        <v>1904.5</v>
      </c>
      <c r="AY71" s="19">
        <v>2618.5</v>
      </c>
      <c r="AZ71" s="25">
        <v>475.5</v>
      </c>
      <c r="BA71" s="25">
        <v>3718.9</v>
      </c>
      <c r="BB71" s="25">
        <v>4194.4</v>
      </c>
      <c r="BC71" s="25">
        <f t="shared" si="10"/>
        <v>0.386040635356539</v>
      </c>
    </row>
    <row r="72" ht="14" spans="1:55">
      <c r="A72" s="29">
        <v>2021</v>
      </c>
      <c r="B72" s="29">
        <v>520000</v>
      </c>
      <c r="C72" s="30" t="s">
        <v>57</v>
      </c>
      <c r="D72" s="25">
        <v>1</v>
      </c>
      <c r="E72" s="25">
        <v>0</v>
      </c>
      <c r="F72" s="25">
        <v>0</v>
      </c>
      <c r="G72" s="25">
        <v>0</v>
      </c>
      <c r="H72" s="19">
        <v>55.549</v>
      </c>
      <c r="I72" s="19">
        <v>44.451</v>
      </c>
      <c r="J72" s="25">
        <v>7.262</v>
      </c>
      <c r="K72" s="25">
        <v>27.788</v>
      </c>
      <c r="L72" s="25">
        <f t="shared" si="11"/>
        <v>35.05</v>
      </c>
      <c r="M72" s="25">
        <v>39.692</v>
      </c>
      <c r="N72" s="25">
        <v>10.499</v>
      </c>
      <c r="O72" s="25">
        <v>7.182</v>
      </c>
      <c r="P72" s="25">
        <f t="shared" si="12"/>
        <v>57.373</v>
      </c>
      <c r="Q72" s="25">
        <v>7.222</v>
      </c>
      <c r="R72" s="19">
        <v>0.357</v>
      </c>
      <c r="S72" s="19">
        <f t="shared" si="13"/>
        <v>7.579</v>
      </c>
      <c r="T72" s="19">
        <v>618</v>
      </c>
      <c r="U72" s="19">
        <f t="shared" si="14"/>
        <v>0.327677624602333</v>
      </c>
      <c r="V72" s="19">
        <v>475</v>
      </c>
      <c r="W72" s="19">
        <f t="shared" si="15"/>
        <v>0.251855779427359</v>
      </c>
      <c r="X72" s="19">
        <v>793</v>
      </c>
      <c r="Y72" s="14">
        <f t="shared" si="16"/>
        <v>0.420466595970308</v>
      </c>
      <c r="Z72" s="14">
        <v>1886</v>
      </c>
      <c r="AA72" s="25">
        <v>1.2</v>
      </c>
      <c r="AB72" s="25">
        <v>14.3</v>
      </c>
      <c r="AC72" s="25">
        <v>31.1</v>
      </c>
      <c r="AD72" s="25">
        <v>9.6</v>
      </c>
      <c r="AE72" s="25">
        <v>41.2</v>
      </c>
      <c r="AF72" s="25">
        <v>13</v>
      </c>
      <c r="AG72" s="25">
        <v>4.6</v>
      </c>
      <c r="AH72" s="25">
        <v>14.2</v>
      </c>
      <c r="AI72" s="25">
        <v>5.5</v>
      </c>
      <c r="AJ72" s="25">
        <v>7.9</v>
      </c>
      <c r="AK72" s="25">
        <f t="shared" si="17"/>
        <v>45.2</v>
      </c>
      <c r="AL72" s="25">
        <v>12</v>
      </c>
      <c r="AM72" s="25">
        <v>2.9</v>
      </c>
      <c r="AN72" s="19">
        <v>1.7</v>
      </c>
      <c r="AO72" s="25">
        <v>2.5</v>
      </c>
      <c r="AP72" s="25">
        <f t="shared" si="18"/>
        <v>19.1</v>
      </c>
      <c r="AQ72" s="25">
        <v>5.1</v>
      </c>
      <c r="AR72" s="25">
        <v>57.9</v>
      </c>
      <c r="AS72" s="25">
        <v>29.4</v>
      </c>
      <c r="AT72" s="25">
        <v>72.4</v>
      </c>
      <c r="AU72" s="25">
        <f t="shared" si="19"/>
        <v>164.8</v>
      </c>
      <c r="AV72" s="25">
        <v>10.4</v>
      </c>
      <c r="AW72" s="19">
        <v>755.836</v>
      </c>
      <c r="AX72" s="25">
        <v>1928.599</v>
      </c>
      <c r="AY72" s="19">
        <v>2684.434</v>
      </c>
      <c r="AZ72" s="25">
        <v>479.44</v>
      </c>
      <c r="BA72" s="25">
        <v>3735.03</v>
      </c>
      <c r="BB72" s="25">
        <v>4214.47</v>
      </c>
      <c r="BC72" s="25">
        <f t="shared" si="10"/>
        <v>0.395322968443715</v>
      </c>
    </row>
    <row r="73" ht="14" spans="1:55">
      <c r="A73" s="29">
        <v>2022</v>
      </c>
      <c r="B73" s="29">
        <v>520000</v>
      </c>
      <c r="C73" s="30" t="s">
        <v>57</v>
      </c>
      <c r="D73" s="25">
        <v>1</v>
      </c>
      <c r="E73" s="25">
        <v>0</v>
      </c>
      <c r="F73" s="25">
        <v>0</v>
      </c>
      <c r="G73" s="25">
        <v>0</v>
      </c>
      <c r="H73" s="19">
        <v>55.155</v>
      </c>
      <c r="I73" s="19">
        <v>44.845</v>
      </c>
      <c r="J73" s="25">
        <v>7.014</v>
      </c>
      <c r="K73" s="25">
        <v>30.698</v>
      </c>
      <c r="L73" s="25">
        <f t="shared" si="11"/>
        <v>37.712</v>
      </c>
      <c r="M73" s="25">
        <v>36.872</v>
      </c>
      <c r="N73" s="25">
        <v>9.367</v>
      </c>
      <c r="O73" s="25">
        <v>7.443</v>
      </c>
      <c r="P73" s="25">
        <f t="shared" si="12"/>
        <v>53.682</v>
      </c>
      <c r="Q73" s="25">
        <v>8.216</v>
      </c>
      <c r="R73" s="19">
        <v>0.39</v>
      </c>
      <c r="S73" s="19">
        <f t="shared" si="13"/>
        <v>8.606</v>
      </c>
      <c r="T73" s="19">
        <v>693</v>
      </c>
      <c r="U73" s="19">
        <f t="shared" si="14"/>
        <v>0.369009584664537</v>
      </c>
      <c r="V73" s="19">
        <v>444</v>
      </c>
      <c r="W73" s="19">
        <f t="shared" si="15"/>
        <v>0.236421725239617</v>
      </c>
      <c r="X73" s="19">
        <v>741</v>
      </c>
      <c r="Y73" s="14">
        <f t="shared" si="16"/>
        <v>0.394568690095847</v>
      </c>
      <c r="Z73" s="14">
        <v>1878</v>
      </c>
      <c r="AA73" s="25">
        <v>1.3</v>
      </c>
      <c r="AB73" s="25">
        <v>16.7</v>
      </c>
      <c r="AC73" s="25">
        <v>32.6</v>
      </c>
      <c r="AD73" s="25">
        <v>8.9</v>
      </c>
      <c r="AE73" s="25">
        <v>34</v>
      </c>
      <c r="AF73" s="25">
        <v>12.1</v>
      </c>
      <c r="AG73" s="25">
        <v>4.5</v>
      </c>
      <c r="AH73" s="25">
        <v>13</v>
      </c>
      <c r="AI73" s="25">
        <v>5.3</v>
      </c>
      <c r="AJ73" s="25">
        <v>7.8</v>
      </c>
      <c r="AK73" s="25">
        <f t="shared" si="17"/>
        <v>42.7</v>
      </c>
      <c r="AL73" s="25">
        <v>11.7</v>
      </c>
      <c r="AM73" s="25">
        <v>3.1</v>
      </c>
      <c r="AN73" s="19">
        <v>2</v>
      </c>
      <c r="AO73" s="25">
        <v>2.4</v>
      </c>
      <c r="AP73" s="25">
        <f t="shared" si="18"/>
        <v>19.2</v>
      </c>
      <c r="AQ73" s="25">
        <v>5.3</v>
      </c>
      <c r="AR73" s="25">
        <v>58</v>
      </c>
      <c r="AS73" s="25">
        <v>29.6</v>
      </c>
      <c r="AT73" s="25">
        <v>70.1</v>
      </c>
      <c r="AU73" s="25">
        <f t="shared" si="19"/>
        <v>163</v>
      </c>
      <c r="AV73" s="25">
        <v>8.7</v>
      </c>
      <c r="AW73" s="19">
        <v>770.071</v>
      </c>
      <c r="AX73" s="25">
        <v>1935.535</v>
      </c>
      <c r="AY73" s="19">
        <v>2705.606</v>
      </c>
      <c r="AZ73" s="25">
        <v>494.068</v>
      </c>
      <c r="BA73" s="25">
        <v>3727.164</v>
      </c>
      <c r="BB73" s="25">
        <v>4221.232</v>
      </c>
      <c r="BC73" s="25">
        <f t="shared" si="10"/>
        <v>0.401664079996612</v>
      </c>
    </row>
    <row r="74" ht="14" spans="1:55">
      <c r="A74" s="29">
        <v>2013</v>
      </c>
      <c r="B74" s="29">
        <v>460000</v>
      </c>
      <c r="C74" s="30" t="s">
        <v>58</v>
      </c>
      <c r="D74" s="25">
        <v>0</v>
      </c>
      <c r="E74" s="25">
        <v>1</v>
      </c>
      <c r="F74" s="25">
        <v>0</v>
      </c>
      <c r="G74" s="25">
        <v>0</v>
      </c>
      <c r="H74" s="19">
        <v>54.6659999999999</v>
      </c>
      <c r="I74" s="19">
        <v>45.3340000000001</v>
      </c>
      <c r="J74" s="25">
        <v>0.846</v>
      </c>
      <c r="K74" s="25">
        <v>12.306</v>
      </c>
      <c r="L74" s="25">
        <f t="shared" si="11"/>
        <v>13.152</v>
      </c>
      <c r="M74" s="25">
        <v>52.807</v>
      </c>
      <c r="N74" s="25">
        <v>19.764</v>
      </c>
      <c r="O74" s="25">
        <v>9.248</v>
      </c>
      <c r="P74" s="25">
        <f t="shared" si="12"/>
        <v>81.819</v>
      </c>
      <c r="Q74" s="25">
        <v>4.839</v>
      </c>
      <c r="R74" s="19">
        <v>0.19</v>
      </c>
      <c r="S74" s="19">
        <f t="shared" si="13"/>
        <v>5.029</v>
      </c>
      <c r="T74" s="19">
        <v>199.41</v>
      </c>
      <c r="U74" s="19">
        <f t="shared" si="14"/>
        <v>0.406494618395303</v>
      </c>
      <c r="V74" s="19">
        <v>62.2</v>
      </c>
      <c r="W74" s="19">
        <f t="shared" si="15"/>
        <v>0.126793868232224</v>
      </c>
      <c r="X74" s="19">
        <v>228.94</v>
      </c>
      <c r="Y74" s="14">
        <f t="shared" si="16"/>
        <v>0.466691128506197</v>
      </c>
      <c r="Z74" s="14">
        <v>490.56</v>
      </c>
      <c r="AA74" s="25">
        <v>4.8</v>
      </c>
      <c r="AB74" s="25">
        <v>0.8</v>
      </c>
      <c r="AC74" s="25">
        <v>10.6</v>
      </c>
      <c r="AD74" s="25">
        <v>2.2</v>
      </c>
      <c r="AE74" s="25">
        <v>7.7</v>
      </c>
      <c r="AF74" s="25">
        <v>5.4</v>
      </c>
      <c r="AG74" s="25">
        <v>1.3</v>
      </c>
      <c r="AH74" s="25">
        <v>2.8</v>
      </c>
      <c r="AI74" s="25">
        <v>2</v>
      </c>
      <c r="AJ74" s="25">
        <v>2</v>
      </c>
      <c r="AK74" s="25">
        <f t="shared" si="17"/>
        <v>13.5</v>
      </c>
      <c r="AL74" s="25">
        <v>12.8</v>
      </c>
      <c r="AM74" s="25">
        <v>6.8</v>
      </c>
      <c r="AN74" s="19">
        <v>0.4</v>
      </c>
      <c r="AO74" s="25">
        <v>1.3</v>
      </c>
      <c r="AP74" s="25">
        <f t="shared" si="18"/>
        <v>21.3</v>
      </c>
      <c r="AQ74" s="25">
        <v>3.1</v>
      </c>
      <c r="AR74" s="25">
        <v>12.5</v>
      </c>
      <c r="AS74" s="25">
        <v>5.3</v>
      </c>
      <c r="AT74" s="25">
        <v>11.3</v>
      </c>
      <c r="AU74" s="25">
        <f t="shared" si="19"/>
        <v>32.2</v>
      </c>
      <c r="AV74" s="25">
        <v>5.8</v>
      </c>
      <c r="AW74" s="19">
        <v>231.498</v>
      </c>
      <c r="AX74" s="25">
        <v>272.103</v>
      </c>
      <c r="AY74" s="19">
        <v>503.602</v>
      </c>
      <c r="AZ74" s="25">
        <v>219.978</v>
      </c>
      <c r="BA74" s="25">
        <v>186.572</v>
      </c>
      <c r="BB74" s="25">
        <v>406.55</v>
      </c>
      <c r="BC74" s="25">
        <f t="shared" si="10"/>
        <v>1.00076917076687</v>
      </c>
    </row>
    <row r="75" ht="14" spans="1:55">
      <c r="A75" s="29">
        <v>2014</v>
      </c>
      <c r="B75" s="29">
        <v>460000</v>
      </c>
      <c r="C75" s="30" t="s">
        <v>58</v>
      </c>
      <c r="D75" s="25">
        <v>0</v>
      </c>
      <c r="E75" s="25">
        <v>1</v>
      </c>
      <c r="F75" s="25">
        <v>0</v>
      </c>
      <c r="G75" s="25">
        <v>0</v>
      </c>
      <c r="H75" s="19">
        <v>55.6</v>
      </c>
      <c r="I75" s="19">
        <v>44.4</v>
      </c>
      <c r="J75" s="25">
        <v>1.7</v>
      </c>
      <c r="K75" s="25">
        <v>11.5</v>
      </c>
      <c r="L75" s="25">
        <f t="shared" si="11"/>
        <v>13.2</v>
      </c>
      <c r="M75" s="25">
        <v>50.2</v>
      </c>
      <c r="N75" s="25">
        <v>21.4</v>
      </c>
      <c r="O75" s="25">
        <v>8.3</v>
      </c>
      <c r="P75" s="25">
        <f t="shared" si="12"/>
        <v>79.9</v>
      </c>
      <c r="Q75" s="25">
        <v>6.7</v>
      </c>
      <c r="R75" s="19">
        <v>0.2</v>
      </c>
      <c r="S75" s="19">
        <f t="shared" si="13"/>
        <v>6.9</v>
      </c>
      <c r="T75" s="19">
        <v>195.59</v>
      </c>
      <c r="U75" s="19">
        <f t="shared" si="14"/>
        <v>0.387998413013291</v>
      </c>
      <c r="V75" s="19">
        <v>63.77</v>
      </c>
      <c r="W75" s="19">
        <f t="shared" si="15"/>
        <v>0.126502678040071</v>
      </c>
      <c r="X75" s="19">
        <v>244.74</v>
      </c>
      <c r="Y75" s="14">
        <f t="shared" si="16"/>
        <v>0.485498908946638</v>
      </c>
      <c r="Z75" s="14">
        <v>504.1</v>
      </c>
      <c r="AA75" s="25">
        <v>10.4</v>
      </c>
      <c r="AB75" s="25">
        <v>0.7</v>
      </c>
      <c r="AC75" s="25">
        <v>9.7</v>
      </c>
      <c r="AD75" s="25">
        <v>2.3</v>
      </c>
      <c r="AE75" s="25">
        <v>7.3</v>
      </c>
      <c r="AF75" s="25">
        <v>5.4</v>
      </c>
      <c r="AG75" s="25">
        <v>1.6</v>
      </c>
      <c r="AH75" s="25">
        <v>3.4</v>
      </c>
      <c r="AI75" s="25">
        <v>2.2</v>
      </c>
      <c r="AJ75" s="25">
        <v>2.5</v>
      </c>
      <c r="AK75" s="25">
        <f t="shared" si="17"/>
        <v>15.1</v>
      </c>
      <c r="AL75" s="25">
        <v>5.9</v>
      </c>
      <c r="AM75" s="25">
        <v>6.5</v>
      </c>
      <c r="AN75" s="19">
        <v>0.4</v>
      </c>
      <c r="AO75" s="25">
        <v>1.2</v>
      </c>
      <c r="AP75" s="25">
        <f t="shared" si="18"/>
        <v>14</v>
      </c>
      <c r="AQ75" s="25">
        <v>2.8</v>
      </c>
      <c r="AR75" s="25">
        <v>12.9</v>
      </c>
      <c r="AS75" s="25">
        <v>5.7</v>
      </c>
      <c r="AT75" s="25">
        <v>13.2</v>
      </c>
      <c r="AU75" s="25">
        <f t="shared" si="19"/>
        <v>34.6</v>
      </c>
      <c r="AV75" s="25">
        <v>7.4</v>
      </c>
      <c r="AW75" s="19">
        <v>242.3</v>
      </c>
      <c r="AX75" s="25">
        <v>274.8</v>
      </c>
      <c r="AY75" s="19">
        <v>517.1</v>
      </c>
      <c r="AZ75" s="25">
        <v>191.7</v>
      </c>
      <c r="BA75" s="25">
        <v>195.2</v>
      </c>
      <c r="BB75" s="25">
        <v>386.8</v>
      </c>
      <c r="BC75" s="25">
        <f t="shared" si="10"/>
        <v>0.964179707568879</v>
      </c>
    </row>
    <row r="76" ht="14" spans="1:55">
      <c r="A76" s="29">
        <v>2015</v>
      </c>
      <c r="B76" s="29">
        <v>460000</v>
      </c>
      <c r="C76" s="30" t="s">
        <v>58</v>
      </c>
      <c r="D76" s="25">
        <v>0</v>
      </c>
      <c r="E76" s="25">
        <v>1</v>
      </c>
      <c r="F76" s="25">
        <v>0</v>
      </c>
      <c r="G76" s="25">
        <v>0</v>
      </c>
      <c r="H76" s="19">
        <v>56.534</v>
      </c>
      <c r="I76" s="19">
        <v>43.466</v>
      </c>
      <c r="J76" s="25">
        <v>2.496</v>
      </c>
      <c r="K76" s="25">
        <v>14.109</v>
      </c>
      <c r="L76" s="25">
        <f t="shared" si="11"/>
        <v>16.605</v>
      </c>
      <c r="M76" s="25">
        <v>50.756</v>
      </c>
      <c r="N76" s="25">
        <v>12.118</v>
      </c>
      <c r="O76" s="25">
        <v>7.656</v>
      </c>
      <c r="P76" s="25">
        <f t="shared" si="12"/>
        <v>70.53</v>
      </c>
      <c r="Q76" s="25">
        <v>5.948</v>
      </c>
      <c r="R76" s="19">
        <v>0.327</v>
      </c>
      <c r="S76" s="19">
        <f t="shared" si="13"/>
        <v>6.275</v>
      </c>
      <c r="T76" s="19">
        <v>189.95</v>
      </c>
      <c r="U76" s="19">
        <f t="shared" si="14"/>
        <v>0.371896781267131</v>
      </c>
      <c r="V76" s="19">
        <v>64.1</v>
      </c>
      <c r="W76" s="19">
        <f t="shared" si="15"/>
        <v>0.125499256010651</v>
      </c>
      <c r="X76" s="19">
        <v>256.71</v>
      </c>
      <c r="Y76" s="14">
        <f t="shared" si="16"/>
        <v>0.502603962722218</v>
      </c>
      <c r="Z76" s="14">
        <v>510.76</v>
      </c>
      <c r="AA76" s="25">
        <v>8.8</v>
      </c>
      <c r="AB76" s="25">
        <v>0.6</v>
      </c>
      <c r="AC76" s="25">
        <v>8.8</v>
      </c>
      <c r="AD76" s="25">
        <v>2.4</v>
      </c>
      <c r="AE76" s="25">
        <v>6.9</v>
      </c>
      <c r="AF76" s="25">
        <v>6.5</v>
      </c>
      <c r="AG76" s="25">
        <v>1.5</v>
      </c>
      <c r="AH76" s="25">
        <v>4.1</v>
      </c>
      <c r="AI76" s="25">
        <v>2.2</v>
      </c>
      <c r="AJ76" s="25">
        <v>2.1</v>
      </c>
      <c r="AK76" s="25">
        <f t="shared" si="17"/>
        <v>16.4</v>
      </c>
      <c r="AL76" s="25">
        <v>5.6</v>
      </c>
      <c r="AM76" s="25">
        <v>6</v>
      </c>
      <c r="AN76" s="19">
        <v>0.5</v>
      </c>
      <c r="AO76" s="25">
        <v>1.2</v>
      </c>
      <c r="AP76" s="25">
        <f t="shared" si="18"/>
        <v>13.3</v>
      </c>
      <c r="AQ76" s="25">
        <v>2.9</v>
      </c>
      <c r="AR76" s="25">
        <v>13</v>
      </c>
      <c r="AS76" s="25">
        <v>5.9</v>
      </c>
      <c r="AT76" s="25">
        <v>13.6</v>
      </c>
      <c r="AU76" s="25">
        <f t="shared" si="19"/>
        <v>35.4</v>
      </c>
      <c r="AV76" s="25">
        <v>7.7</v>
      </c>
      <c r="AW76" s="19">
        <v>249.848</v>
      </c>
      <c r="AX76" s="25">
        <v>281.068</v>
      </c>
      <c r="AY76" s="19">
        <v>530.916</v>
      </c>
      <c r="AZ76" s="25">
        <v>196.333</v>
      </c>
      <c r="BA76" s="25">
        <v>193.437</v>
      </c>
      <c r="BB76" s="25">
        <v>389.769</v>
      </c>
      <c r="BC76" s="25">
        <f t="shared" si="10"/>
        <v>0.97431428912809</v>
      </c>
    </row>
    <row r="77" ht="14" spans="1:55">
      <c r="A77" s="29">
        <v>2016</v>
      </c>
      <c r="B77" s="29">
        <v>460000</v>
      </c>
      <c r="C77" s="30" t="s">
        <v>58</v>
      </c>
      <c r="D77" s="25">
        <v>0</v>
      </c>
      <c r="E77" s="25">
        <v>1</v>
      </c>
      <c r="F77" s="25">
        <v>0</v>
      </c>
      <c r="G77" s="25">
        <v>0</v>
      </c>
      <c r="H77" s="19">
        <v>55.98</v>
      </c>
      <c r="I77" s="19">
        <v>44.02</v>
      </c>
      <c r="J77" s="25">
        <v>2.191</v>
      </c>
      <c r="K77" s="25">
        <v>12.966</v>
      </c>
      <c r="L77" s="25">
        <f t="shared" si="11"/>
        <v>15.157</v>
      </c>
      <c r="M77" s="25">
        <v>51.383</v>
      </c>
      <c r="N77" s="25">
        <v>12.393</v>
      </c>
      <c r="O77" s="25">
        <v>8</v>
      </c>
      <c r="P77" s="25">
        <f t="shared" si="12"/>
        <v>71.776</v>
      </c>
      <c r="Q77" s="25">
        <v>6.229</v>
      </c>
      <c r="R77" s="19">
        <v>0.227</v>
      </c>
      <c r="S77" s="19">
        <f t="shared" si="13"/>
        <v>6.456</v>
      </c>
      <c r="T77" s="19">
        <v>187.45</v>
      </c>
      <c r="U77" s="19">
        <f t="shared" si="14"/>
        <v>0.365299918150992</v>
      </c>
      <c r="V77" s="19">
        <v>62.96</v>
      </c>
      <c r="W77" s="19">
        <f t="shared" si="15"/>
        <v>0.122695560665705</v>
      </c>
      <c r="X77" s="19">
        <v>262.73</v>
      </c>
      <c r="Y77" s="14">
        <f t="shared" si="16"/>
        <v>0.512004521183303</v>
      </c>
      <c r="Z77" s="14">
        <v>513.14</v>
      </c>
      <c r="AA77" s="25">
        <v>7.6</v>
      </c>
      <c r="AB77" s="25">
        <v>0.5</v>
      </c>
      <c r="AC77" s="25">
        <v>8.1</v>
      </c>
      <c r="AD77" s="25">
        <v>2.3</v>
      </c>
      <c r="AE77" s="25">
        <v>7.1</v>
      </c>
      <c r="AF77" s="25">
        <v>7</v>
      </c>
      <c r="AG77" s="25">
        <v>1.6</v>
      </c>
      <c r="AH77" s="25">
        <v>4.3</v>
      </c>
      <c r="AI77" s="25">
        <v>2.1</v>
      </c>
      <c r="AJ77" s="25">
        <v>1.9</v>
      </c>
      <c r="AK77" s="25">
        <f t="shared" si="17"/>
        <v>16.9</v>
      </c>
      <c r="AL77" s="25">
        <v>5.8</v>
      </c>
      <c r="AM77" s="25">
        <v>6</v>
      </c>
      <c r="AN77" s="19">
        <v>0.4</v>
      </c>
      <c r="AO77" s="25">
        <v>1.3</v>
      </c>
      <c r="AP77" s="25">
        <f t="shared" si="18"/>
        <v>13.5</v>
      </c>
      <c r="AQ77" s="25">
        <v>3.1</v>
      </c>
      <c r="AR77" s="25">
        <v>13.1</v>
      </c>
      <c r="AS77" s="25">
        <v>6.3</v>
      </c>
      <c r="AT77" s="25">
        <v>14.3</v>
      </c>
      <c r="AU77" s="25">
        <f t="shared" si="19"/>
        <v>36.8</v>
      </c>
      <c r="AV77" s="25">
        <v>8.4</v>
      </c>
      <c r="AW77" s="19">
        <v>224.93</v>
      </c>
      <c r="AX77" s="25">
        <v>283.986</v>
      </c>
      <c r="AY77" s="19">
        <v>508.916</v>
      </c>
      <c r="AZ77" s="25">
        <v>201.037</v>
      </c>
      <c r="BA77" s="25">
        <v>186.212</v>
      </c>
      <c r="BB77" s="25">
        <v>387.249</v>
      </c>
      <c r="BC77" s="25">
        <f t="shared" si="10"/>
        <v>0.961120067911585</v>
      </c>
    </row>
    <row r="78" ht="14" spans="1:55">
      <c r="A78" s="29">
        <v>2017</v>
      </c>
      <c r="B78" s="29">
        <v>460000</v>
      </c>
      <c r="C78" s="30" t="s">
        <v>58</v>
      </c>
      <c r="D78" s="25">
        <v>0</v>
      </c>
      <c r="E78" s="25">
        <v>1</v>
      </c>
      <c r="F78" s="25">
        <v>0</v>
      </c>
      <c r="G78" s="25">
        <v>0</v>
      </c>
      <c r="H78" s="19">
        <v>56.512</v>
      </c>
      <c r="I78" s="19">
        <v>43.488</v>
      </c>
      <c r="J78" s="25">
        <v>1.759</v>
      </c>
      <c r="K78" s="25">
        <v>12.856</v>
      </c>
      <c r="L78" s="25">
        <f t="shared" si="11"/>
        <v>14.615</v>
      </c>
      <c r="M78" s="25">
        <v>51.448</v>
      </c>
      <c r="N78" s="25">
        <v>12.719</v>
      </c>
      <c r="O78" s="25">
        <v>7.921</v>
      </c>
      <c r="P78" s="25">
        <f t="shared" si="12"/>
        <v>72.088</v>
      </c>
      <c r="Q78" s="25">
        <v>6.451</v>
      </c>
      <c r="R78" s="19">
        <v>0.27</v>
      </c>
      <c r="S78" s="19">
        <f t="shared" si="13"/>
        <v>6.721</v>
      </c>
      <c r="T78" s="19">
        <v>183.53</v>
      </c>
      <c r="U78" s="19">
        <f t="shared" si="14"/>
        <v>0.34900260520661</v>
      </c>
      <c r="V78" s="19">
        <v>61.84</v>
      </c>
      <c r="W78" s="19">
        <f t="shared" si="15"/>
        <v>0.117595603476144</v>
      </c>
      <c r="X78" s="19">
        <v>280.5</v>
      </c>
      <c r="Y78" s="14">
        <f t="shared" si="16"/>
        <v>0.533401791317246</v>
      </c>
      <c r="Z78" s="14">
        <v>525.87</v>
      </c>
      <c r="AA78" s="25">
        <v>5.6</v>
      </c>
      <c r="AB78" s="25">
        <v>0.5</v>
      </c>
      <c r="AC78" s="25">
        <v>7.8</v>
      </c>
      <c r="AD78" s="25">
        <v>2.1</v>
      </c>
      <c r="AE78" s="25">
        <v>6.3</v>
      </c>
      <c r="AF78" s="25">
        <v>7.1</v>
      </c>
      <c r="AG78" s="25">
        <v>1.9</v>
      </c>
      <c r="AH78" s="25">
        <v>4.8</v>
      </c>
      <c r="AI78" s="25">
        <v>2</v>
      </c>
      <c r="AJ78" s="25">
        <v>2</v>
      </c>
      <c r="AK78" s="25">
        <f t="shared" si="17"/>
        <v>17.8</v>
      </c>
      <c r="AL78" s="25">
        <v>5.7</v>
      </c>
      <c r="AM78" s="25">
        <v>5.9</v>
      </c>
      <c r="AN78" s="19">
        <v>0.5</v>
      </c>
      <c r="AO78" s="25">
        <v>1.3</v>
      </c>
      <c r="AP78" s="25">
        <f t="shared" si="18"/>
        <v>13.4</v>
      </c>
      <c r="AQ78" s="25">
        <v>3.4</v>
      </c>
      <c r="AR78" s="25">
        <v>13.2</v>
      </c>
      <c r="AS78" s="25">
        <v>6.7</v>
      </c>
      <c r="AT78" s="25">
        <v>15</v>
      </c>
      <c r="AU78" s="25">
        <f t="shared" si="19"/>
        <v>38.3</v>
      </c>
      <c r="AV78" s="25">
        <v>9.2</v>
      </c>
      <c r="AW78" s="19">
        <v>240.888</v>
      </c>
      <c r="AX78" s="25">
        <v>285.892</v>
      </c>
      <c r="AY78" s="19">
        <v>526.88</v>
      </c>
      <c r="AZ78" s="25">
        <v>209.557</v>
      </c>
      <c r="BA78" s="25">
        <v>209.899</v>
      </c>
      <c r="BB78" s="25">
        <v>419.456</v>
      </c>
      <c r="BC78" s="25">
        <f t="shared" si="10"/>
        <v>0.956789413837167</v>
      </c>
    </row>
    <row r="79" ht="14" spans="1:55">
      <c r="A79" s="29">
        <v>2018</v>
      </c>
      <c r="B79" s="29">
        <v>460000</v>
      </c>
      <c r="C79" s="30" t="s">
        <v>58</v>
      </c>
      <c r="D79" s="25">
        <v>0</v>
      </c>
      <c r="E79" s="25">
        <v>1</v>
      </c>
      <c r="F79" s="25">
        <v>0</v>
      </c>
      <c r="G79" s="25">
        <v>0</v>
      </c>
      <c r="H79" s="19">
        <v>56.613</v>
      </c>
      <c r="I79" s="19">
        <v>43.387</v>
      </c>
      <c r="J79" s="25">
        <v>1.583</v>
      </c>
      <c r="K79" s="25">
        <v>12.219</v>
      </c>
      <c r="L79" s="25">
        <f t="shared" si="11"/>
        <v>13.802</v>
      </c>
      <c r="M79" s="25">
        <v>50.964</v>
      </c>
      <c r="N79" s="25">
        <v>11.853</v>
      </c>
      <c r="O79" s="25">
        <v>8.177</v>
      </c>
      <c r="P79" s="25">
        <f t="shared" si="12"/>
        <v>70.994</v>
      </c>
      <c r="Q79" s="25">
        <v>7.502</v>
      </c>
      <c r="R79" s="19">
        <v>0.282</v>
      </c>
      <c r="S79" s="19">
        <f t="shared" si="13"/>
        <v>7.784</v>
      </c>
      <c r="T79" s="19">
        <v>177.09</v>
      </c>
      <c r="U79" s="19">
        <f t="shared" si="14"/>
        <v>0.330700280112045</v>
      </c>
      <c r="V79" s="19">
        <v>62.6</v>
      </c>
      <c r="W79" s="19">
        <f t="shared" si="15"/>
        <v>0.116900093370682</v>
      </c>
      <c r="X79" s="19">
        <v>295.81</v>
      </c>
      <c r="Y79" s="14">
        <f t="shared" si="16"/>
        <v>0.552399626517274</v>
      </c>
      <c r="Z79" s="14">
        <v>535.5</v>
      </c>
      <c r="AA79" s="25">
        <v>3.9</v>
      </c>
      <c r="AB79" s="25">
        <v>0.5</v>
      </c>
      <c r="AC79" s="25">
        <v>7.2</v>
      </c>
      <c r="AD79" s="25">
        <v>2.2</v>
      </c>
      <c r="AE79" s="25">
        <v>5.7</v>
      </c>
      <c r="AF79" s="25">
        <v>7.6</v>
      </c>
      <c r="AG79" s="25">
        <v>2.2</v>
      </c>
      <c r="AH79" s="25">
        <v>5</v>
      </c>
      <c r="AI79" s="25">
        <v>2</v>
      </c>
      <c r="AJ79" s="25">
        <v>2</v>
      </c>
      <c r="AK79" s="25">
        <f t="shared" si="17"/>
        <v>18.8</v>
      </c>
      <c r="AL79" s="25">
        <v>5.5</v>
      </c>
      <c r="AM79" s="25">
        <v>6.1</v>
      </c>
      <c r="AN79" s="19">
        <v>0.4</v>
      </c>
      <c r="AO79" s="25">
        <v>1.4</v>
      </c>
      <c r="AP79" s="25">
        <f t="shared" si="18"/>
        <v>13.4</v>
      </c>
      <c r="AQ79" s="25">
        <v>3.6</v>
      </c>
      <c r="AR79" s="25">
        <v>13.1</v>
      </c>
      <c r="AS79" s="25">
        <v>6.9</v>
      </c>
      <c r="AT79" s="25">
        <v>15.7</v>
      </c>
      <c r="AU79" s="25">
        <f t="shared" si="19"/>
        <v>39.3</v>
      </c>
      <c r="AV79" s="25">
        <v>8.6</v>
      </c>
      <c r="AW79" s="19">
        <v>257.953</v>
      </c>
      <c r="AX79" s="25">
        <v>298.216</v>
      </c>
      <c r="AY79" s="19">
        <v>556.169</v>
      </c>
      <c r="AZ79" s="25">
        <v>225.716</v>
      </c>
      <c r="BA79" s="25">
        <v>689.7</v>
      </c>
      <c r="BB79" s="25">
        <v>915.416</v>
      </c>
      <c r="BC79" s="25">
        <f t="shared" ref="BC79:BC142" si="20">AW79/AY79+AZ79/BB79</f>
        <v>0.710375318733812</v>
      </c>
    </row>
    <row r="80" ht="14" spans="1:55">
      <c r="A80" s="29">
        <v>2019</v>
      </c>
      <c r="B80" s="29">
        <v>460000</v>
      </c>
      <c r="C80" s="30" t="s">
        <v>58</v>
      </c>
      <c r="D80" s="25">
        <v>0</v>
      </c>
      <c r="E80" s="25">
        <v>1</v>
      </c>
      <c r="F80" s="25">
        <v>0</v>
      </c>
      <c r="G80" s="25">
        <v>0</v>
      </c>
      <c r="H80" s="19">
        <v>53.4</v>
      </c>
      <c r="I80" s="19">
        <v>46.6</v>
      </c>
      <c r="J80" s="25">
        <v>1.5</v>
      </c>
      <c r="K80" s="25">
        <v>9.8</v>
      </c>
      <c r="L80" s="25">
        <f t="shared" si="11"/>
        <v>11.3</v>
      </c>
      <c r="M80" s="25">
        <v>46.4</v>
      </c>
      <c r="N80" s="25">
        <v>21.2</v>
      </c>
      <c r="O80" s="25">
        <v>12</v>
      </c>
      <c r="P80" s="25">
        <f t="shared" si="12"/>
        <v>79.6</v>
      </c>
      <c r="Q80" s="25">
        <v>8.5</v>
      </c>
      <c r="R80" s="19">
        <v>0.6</v>
      </c>
      <c r="S80" s="19">
        <f t="shared" si="13"/>
        <v>9.1</v>
      </c>
      <c r="T80" s="19">
        <v>175.15</v>
      </c>
      <c r="U80" s="19">
        <f t="shared" si="14"/>
        <v>0.326705340321949</v>
      </c>
      <c r="V80" s="19">
        <v>62.08</v>
      </c>
      <c r="W80" s="19">
        <f t="shared" si="15"/>
        <v>0.115797131185764</v>
      </c>
      <c r="X80" s="19">
        <v>298.88</v>
      </c>
      <c r="Y80" s="14">
        <f t="shared" si="16"/>
        <v>0.557497528492287</v>
      </c>
      <c r="Z80" s="14">
        <v>536.11</v>
      </c>
      <c r="AA80" s="25">
        <v>2.9</v>
      </c>
      <c r="AB80" s="25">
        <v>0.5</v>
      </c>
      <c r="AC80" s="25">
        <v>7.3</v>
      </c>
      <c r="AD80" s="25">
        <v>2.2</v>
      </c>
      <c r="AE80" s="25">
        <v>6.2</v>
      </c>
      <c r="AF80" s="25">
        <v>7.3</v>
      </c>
      <c r="AG80" s="25">
        <v>2.2</v>
      </c>
      <c r="AH80" s="25">
        <v>5.1</v>
      </c>
      <c r="AI80" s="25">
        <v>2.1</v>
      </c>
      <c r="AJ80" s="25">
        <v>3.1</v>
      </c>
      <c r="AK80" s="25">
        <f t="shared" si="17"/>
        <v>19.8</v>
      </c>
      <c r="AL80" s="25">
        <v>5.6</v>
      </c>
      <c r="AM80" s="25">
        <v>5.5</v>
      </c>
      <c r="AN80" s="19">
        <v>0.7</v>
      </c>
      <c r="AO80" s="25">
        <v>1.3</v>
      </c>
      <c r="AP80" s="25">
        <f t="shared" si="18"/>
        <v>13.1</v>
      </c>
      <c r="AQ80" s="25">
        <v>3.6</v>
      </c>
      <c r="AR80" s="25">
        <v>14.4</v>
      </c>
      <c r="AS80" s="25">
        <v>7.3</v>
      </c>
      <c r="AT80" s="25">
        <v>16.7</v>
      </c>
      <c r="AU80" s="25">
        <f t="shared" si="19"/>
        <v>42</v>
      </c>
      <c r="AV80" s="25">
        <v>8.2</v>
      </c>
      <c r="AW80" s="19">
        <v>281</v>
      </c>
      <c r="AX80" s="25">
        <v>305</v>
      </c>
      <c r="AY80" s="19">
        <v>585.6</v>
      </c>
      <c r="AZ80" s="25">
        <v>236.1</v>
      </c>
      <c r="BA80" s="25">
        <v>684.5</v>
      </c>
      <c r="BB80" s="25">
        <v>920.7</v>
      </c>
      <c r="BC80" s="25">
        <f t="shared" si="20"/>
        <v>0.736285047727406</v>
      </c>
    </row>
    <row r="81" ht="14" spans="1:55">
      <c r="A81" s="29">
        <v>2020</v>
      </c>
      <c r="B81" s="29">
        <v>460000</v>
      </c>
      <c r="C81" s="30" t="s">
        <v>58</v>
      </c>
      <c r="D81" s="25">
        <v>0</v>
      </c>
      <c r="E81" s="25">
        <v>1</v>
      </c>
      <c r="F81" s="25">
        <v>0</v>
      </c>
      <c r="G81" s="25">
        <v>0</v>
      </c>
      <c r="H81" s="19">
        <v>55.2</v>
      </c>
      <c r="I81" s="19">
        <v>44.8</v>
      </c>
      <c r="J81" s="25">
        <v>1</v>
      </c>
      <c r="K81" s="25">
        <v>10.8</v>
      </c>
      <c r="L81" s="25">
        <f t="shared" si="11"/>
        <v>11.8</v>
      </c>
      <c r="M81" s="25">
        <v>48.1</v>
      </c>
      <c r="N81" s="25">
        <v>19.8</v>
      </c>
      <c r="O81" s="25">
        <v>10.7</v>
      </c>
      <c r="P81" s="25">
        <f t="shared" si="12"/>
        <v>78.6</v>
      </c>
      <c r="Q81" s="25">
        <v>9.1</v>
      </c>
      <c r="R81" s="19">
        <v>0.5</v>
      </c>
      <c r="S81" s="19">
        <f t="shared" si="13"/>
        <v>9.6</v>
      </c>
      <c r="T81" s="19">
        <v>171</v>
      </c>
      <c r="U81" s="19">
        <f t="shared" si="14"/>
        <v>0.316081330868762</v>
      </c>
      <c r="V81" s="19">
        <v>62</v>
      </c>
      <c r="W81" s="19">
        <f t="shared" si="15"/>
        <v>0.11460258780037</v>
      </c>
      <c r="X81" s="19">
        <v>308</v>
      </c>
      <c r="Y81" s="14">
        <f t="shared" si="16"/>
        <v>0.569316081330869</v>
      </c>
      <c r="Z81" s="14">
        <v>541</v>
      </c>
      <c r="AA81" s="25">
        <v>4.4</v>
      </c>
      <c r="AB81" s="25">
        <v>0.5</v>
      </c>
      <c r="AC81" s="25">
        <v>7.2</v>
      </c>
      <c r="AD81" s="25">
        <v>2.2</v>
      </c>
      <c r="AE81" s="25">
        <v>5.7</v>
      </c>
      <c r="AF81" s="25">
        <v>7.8</v>
      </c>
      <c r="AG81" s="25">
        <v>2.4</v>
      </c>
      <c r="AH81" s="25">
        <v>8.1</v>
      </c>
      <c r="AI81" s="25">
        <v>2.5</v>
      </c>
      <c r="AJ81" s="25">
        <v>3.1</v>
      </c>
      <c r="AK81" s="25">
        <f t="shared" si="17"/>
        <v>23.9</v>
      </c>
      <c r="AL81" s="25">
        <v>6.5</v>
      </c>
      <c r="AM81" s="25">
        <v>5.2</v>
      </c>
      <c r="AN81" s="19">
        <v>0.9</v>
      </c>
      <c r="AO81" s="25">
        <v>1.6</v>
      </c>
      <c r="AP81" s="25">
        <f t="shared" si="18"/>
        <v>14.2</v>
      </c>
      <c r="AQ81" s="25">
        <v>4.4</v>
      </c>
      <c r="AR81" s="25">
        <v>15.2</v>
      </c>
      <c r="AS81" s="25">
        <v>7.6</v>
      </c>
      <c r="AT81" s="25">
        <v>14.9</v>
      </c>
      <c r="AU81" s="25">
        <f t="shared" si="19"/>
        <v>42.1</v>
      </c>
      <c r="AV81" s="25">
        <v>8.4</v>
      </c>
      <c r="AW81" s="19">
        <v>305.3</v>
      </c>
      <c r="AX81" s="25">
        <v>324.8</v>
      </c>
      <c r="AY81" s="19">
        <v>630.2</v>
      </c>
      <c r="AZ81" s="25">
        <v>250.1</v>
      </c>
      <c r="BA81" s="25">
        <v>683.9</v>
      </c>
      <c r="BB81" s="25">
        <v>934</v>
      </c>
      <c r="BC81" s="25">
        <f t="shared" si="20"/>
        <v>0.75222240042079</v>
      </c>
    </row>
    <row r="82" ht="14" spans="1:55">
      <c r="A82" s="29">
        <v>2021</v>
      </c>
      <c r="B82" s="29">
        <v>460000</v>
      </c>
      <c r="C82" s="30" t="s">
        <v>58</v>
      </c>
      <c r="D82" s="25">
        <v>0</v>
      </c>
      <c r="E82" s="25">
        <v>1</v>
      </c>
      <c r="F82" s="25">
        <v>0</v>
      </c>
      <c r="G82" s="25">
        <v>0</v>
      </c>
      <c r="H82" s="19">
        <v>57.335</v>
      </c>
      <c r="I82" s="19">
        <v>42.665</v>
      </c>
      <c r="J82" s="25">
        <v>1.002</v>
      </c>
      <c r="K82" s="25">
        <v>10.156</v>
      </c>
      <c r="L82" s="25">
        <f t="shared" si="11"/>
        <v>11.158</v>
      </c>
      <c r="M82" s="25">
        <v>46.932</v>
      </c>
      <c r="N82" s="25">
        <v>19.449</v>
      </c>
      <c r="O82" s="25">
        <v>11.359</v>
      </c>
      <c r="P82" s="25">
        <f t="shared" si="12"/>
        <v>77.74</v>
      </c>
      <c r="Q82" s="25">
        <v>10.446</v>
      </c>
      <c r="R82" s="19">
        <v>0.657</v>
      </c>
      <c r="S82" s="19">
        <f t="shared" si="13"/>
        <v>11.103</v>
      </c>
      <c r="T82" s="19">
        <v>169</v>
      </c>
      <c r="U82" s="19">
        <f t="shared" si="14"/>
        <v>0.310661764705882</v>
      </c>
      <c r="V82" s="19">
        <v>62</v>
      </c>
      <c r="W82" s="19">
        <f t="shared" si="15"/>
        <v>0.113970588235294</v>
      </c>
      <c r="X82" s="19">
        <v>313</v>
      </c>
      <c r="Y82" s="14">
        <f t="shared" si="16"/>
        <v>0.575367647058823</v>
      </c>
      <c r="Z82" s="14">
        <v>544</v>
      </c>
      <c r="AA82" s="25">
        <v>3.6</v>
      </c>
      <c r="AB82" s="25">
        <v>0.6</v>
      </c>
      <c r="AC82" s="25">
        <v>8.2</v>
      </c>
      <c r="AD82" s="25">
        <v>2.4</v>
      </c>
      <c r="AE82" s="25">
        <v>5.3</v>
      </c>
      <c r="AF82" s="25">
        <v>7.3</v>
      </c>
      <c r="AG82" s="25">
        <v>2.8</v>
      </c>
      <c r="AH82" s="25">
        <v>7.7</v>
      </c>
      <c r="AI82" s="25">
        <v>3.1</v>
      </c>
      <c r="AJ82" s="25">
        <v>3.6</v>
      </c>
      <c r="AK82" s="25">
        <f t="shared" si="17"/>
        <v>24.5</v>
      </c>
      <c r="AL82" s="25">
        <v>7.3</v>
      </c>
      <c r="AM82" s="25">
        <v>4.9</v>
      </c>
      <c r="AN82" s="19">
        <v>0.6</v>
      </c>
      <c r="AO82" s="25">
        <v>1.6</v>
      </c>
      <c r="AP82" s="25">
        <f t="shared" si="18"/>
        <v>14.4</v>
      </c>
      <c r="AQ82" s="25">
        <v>5.1</v>
      </c>
      <c r="AR82" s="25">
        <v>16.9</v>
      </c>
      <c r="AS82" s="25">
        <v>8.3</v>
      </c>
      <c r="AT82" s="25">
        <v>15</v>
      </c>
      <c r="AU82" s="25">
        <f t="shared" si="19"/>
        <v>45.3</v>
      </c>
      <c r="AV82" s="25">
        <v>9.4</v>
      </c>
      <c r="AW82" s="19">
        <v>329.033</v>
      </c>
      <c r="AX82" s="25">
        <v>329.206</v>
      </c>
      <c r="AY82" s="19">
        <v>658.238</v>
      </c>
      <c r="AZ82" s="25">
        <v>245.838</v>
      </c>
      <c r="BA82" s="25">
        <v>692.985</v>
      </c>
      <c r="BB82" s="25">
        <v>938.823</v>
      </c>
      <c r="BC82" s="25">
        <f t="shared" si="20"/>
        <v>0.761727014629989</v>
      </c>
    </row>
    <row r="83" ht="14" spans="1:55">
      <c r="A83" s="29">
        <v>2022</v>
      </c>
      <c r="B83" s="29">
        <v>460000</v>
      </c>
      <c r="C83" s="30" t="s">
        <v>58</v>
      </c>
      <c r="D83" s="25">
        <v>0</v>
      </c>
      <c r="E83" s="25">
        <v>1</v>
      </c>
      <c r="F83" s="25">
        <v>0</v>
      </c>
      <c r="G83" s="25">
        <v>0</v>
      </c>
      <c r="H83" s="19">
        <v>57.616</v>
      </c>
      <c r="I83" s="19">
        <v>42.384</v>
      </c>
      <c r="J83" s="25">
        <v>1.066</v>
      </c>
      <c r="K83" s="25">
        <v>11.712</v>
      </c>
      <c r="L83" s="25">
        <f t="shared" si="11"/>
        <v>12.778</v>
      </c>
      <c r="M83" s="25">
        <v>46.396</v>
      </c>
      <c r="N83" s="25">
        <v>17.755</v>
      </c>
      <c r="O83" s="25">
        <v>11.235</v>
      </c>
      <c r="P83" s="25">
        <f t="shared" si="12"/>
        <v>75.386</v>
      </c>
      <c r="Q83" s="25">
        <v>11.078</v>
      </c>
      <c r="R83" s="19">
        <v>0.757</v>
      </c>
      <c r="S83" s="19">
        <f t="shared" si="13"/>
        <v>11.835</v>
      </c>
      <c r="T83" s="19">
        <v>173</v>
      </c>
      <c r="U83" s="19">
        <f t="shared" si="14"/>
        <v>0.325800376647834</v>
      </c>
      <c r="V83" s="19">
        <v>58</v>
      </c>
      <c r="W83" s="19">
        <f t="shared" si="15"/>
        <v>0.109227871939736</v>
      </c>
      <c r="X83" s="19">
        <v>300</v>
      </c>
      <c r="Y83" s="14">
        <f t="shared" si="16"/>
        <v>0.564971751412429</v>
      </c>
      <c r="Z83" s="14">
        <v>531</v>
      </c>
      <c r="AA83" s="25">
        <v>3.6</v>
      </c>
      <c r="AB83" s="25">
        <v>0.5</v>
      </c>
      <c r="AC83" s="25">
        <v>8.5</v>
      </c>
      <c r="AD83" s="25">
        <v>2.3</v>
      </c>
      <c r="AE83" s="25">
        <v>4</v>
      </c>
      <c r="AF83" s="25">
        <v>7.1</v>
      </c>
      <c r="AG83" s="25">
        <v>2.5</v>
      </c>
      <c r="AH83" s="25">
        <v>5.5</v>
      </c>
      <c r="AI83" s="25">
        <v>3.2</v>
      </c>
      <c r="AJ83" s="25">
        <v>3.8</v>
      </c>
      <c r="AK83" s="25">
        <f t="shared" si="17"/>
        <v>22.1</v>
      </c>
      <c r="AL83" s="25">
        <v>7.8</v>
      </c>
      <c r="AM83" s="25">
        <v>4.7</v>
      </c>
      <c r="AN83" s="19">
        <v>0.6</v>
      </c>
      <c r="AO83" s="25">
        <v>1.6</v>
      </c>
      <c r="AP83" s="25">
        <f t="shared" si="18"/>
        <v>14.7</v>
      </c>
      <c r="AQ83" s="25">
        <v>5.4</v>
      </c>
      <c r="AR83" s="25">
        <v>16.9</v>
      </c>
      <c r="AS83" s="25">
        <v>8.1</v>
      </c>
      <c r="AT83" s="25">
        <v>14.3</v>
      </c>
      <c r="AU83" s="25">
        <f t="shared" si="19"/>
        <v>44.7</v>
      </c>
      <c r="AV83" s="25">
        <v>8.7</v>
      </c>
      <c r="AW83" s="19">
        <v>352.766000000003</v>
      </c>
      <c r="AX83" s="25">
        <v>336.438</v>
      </c>
      <c r="AY83" s="19">
        <v>686.275999999998</v>
      </c>
      <c r="AZ83" s="25">
        <v>250.548</v>
      </c>
      <c r="BA83" s="25">
        <v>670.336</v>
      </c>
      <c r="BB83" s="25">
        <v>920.884</v>
      </c>
      <c r="BC83" s="25">
        <f t="shared" si="20"/>
        <v>0.786102696566657</v>
      </c>
    </row>
    <row r="84" ht="14" spans="1:55">
      <c r="A84" s="29">
        <v>2013</v>
      </c>
      <c r="B84" s="29">
        <v>130000</v>
      </c>
      <c r="C84" s="30" t="s">
        <v>59</v>
      </c>
      <c r="D84" s="25">
        <v>0</v>
      </c>
      <c r="E84" s="25">
        <v>1</v>
      </c>
      <c r="F84" s="25">
        <v>0</v>
      </c>
      <c r="G84" s="25">
        <v>0</v>
      </c>
      <c r="H84" s="19">
        <v>56.5849999999999</v>
      </c>
      <c r="I84" s="19">
        <v>43.4150000000002</v>
      </c>
      <c r="J84" s="25">
        <v>2.218</v>
      </c>
      <c r="K84" s="25">
        <v>16.082</v>
      </c>
      <c r="L84" s="25">
        <f t="shared" si="11"/>
        <v>18.3</v>
      </c>
      <c r="M84" s="25">
        <v>55.539</v>
      </c>
      <c r="N84" s="25">
        <v>15.085</v>
      </c>
      <c r="O84" s="25">
        <v>6.873</v>
      </c>
      <c r="P84" s="25">
        <f t="shared" si="12"/>
        <v>77.497</v>
      </c>
      <c r="Q84" s="25">
        <v>3.947</v>
      </c>
      <c r="R84" s="19">
        <v>0.256</v>
      </c>
      <c r="S84" s="19">
        <f t="shared" si="13"/>
        <v>4.203</v>
      </c>
      <c r="T84" s="19">
        <v>1375</v>
      </c>
      <c r="U84" s="19">
        <f t="shared" si="14"/>
        <v>0.341021825396825</v>
      </c>
      <c r="V84" s="19">
        <v>1386</v>
      </c>
      <c r="W84" s="19">
        <f t="shared" si="15"/>
        <v>0.34375</v>
      </c>
      <c r="X84" s="19">
        <v>1271</v>
      </c>
      <c r="Y84" s="14">
        <f t="shared" si="16"/>
        <v>0.315228174603175</v>
      </c>
      <c r="Z84" s="14">
        <v>4032</v>
      </c>
      <c r="AA84" s="25">
        <v>5.2</v>
      </c>
      <c r="AB84" s="25">
        <v>28.3</v>
      </c>
      <c r="AC84" s="25">
        <v>150.3</v>
      </c>
      <c r="AD84" s="25">
        <v>19.6</v>
      </c>
      <c r="AE84" s="25">
        <v>90.6</v>
      </c>
      <c r="AF84" s="25">
        <v>27.6</v>
      </c>
      <c r="AG84" s="25">
        <v>8.6</v>
      </c>
      <c r="AH84" s="25">
        <v>25.6</v>
      </c>
      <c r="AI84" s="25">
        <v>14</v>
      </c>
      <c r="AJ84" s="25">
        <v>11.5</v>
      </c>
      <c r="AK84" s="25">
        <f t="shared" si="17"/>
        <v>87.3</v>
      </c>
      <c r="AL84" s="25">
        <v>28.9</v>
      </c>
      <c r="AM84" s="25">
        <v>6.9</v>
      </c>
      <c r="AN84" s="19">
        <v>1.4</v>
      </c>
      <c r="AO84" s="25">
        <v>5.3</v>
      </c>
      <c r="AP84" s="25">
        <f t="shared" si="18"/>
        <v>42.5</v>
      </c>
      <c r="AQ84" s="25">
        <v>11.5</v>
      </c>
      <c r="AR84" s="25">
        <v>89.7</v>
      </c>
      <c r="AS84" s="25">
        <v>33.7</v>
      </c>
      <c r="AT84" s="25">
        <v>85.4</v>
      </c>
      <c r="AU84" s="25">
        <f t="shared" si="19"/>
        <v>220.3</v>
      </c>
      <c r="AV84" s="25">
        <v>9.1</v>
      </c>
      <c r="AW84" s="19">
        <v>1194.668</v>
      </c>
      <c r="AX84" s="25">
        <v>3354.15</v>
      </c>
      <c r="AY84" s="19">
        <v>4548.818</v>
      </c>
      <c r="AZ84" s="25">
        <v>926.286</v>
      </c>
      <c r="BA84" s="25">
        <v>748.224</v>
      </c>
      <c r="BB84" s="25">
        <v>1674.511</v>
      </c>
      <c r="BC84" s="25">
        <f t="shared" si="20"/>
        <v>0.815800681577265</v>
      </c>
    </row>
    <row r="85" ht="14" spans="1:55">
      <c r="A85" s="29">
        <v>2014</v>
      </c>
      <c r="B85" s="29">
        <v>130000</v>
      </c>
      <c r="C85" s="30" t="s">
        <v>59</v>
      </c>
      <c r="D85" s="25">
        <v>0</v>
      </c>
      <c r="E85" s="25">
        <v>1</v>
      </c>
      <c r="F85" s="25">
        <v>0</v>
      </c>
      <c r="G85" s="25">
        <v>0</v>
      </c>
      <c r="H85" s="19">
        <v>57.1</v>
      </c>
      <c r="I85" s="19">
        <v>42.9</v>
      </c>
      <c r="J85" s="25">
        <v>1.3</v>
      </c>
      <c r="K85" s="25">
        <v>15.3</v>
      </c>
      <c r="L85" s="25">
        <f t="shared" si="11"/>
        <v>16.6</v>
      </c>
      <c r="M85" s="25">
        <v>55.3</v>
      </c>
      <c r="N85" s="25">
        <v>14.8</v>
      </c>
      <c r="O85" s="25">
        <v>7.9</v>
      </c>
      <c r="P85" s="25">
        <f t="shared" si="12"/>
        <v>78</v>
      </c>
      <c r="Q85" s="25">
        <v>5.3</v>
      </c>
      <c r="R85" s="19">
        <v>0.2</v>
      </c>
      <c r="S85" s="19">
        <f t="shared" si="13"/>
        <v>5.5</v>
      </c>
      <c r="T85" s="19">
        <v>1338</v>
      </c>
      <c r="U85" s="19">
        <f t="shared" si="14"/>
        <v>0.336349924585219</v>
      </c>
      <c r="V85" s="19">
        <v>1361</v>
      </c>
      <c r="W85" s="19">
        <f t="shared" si="15"/>
        <v>0.342131724484666</v>
      </c>
      <c r="X85" s="19">
        <v>1279</v>
      </c>
      <c r="Y85" s="14">
        <f t="shared" si="16"/>
        <v>0.321518350930116</v>
      </c>
      <c r="Z85" s="14">
        <v>3978</v>
      </c>
      <c r="AA85" s="25">
        <v>4.6</v>
      </c>
      <c r="AB85" s="25">
        <v>27.3</v>
      </c>
      <c r="AC85" s="25">
        <v>147.7</v>
      </c>
      <c r="AD85" s="25">
        <v>19.2</v>
      </c>
      <c r="AE85" s="25">
        <v>89</v>
      </c>
      <c r="AF85" s="25">
        <v>29</v>
      </c>
      <c r="AG85" s="25">
        <v>8.6</v>
      </c>
      <c r="AH85" s="25">
        <v>27.7</v>
      </c>
      <c r="AI85" s="25">
        <v>14.5</v>
      </c>
      <c r="AJ85" s="25">
        <v>13.8</v>
      </c>
      <c r="AK85" s="25">
        <f t="shared" si="17"/>
        <v>93.6</v>
      </c>
      <c r="AL85" s="25">
        <v>28.2</v>
      </c>
      <c r="AM85" s="25">
        <v>6.3</v>
      </c>
      <c r="AN85" s="19">
        <v>1.5</v>
      </c>
      <c r="AO85" s="25">
        <v>5.3</v>
      </c>
      <c r="AP85" s="25">
        <f t="shared" si="18"/>
        <v>41.3</v>
      </c>
      <c r="AQ85" s="25">
        <v>11.4</v>
      </c>
      <c r="AR85" s="25">
        <v>89.9</v>
      </c>
      <c r="AS85" s="25">
        <v>35.4</v>
      </c>
      <c r="AT85" s="25">
        <v>86.4</v>
      </c>
      <c r="AU85" s="25">
        <f t="shared" si="19"/>
        <v>223.1</v>
      </c>
      <c r="AV85" s="25">
        <v>10.5</v>
      </c>
      <c r="AW85" s="19">
        <v>1262</v>
      </c>
      <c r="AX85" s="25">
        <v>3404.4</v>
      </c>
      <c r="AY85" s="19">
        <v>4666.3</v>
      </c>
      <c r="AZ85" s="25">
        <v>944.5</v>
      </c>
      <c r="BA85" s="25">
        <v>753.1</v>
      </c>
      <c r="BB85" s="25">
        <v>1697.5</v>
      </c>
      <c r="BC85" s="25">
        <f t="shared" si="20"/>
        <v>0.826856301175189</v>
      </c>
    </row>
    <row r="86" ht="14" spans="1:55">
      <c r="A86" s="29">
        <v>2015</v>
      </c>
      <c r="B86" s="29">
        <v>130000</v>
      </c>
      <c r="C86" s="30" t="s">
        <v>59</v>
      </c>
      <c r="D86" s="25">
        <v>0</v>
      </c>
      <c r="E86" s="25">
        <v>1</v>
      </c>
      <c r="F86" s="25">
        <v>0</v>
      </c>
      <c r="G86" s="25">
        <v>0</v>
      </c>
      <c r="H86" s="19">
        <v>57.615</v>
      </c>
      <c r="I86" s="19">
        <v>42.385</v>
      </c>
      <c r="J86" s="25">
        <v>1.298</v>
      </c>
      <c r="K86" s="25">
        <v>13.645</v>
      </c>
      <c r="L86" s="25">
        <f t="shared" si="11"/>
        <v>14.943</v>
      </c>
      <c r="M86" s="25">
        <v>49.4</v>
      </c>
      <c r="N86" s="25">
        <v>13.624</v>
      </c>
      <c r="O86" s="25">
        <v>9.192</v>
      </c>
      <c r="P86" s="25">
        <f t="shared" si="12"/>
        <v>72.216</v>
      </c>
      <c r="Q86" s="25">
        <v>6.039</v>
      </c>
      <c r="R86" s="19">
        <v>0.5</v>
      </c>
      <c r="S86" s="19">
        <f t="shared" si="13"/>
        <v>6.539</v>
      </c>
      <c r="T86" s="19">
        <v>1292</v>
      </c>
      <c r="U86" s="19">
        <f t="shared" si="14"/>
        <v>0.329004329004329</v>
      </c>
      <c r="V86" s="19">
        <v>1330</v>
      </c>
      <c r="W86" s="19">
        <f t="shared" si="15"/>
        <v>0.338680926916221</v>
      </c>
      <c r="X86" s="19">
        <v>1305</v>
      </c>
      <c r="Y86" s="14">
        <f t="shared" si="16"/>
        <v>0.33231474407945</v>
      </c>
      <c r="Z86" s="14">
        <v>3927</v>
      </c>
      <c r="AA86" s="25">
        <v>4.2</v>
      </c>
      <c r="AB86" s="25">
        <v>24.6</v>
      </c>
      <c r="AC86" s="25">
        <v>140.9</v>
      </c>
      <c r="AD86" s="25">
        <v>18.7</v>
      </c>
      <c r="AE86" s="25">
        <v>84.4</v>
      </c>
      <c r="AF86" s="25">
        <v>29.2</v>
      </c>
      <c r="AG86" s="25">
        <v>8.8</v>
      </c>
      <c r="AH86" s="25">
        <v>29.9</v>
      </c>
      <c r="AI86" s="25">
        <v>14.8</v>
      </c>
      <c r="AJ86" s="25">
        <v>13.4</v>
      </c>
      <c r="AK86" s="25">
        <f t="shared" si="17"/>
        <v>96.1</v>
      </c>
      <c r="AL86" s="25">
        <v>27.1</v>
      </c>
      <c r="AM86" s="25">
        <v>5.8</v>
      </c>
      <c r="AN86" s="19">
        <v>1.7</v>
      </c>
      <c r="AO86" s="25">
        <v>5.5</v>
      </c>
      <c r="AP86" s="25">
        <f t="shared" si="18"/>
        <v>40.1</v>
      </c>
      <c r="AQ86" s="25">
        <v>11.8</v>
      </c>
      <c r="AR86" s="25">
        <v>89.1</v>
      </c>
      <c r="AS86" s="25">
        <v>36.5</v>
      </c>
      <c r="AT86" s="25">
        <v>86.3</v>
      </c>
      <c r="AU86" s="25">
        <f t="shared" si="19"/>
        <v>223.7</v>
      </c>
      <c r="AV86" s="25">
        <v>11</v>
      </c>
      <c r="AW86" s="19">
        <v>1320.477</v>
      </c>
      <c r="AX86" s="25">
        <v>3440.324</v>
      </c>
      <c r="AY86" s="19">
        <v>4760.801</v>
      </c>
      <c r="AZ86" s="25">
        <v>957.04</v>
      </c>
      <c r="BA86" s="25">
        <v>706.695</v>
      </c>
      <c r="BB86" s="25">
        <v>1663.736</v>
      </c>
      <c r="BC86" s="25">
        <f t="shared" si="20"/>
        <v>0.852599954401068</v>
      </c>
    </row>
    <row r="87" ht="14" spans="1:55">
      <c r="A87" s="29">
        <v>2016</v>
      </c>
      <c r="B87" s="29">
        <v>130000</v>
      </c>
      <c r="C87" s="30" t="s">
        <v>59</v>
      </c>
      <c r="D87" s="25">
        <v>0</v>
      </c>
      <c r="E87" s="25">
        <v>1</v>
      </c>
      <c r="F87" s="25">
        <v>0</v>
      </c>
      <c r="G87" s="25">
        <v>0</v>
      </c>
      <c r="H87" s="19">
        <v>58.282</v>
      </c>
      <c r="I87" s="19">
        <v>41.718</v>
      </c>
      <c r="J87" s="25">
        <v>1.063</v>
      </c>
      <c r="K87" s="25">
        <v>12.9</v>
      </c>
      <c r="L87" s="25">
        <f t="shared" si="11"/>
        <v>13.963</v>
      </c>
      <c r="M87" s="25">
        <v>50.433</v>
      </c>
      <c r="N87" s="25">
        <v>12.84</v>
      </c>
      <c r="O87" s="25">
        <v>9.547</v>
      </c>
      <c r="P87" s="25">
        <f t="shared" si="12"/>
        <v>72.82</v>
      </c>
      <c r="Q87" s="25">
        <v>6.235</v>
      </c>
      <c r="R87" s="19">
        <v>0.513</v>
      </c>
      <c r="S87" s="19">
        <f t="shared" si="13"/>
        <v>6.748</v>
      </c>
      <c r="T87" s="19">
        <v>1186</v>
      </c>
      <c r="U87" s="19">
        <f t="shared" si="14"/>
        <v>0.306380780160165</v>
      </c>
      <c r="V87" s="19">
        <v>1237</v>
      </c>
      <c r="W87" s="19">
        <f t="shared" si="15"/>
        <v>0.319555670369414</v>
      </c>
      <c r="X87" s="19">
        <v>1448</v>
      </c>
      <c r="Y87" s="14">
        <f t="shared" si="16"/>
        <v>0.374063549470421</v>
      </c>
      <c r="Z87" s="14">
        <v>3871</v>
      </c>
      <c r="AA87" s="25">
        <v>3.9</v>
      </c>
      <c r="AB87" s="25">
        <v>22.8</v>
      </c>
      <c r="AC87" s="25">
        <v>136.3</v>
      </c>
      <c r="AD87" s="25">
        <v>18.8</v>
      </c>
      <c r="AE87" s="25">
        <v>81.8</v>
      </c>
      <c r="AF87" s="25">
        <v>28.7</v>
      </c>
      <c r="AG87" s="25">
        <v>8.4</v>
      </c>
      <c r="AH87" s="25">
        <v>32.2</v>
      </c>
      <c r="AI87" s="25">
        <v>16.4</v>
      </c>
      <c r="AJ87" s="25">
        <v>12.6</v>
      </c>
      <c r="AK87" s="25">
        <f t="shared" si="17"/>
        <v>98.3</v>
      </c>
      <c r="AL87" s="25">
        <v>26.9</v>
      </c>
      <c r="AM87" s="25">
        <v>5.4</v>
      </c>
      <c r="AN87" s="19">
        <v>2.5</v>
      </c>
      <c r="AO87" s="25">
        <v>5.5</v>
      </c>
      <c r="AP87" s="25">
        <f t="shared" si="18"/>
        <v>40.3</v>
      </c>
      <c r="AQ87" s="25">
        <v>11.9</v>
      </c>
      <c r="AR87" s="25">
        <v>88.1</v>
      </c>
      <c r="AS87" s="25">
        <v>37.7</v>
      </c>
      <c r="AT87" s="25">
        <v>87.6</v>
      </c>
      <c r="AU87" s="25">
        <f t="shared" si="19"/>
        <v>225.3</v>
      </c>
      <c r="AV87" s="25">
        <v>12.1</v>
      </c>
      <c r="AW87" s="19">
        <v>1403.137</v>
      </c>
      <c r="AX87" s="25">
        <v>3445.953</v>
      </c>
      <c r="AY87" s="19">
        <v>4849.09</v>
      </c>
      <c r="AZ87" s="25">
        <v>973.704</v>
      </c>
      <c r="BA87" s="25">
        <v>5698.425</v>
      </c>
      <c r="BB87" s="25">
        <v>6672.129</v>
      </c>
      <c r="BC87" s="25">
        <f t="shared" si="20"/>
        <v>0.435296917709886</v>
      </c>
    </row>
    <row r="88" ht="14" spans="1:55">
      <c r="A88" s="29">
        <v>2017</v>
      </c>
      <c r="B88" s="29">
        <v>130000</v>
      </c>
      <c r="C88" s="30" t="s">
        <v>59</v>
      </c>
      <c r="D88" s="25">
        <v>0</v>
      </c>
      <c r="E88" s="25">
        <v>1</v>
      </c>
      <c r="F88" s="25">
        <v>0</v>
      </c>
      <c r="G88" s="25">
        <v>0</v>
      </c>
      <c r="H88" s="19">
        <v>59.279</v>
      </c>
      <c r="I88" s="19">
        <v>40.721</v>
      </c>
      <c r="J88" s="25">
        <v>0.875</v>
      </c>
      <c r="K88" s="25">
        <v>12.28</v>
      </c>
      <c r="L88" s="25">
        <f t="shared" si="11"/>
        <v>13.155</v>
      </c>
      <c r="M88" s="25">
        <v>49.78</v>
      </c>
      <c r="N88" s="25">
        <v>13.512</v>
      </c>
      <c r="O88" s="25">
        <v>9.841</v>
      </c>
      <c r="P88" s="25">
        <f t="shared" si="12"/>
        <v>73.133</v>
      </c>
      <c r="Q88" s="25">
        <v>6.243</v>
      </c>
      <c r="R88" s="19">
        <v>0.462</v>
      </c>
      <c r="S88" s="19">
        <f t="shared" si="13"/>
        <v>6.705</v>
      </c>
      <c r="T88" s="19">
        <v>1086</v>
      </c>
      <c r="U88" s="19">
        <f t="shared" si="14"/>
        <v>0.286166007905138</v>
      </c>
      <c r="V88" s="19">
        <v>1113</v>
      </c>
      <c r="W88" s="19">
        <f t="shared" si="15"/>
        <v>0.293280632411067</v>
      </c>
      <c r="X88" s="19">
        <v>1596</v>
      </c>
      <c r="Y88" s="14">
        <f t="shared" si="16"/>
        <v>0.420553359683794</v>
      </c>
      <c r="Z88" s="14">
        <v>3795</v>
      </c>
      <c r="AA88" s="25">
        <v>3.5</v>
      </c>
      <c r="AB88" s="25">
        <v>19.8</v>
      </c>
      <c r="AC88" s="25">
        <v>102.6</v>
      </c>
      <c r="AD88" s="25">
        <v>17.9</v>
      </c>
      <c r="AE88" s="25">
        <v>38.3</v>
      </c>
      <c r="AF88" s="25">
        <v>24.3</v>
      </c>
      <c r="AG88" s="25">
        <v>7.5</v>
      </c>
      <c r="AH88" s="25">
        <v>34.6</v>
      </c>
      <c r="AI88" s="25">
        <v>14.1</v>
      </c>
      <c r="AJ88" s="25">
        <v>9.8</v>
      </c>
      <c r="AK88" s="25">
        <f t="shared" si="17"/>
        <v>90.3</v>
      </c>
      <c r="AL88" s="25">
        <v>17.8</v>
      </c>
      <c r="AM88" s="25">
        <v>3.4</v>
      </c>
      <c r="AN88" s="19">
        <v>2.2</v>
      </c>
      <c r="AO88" s="25">
        <v>5</v>
      </c>
      <c r="AP88" s="25">
        <f t="shared" si="18"/>
        <v>28.4</v>
      </c>
      <c r="AQ88" s="25">
        <v>12.2</v>
      </c>
      <c r="AR88" s="25">
        <v>88.2</v>
      </c>
      <c r="AS88" s="25">
        <v>39.2</v>
      </c>
      <c r="AT88" s="25">
        <v>88.7</v>
      </c>
      <c r="AU88" s="25">
        <f t="shared" si="19"/>
        <v>228.3</v>
      </c>
      <c r="AV88" s="25">
        <v>6.3</v>
      </c>
      <c r="AW88" s="19">
        <v>1535.808</v>
      </c>
      <c r="AX88" s="25">
        <v>3474.135</v>
      </c>
      <c r="AY88" s="19">
        <v>5009.943</v>
      </c>
      <c r="AZ88" s="25">
        <v>986.929</v>
      </c>
      <c r="BA88" s="25">
        <v>5896.216</v>
      </c>
      <c r="BB88" s="25">
        <v>6883.145</v>
      </c>
      <c r="BC88" s="25">
        <f t="shared" si="20"/>
        <v>0.449935429531753</v>
      </c>
    </row>
    <row r="89" ht="14" spans="1:55">
      <c r="A89" s="29">
        <v>2018</v>
      </c>
      <c r="B89" s="29">
        <v>130000</v>
      </c>
      <c r="C89" s="30" t="s">
        <v>59</v>
      </c>
      <c r="D89" s="25">
        <v>0</v>
      </c>
      <c r="E89" s="25">
        <v>1</v>
      </c>
      <c r="F89" s="25">
        <v>0</v>
      </c>
      <c r="G89" s="25">
        <v>0</v>
      </c>
      <c r="H89" s="19">
        <v>59.17</v>
      </c>
      <c r="I89" s="19">
        <v>40.83</v>
      </c>
      <c r="J89" s="25">
        <v>0.976</v>
      </c>
      <c r="K89" s="25">
        <v>11.707</v>
      </c>
      <c r="L89" s="25">
        <f t="shared" si="11"/>
        <v>12.683</v>
      </c>
      <c r="M89" s="25">
        <v>50.518</v>
      </c>
      <c r="N89" s="25">
        <v>12.987</v>
      </c>
      <c r="O89" s="25">
        <v>10.081</v>
      </c>
      <c r="P89" s="25">
        <f t="shared" si="12"/>
        <v>73.586</v>
      </c>
      <c r="Q89" s="25">
        <v>6.752</v>
      </c>
      <c r="R89" s="19">
        <v>0.586</v>
      </c>
      <c r="S89" s="19">
        <f t="shared" si="13"/>
        <v>7.338</v>
      </c>
      <c r="T89" s="19">
        <v>982</v>
      </c>
      <c r="U89" s="19">
        <f t="shared" si="14"/>
        <v>0.262637068734956</v>
      </c>
      <c r="V89" s="19">
        <v>1010</v>
      </c>
      <c r="W89" s="19">
        <f t="shared" si="15"/>
        <v>0.270125702059374</v>
      </c>
      <c r="X89" s="19">
        <v>1747</v>
      </c>
      <c r="Y89" s="14">
        <f t="shared" si="16"/>
        <v>0.46723722920567</v>
      </c>
      <c r="Z89" s="14">
        <v>3739</v>
      </c>
      <c r="AA89" s="25">
        <v>2.5</v>
      </c>
      <c r="AB89" s="25">
        <v>18.1</v>
      </c>
      <c r="AC89" s="25">
        <v>98.4</v>
      </c>
      <c r="AD89" s="25">
        <v>17.8</v>
      </c>
      <c r="AE89" s="25">
        <v>48.1</v>
      </c>
      <c r="AF89" s="25">
        <v>24.6</v>
      </c>
      <c r="AG89" s="25">
        <v>8.4</v>
      </c>
      <c r="AH89" s="25">
        <v>36.1</v>
      </c>
      <c r="AI89" s="25">
        <v>15.9</v>
      </c>
      <c r="AJ89" s="25">
        <v>10.7</v>
      </c>
      <c r="AK89" s="25">
        <f t="shared" si="17"/>
        <v>95.7</v>
      </c>
      <c r="AL89" s="25">
        <v>19</v>
      </c>
      <c r="AM89" s="25">
        <v>4.1</v>
      </c>
      <c r="AN89" s="19">
        <v>2</v>
      </c>
      <c r="AO89" s="25">
        <v>5.1</v>
      </c>
      <c r="AP89" s="25">
        <f t="shared" si="18"/>
        <v>30.2</v>
      </c>
      <c r="AQ89" s="25">
        <v>12.2</v>
      </c>
      <c r="AR89" s="25">
        <v>87.9</v>
      </c>
      <c r="AS89" s="25">
        <v>39.6</v>
      </c>
      <c r="AT89" s="25">
        <v>91.4</v>
      </c>
      <c r="AU89" s="25">
        <f t="shared" si="19"/>
        <v>231.1</v>
      </c>
      <c r="AV89" s="25">
        <v>8.3</v>
      </c>
      <c r="AW89" s="19">
        <v>1586.055</v>
      </c>
      <c r="AX89" s="25">
        <v>3511.618</v>
      </c>
      <c r="AY89" s="19">
        <v>5097.673</v>
      </c>
      <c r="AZ89" s="25">
        <v>1030.248</v>
      </c>
      <c r="BA89" s="25">
        <v>5884.05</v>
      </c>
      <c r="BB89" s="25">
        <v>6914.298</v>
      </c>
      <c r="BC89" s="25">
        <f t="shared" si="20"/>
        <v>0.460135683751649</v>
      </c>
    </row>
    <row r="90" ht="14" spans="1:55">
      <c r="A90" s="29">
        <v>2019</v>
      </c>
      <c r="B90" s="29">
        <v>130000</v>
      </c>
      <c r="C90" s="30" t="s">
        <v>59</v>
      </c>
      <c r="D90" s="25">
        <v>0</v>
      </c>
      <c r="E90" s="25">
        <v>1</v>
      </c>
      <c r="F90" s="25">
        <v>0</v>
      </c>
      <c r="G90" s="25">
        <v>0</v>
      </c>
      <c r="H90" s="19">
        <v>57.7</v>
      </c>
      <c r="I90" s="19">
        <v>42.3</v>
      </c>
      <c r="J90" s="25">
        <v>1</v>
      </c>
      <c r="K90" s="25">
        <v>12.4</v>
      </c>
      <c r="L90" s="25">
        <f t="shared" si="11"/>
        <v>13.4</v>
      </c>
      <c r="M90" s="25">
        <v>49</v>
      </c>
      <c r="N90" s="25">
        <v>18.9</v>
      </c>
      <c r="O90" s="25">
        <v>10.8</v>
      </c>
      <c r="P90" s="25">
        <f t="shared" si="12"/>
        <v>78.7</v>
      </c>
      <c r="Q90" s="25">
        <v>7.1</v>
      </c>
      <c r="R90" s="19">
        <v>0.8</v>
      </c>
      <c r="S90" s="19">
        <f t="shared" si="13"/>
        <v>7.9</v>
      </c>
      <c r="T90" s="19">
        <v>938</v>
      </c>
      <c r="U90" s="19">
        <f t="shared" si="14"/>
        <v>0.253376553214479</v>
      </c>
      <c r="V90" s="19">
        <v>973</v>
      </c>
      <c r="W90" s="19">
        <f t="shared" si="15"/>
        <v>0.262830902215019</v>
      </c>
      <c r="X90" s="19">
        <v>1791</v>
      </c>
      <c r="Y90" s="14">
        <f t="shared" si="16"/>
        <v>0.483792544570502</v>
      </c>
      <c r="Z90" s="14">
        <v>3702</v>
      </c>
      <c r="AA90" s="25">
        <v>2.7</v>
      </c>
      <c r="AB90" s="25">
        <v>16.5</v>
      </c>
      <c r="AC90" s="25">
        <v>95.1</v>
      </c>
      <c r="AD90" s="25">
        <v>18.7</v>
      </c>
      <c r="AE90" s="25">
        <v>43.2</v>
      </c>
      <c r="AF90" s="25">
        <v>27.5</v>
      </c>
      <c r="AG90" s="25">
        <v>10.1</v>
      </c>
      <c r="AH90" s="25">
        <v>37</v>
      </c>
      <c r="AI90" s="25">
        <v>16.4</v>
      </c>
      <c r="AJ90" s="25">
        <v>16.1</v>
      </c>
      <c r="AK90" s="25">
        <f t="shared" si="17"/>
        <v>107.1</v>
      </c>
      <c r="AL90" s="25">
        <v>20.6</v>
      </c>
      <c r="AM90" s="25">
        <v>4.5</v>
      </c>
      <c r="AN90" s="19">
        <v>2.5</v>
      </c>
      <c r="AO90" s="25">
        <v>5.2</v>
      </c>
      <c r="AP90" s="25">
        <f t="shared" si="18"/>
        <v>32.8</v>
      </c>
      <c r="AQ90" s="25">
        <v>9.1</v>
      </c>
      <c r="AR90" s="25">
        <v>96</v>
      </c>
      <c r="AS90" s="25">
        <v>45.3</v>
      </c>
      <c r="AT90" s="25">
        <v>99.2</v>
      </c>
      <c r="AU90" s="25">
        <f t="shared" si="19"/>
        <v>249.6</v>
      </c>
      <c r="AV90" s="25">
        <v>10.4</v>
      </c>
      <c r="AW90" s="19">
        <v>1654.5</v>
      </c>
      <c r="AX90" s="25">
        <v>3524.1</v>
      </c>
      <c r="AY90" s="19">
        <v>5178.6</v>
      </c>
      <c r="AZ90" s="25">
        <v>1079.2</v>
      </c>
      <c r="BA90" s="25">
        <v>5858.5</v>
      </c>
      <c r="BB90" s="25">
        <v>6937.7</v>
      </c>
      <c r="BC90" s="25">
        <f t="shared" si="20"/>
        <v>0.475043768347235</v>
      </c>
    </row>
    <row r="91" ht="14" spans="1:55">
      <c r="A91" s="29">
        <v>2020</v>
      </c>
      <c r="B91" s="29">
        <v>130000</v>
      </c>
      <c r="C91" s="30" t="s">
        <v>59</v>
      </c>
      <c r="D91" s="25">
        <v>0</v>
      </c>
      <c r="E91" s="25">
        <v>1</v>
      </c>
      <c r="F91" s="25">
        <v>0</v>
      </c>
      <c r="G91" s="25">
        <v>0</v>
      </c>
      <c r="H91" s="19">
        <v>57.5</v>
      </c>
      <c r="I91" s="19">
        <v>42.5</v>
      </c>
      <c r="J91" s="25">
        <v>1.3</v>
      </c>
      <c r="K91" s="25">
        <v>11.9</v>
      </c>
      <c r="L91" s="25">
        <f t="shared" si="11"/>
        <v>13.2</v>
      </c>
      <c r="M91" s="25">
        <v>50.4</v>
      </c>
      <c r="N91" s="25">
        <v>16.9</v>
      </c>
      <c r="O91" s="25">
        <v>10.5</v>
      </c>
      <c r="P91" s="25">
        <f t="shared" si="12"/>
        <v>77.8</v>
      </c>
      <c r="Q91" s="25">
        <v>8.2</v>
      </c>
      <c r="R91" s="19">
        <v>0.7</v>
      </c>
      <c r="S91" s="19">
        <f t="shared" si="13"/>
        <v>8.9</v>
      </c>
      <c r="T91" s="19">
        <v>815</v>
      </c>
      <c r="U91" s="19">
        <f t="shared" si="14"/>
        <v>0.222010351402887</v>
      </c>
      <c r="V91" s="19">
        <v>1171</v>
      </c>
      <c r="W91" s="19">
        <f t="shared" si="15"/>
        <v>0.318986652138382</v>
      </c>
      <c r="X91" s="19">
        <v>1685</v>
      </c>
      <c r="Y91" s="14">
        <f t="shared" si="16"/>
        <v>0.459002996458731</v>
      </c>
      <c r="Z91" s="14">
        <v>3671</v>
      </c>
      <c r="AA91" s="25">
        <v>2.5</v>
      </c>
      <c r="AB91" s="25">
        <v>16</v>
      </c>
      <c r="AC91" s="25">
        <v>98.5</v>
      </c>
      <c r="AD91" s="25">
        <v>18.7</v>
      </c>
      <c r="AE91" s="25">
        <v>41.2</v>
      </c>
      <c r="AF91" s="25">
        <v>27.3</v>
      </c>
      <c r="AG91" s="25">
        <v>10.4</v>
      </c>
      <c r="AH91" s="25">
        <v>36.4</v>
      </c>
      <c r="AI91" s="25">
        <v>15.7</v>
      </c>
      <c r="AJ91" s="25">
        <v>15</v>
      </c>
      <c r="AK91" s="25">
        <f t="shared" si="17"/>
        <v>104.8</v>
      </c>
      <c r="AL91" s="25">
        <v>20.4</v>
      </c>
      <c r="AM91" s="25">
        <v>4.3</v>
      </c>
      <c r="AN91" s="19">
        <v>2.3</v>
      </c>
      <c r="AO91" s="25">
        <v>5.2</v>
      </c>
      <c r="AP91" s="25">
        <f t="shared" si="18"/>
        <v>32.2</v>
      </c>
      <c r="AQ91" s="25">
        <v>9.7</v>
      </c>
      <c r="AR91" s="25">
        <v>83</v>
      </c>
      <c r="AS91" s="25">
        <v>45.3</v>
      </c>
      <c r="AT91" s="25">
        <v>97.5</v>
      </c>
      <c r="AU91" s="25">
        <f t="shared" si="19"/>
        <v>235.5</v>
      </c>
      <c r="AV91" s="25">
        <v>11.8</v>
      </c>
      <c r="AW91" s="19">
        <v>1737.9</v>
      </c>
      <c r="AX91" s="25">
        <v>3546.1</v>
      </c>
      <c r="AY91" s="19">
        <v>5284</v>
      </c>
      <c r="AZ91" s="25">
        <v>1135.5</v>
      </c>
      <c r="BA91" s="25">
        <v>5803.3</v>
      </c>
      <c r="BB91" s="25">
        <v>6938.8</v>
      </c>
      <c r="BC91" s="25">
        <f t="shared" si="20"/>
        <v>0.492543572360353</v>
      </c>
    </row>
    <row r="92" ht="14" spans="1:55">
      <c r="A92" s="29">
        <v>2021</v>
      </c>
      <c r="B92" s="29">
        <v>130000</v>
      </c>
      <c r="C92" s="30" t="s">
        <v>59</v>
      </c>
      <c r="D92" s="25">
        <v>0</v>
      </c>
      <c r="E92" s="25">
        <v>1</v>
      </c>
      <c r="F92" s="25">
        <v>0</v>
      </c>
      <c r="G92" s="25">
        <v>0</v>
      </c>
      <c r="H92" s="19">
        <v>56.738</v>
      </c>
      <c r="I92" s="19">
        <v>43.262</v>
      </c>
      <c r="J92" s="25">
        <v>1.385</v>
      </c>
      <c r="K92" s="25">
        <v>12.425</v>
      </c>
      <c r="L92" s="25">
        <f t="shared" si="11"/>
        <v>13.81</v>
      </c>
      <c r="M92" s="25">
        <v>48.55</v>
      </c>
      <c r="N92" s="25">
        <v>18.077</v>
      </c>
      <c r="O92" s="25">
        <v>10.948</v>
      </c>
      <c r="P92" s="25">
        <f t="shared" si="12"/>
        <v>77.575</v>
      </c>
      <c r="Q92" s="25">
        <v>7.982</v>
      </c>
      <c r="R92" s="19">
        <v>0.633</v>
      </c>
      <c r="S92" s="19">
        <f t="shared" si="13"/>
        <v>8.615</v>
      </c>
      <c r="T92" s="19">
        <v>777</v>
      </c>
      <c r="U92" s="19">
        <f t="shared" si="14"/>
        <v>0.213285753499863</v>
      </c>
      <c r="V92" s="19">
        <v>1169</v>
      </c>
      <c r="W92" s="19">
        <f t="shared" si="15"/>
        <v>0.320889376887181</v>
      </c>
      <c r="X92" s="19">
        <v>1697</v>
      </c>
      <c r="Y92" s="14">
        <f t="shared" si="16"/>
        <v>0.465824869612956</v>
      </c>
      <c r="Z92" s="14">
        <v>3643</v>
      </c>
      <c r="AA92" s="25">
        <v>1.8</v>
      </c>
      <c r="AB92" s="25">
        <v>15.3</v>
      </c>
      <c r="AC92" s="25">
        <v>101.1</v>
      </c>
      <c r="AD92" s="25">
        <v>18.6</v>
      </c>
      <c r="AE92" s="25">
        <v>38.7</v>
      </c>
      <c r="AF92" s="25">
        <v>29</v>
      </c>
      <c r="AG92" s="25">
        <v>12.2</v>
      </c>
      <c r="AH92" s="25">
        <v>36.7</v>
      </c>
      <c r="AI92" s="25">
        <v>15.6</v>
      </c>
      <c r="AJ92" s="25">
        <v>14.2</v>
      </c>
      <c r="AK92" s="25">
        <f t="shared" si="17"/>
        <v>107.7</v>
      </c>
      <c r="AL92" s="25">
        <v>20.7</v>
      </c>
      <c r="AM92" s="25">
        <v>4.3</v>
      </c>
      <c r="AN92" s="19">
        <v>2.6</v>
      </c>
      <c r="AO92" s="25">
        <v>5.3</v>
      </c>
      <c r="AP92" s="25">
        <f t="shared" si="18"/>
        <v>32.9</v>
      </c>
      <c r="AQ92" s="25">
        <v>10</v>
      </c>
      <c r="AR92" s="25">
        <v>83.5</v>
      </c>
      <c r="AS92" s="25">
        <v>46.8</v>
      </c>
      <c r="AT92" s="25">
        <v>97.4</v>
      </c>
      <c r="AU92" s="25">
        <f t="shared" si="19"/>
        <v>237.7</v>
      </c>
      <c r="AV92" s="25">
        <v>12</v>
      </c>
      <c r="AW92" s="19">
        <v>1805.483</v>
      </c>
      <c r="AX92" s="25">
        <v>3552.842</v>
      </c>
      <c r="AY92" s="19">
        <v>5358.325</v>
      </c>
      <c r="AZ92" s="25">
        <v>1212.014</v>
      </c>
      <c r="BA92" s="25">
        <v>5879.034</v>
      </c>
      <c r="BB92" s="25">
        <v>7091.048</v>
      </c>
      <c r="BC92" s="25">
        <f t="shared" si="20"/>
        <v>0.507870842859514</v>
      </c>
    </row>
    <row r="93" ht="14" spans="1:55">
      <c r="A93" s="29">
        <v>2022</v>
      </c>
      <c r="B93" s="29">
        <v>130000</v>
      </c>
      <c r="C93" s="30" t="s">
        <v>59</v>
      </c>
      <c r="D93" s="25">
        <v>0</v>
      </c>
      <c r="E93" s="25">
        <v>1</v>
      </c>
      <c r="F93" s="25">
        <v>0</v>
      </c>
      <c r="G93" s="25">
        <v>0</v>
      </c>
      <c r="H93" s="19">
        <v>56.014</v>
      </c>
      <c r="I93" s="19">
        <v>43.986</v>
      </c>
      <c r="J93" s="25">
        <v>1.278</v>
      </c>
      <c r="K93" s="25">
        <v>13.82</v>
      </c>
      <c r="L93" s="25">
        <f t="shared" si="11"/>
        <v>15.098</v>
      </c>
      <c r="M93" s="25">
        <v>48.011</v>
      </c>
      <c r="N93" s="25">
        <v>15.366</v>
      </c>
      <c r="O93" s="25">
        <v>11.939</v>
      </c>
      <c r="P93" s="25">
        <f t="shared" si="12"/>
        <v>75.316</v>
      </c>
      <c r="Q93" s="25">
        <v>8.942</v>
      </c>
      <c r="R93" s="19">
        <v>0.644</v>
      </c>
      <c r="S93" s="19">
        <f t="shared" si="13"/>
        <v>9.586</v>
      </c>
      <c r="T93" s="19">
        <v>820</v>
      </c>
      <c r="U93" s="19">
        <f t="shared" si="14"/>
        <v>0.229050279329609</v>
      </c>
      <c r="V93" s="19">
        <v>1121</v>
      </c>
      <c r="W93" s="19">
        <f t="shared" si="15"/>
        <v>0.313128491620112</v>
      </c>
      <c r="X93" s="19">
        <v>1639</v>
      </c>
      <c r="Y93" s="14">
        <f t="shared" si="16"/>
        <v>0.457821229050279</v>
      </c>
      <c r="Z93" s="14">
        <v>3580</v>
      </c>
      <c r="AA93" s="25">
        <v>1.9</v>
      </c>
      <c r="AB93" s="25">
        <v>14.9</v>
      </c>
      <c r="AC93" s="25">
        <v>97</v>
      </c>
      <c r="AD93" s="25">
        <v>18.5</v>
      </c>
      <c r="AE93" s="25">
        <v>36.3</v>
      </c>
      <c r="AF93" s="25">
        <v>28.7</v>
      </c>
      <c r="AG93" s="25">
        <v>12</v>
      </c>
      <c r="AH93" s="25">
        <v>32.2</v>
      </c>
      <c r="AI93" s="25">
        <v>14.3</v>
      </c>
      <c r="AJ93" s="25">
        <v>19.5</v>
      </c>
      <c r="AK93" s="25">
        <f t="shared" si="17"/>
        <v>106.7</v>
      </c>
      <c r="AL93" s="25">
        <v>20.1</v>
      </c>
      <c r="AM93" s="25">
        <v>4.1</v>
      </c>
      <c r="AN93" s="19">
        <v>2.5</v>
      </c>
      <c r="AO93" s="25">
        <v>5.2</v>
      </c>
      <c r="AP93" s="25">
        <f t="shared" si="18"/>
        <v>31.9</v>
      </c>
      <c r="AQ93" s="25">
        <v>10.7</v>
      </c>
      <c r="AR93" s="25">
        <v>84</v>
      </c>
      <c r="AS93" s="25">
        <v>48.8</v>
      </c>
      <c r="AT93" s="25">
        <v>99.9</v>
      </c>
      <c r="AU93" s="25">
        <f t="shared" si="19"/>
        <v>243.4</v>
      </c>
      <c r="AV93" s="25">
        <v>10.5</v>
      </c>
      <c r="AW93" s="19">
        <v>1867.694</v>
      </c>
      <c r="AX93" s="25">
        <v>3568.52</v>
      </c>
      <c r="AY93" s="19">
        <v>5436.214</v>
      </c>
      <c r="AZ93" s="25">
        <v>1238.295</v>
      </c>
      <c r="BA93" s="25">
        <v>5781.955</v>
      </c>
      <c r="BB93" s="25">
        <v>7020.25</v>
      </c>
      <c r="BC93" s="25">
        <f t="shared" si="20"/>
        <v>0.519954226654602</v>
      </c>
    </row>
    <row r="94" ht="14" spans="1:55">
      <c r="A94" s="29">
        <v>2013</v>
      </c>
      <c r="B94" s="29">
        <v>410000</v>
      </c>
      <c r="C94" s="30" t="s">
        <v>60</v>
      </c>
      <c r="D94" s="25">
        <v>0</v>
      </c>
      <c r="E94" s="25">
        <v>0</v>
      </c>
      <c r="F94" s="25">
        <v>1</v>
      </c>
      <c r="G94" s="25">
        <v>0</v>
      </c>
      <c r="H94" s="19">
        <v>46.009</v>
      </c>
      <c r="I94" s="19">
        <v>53.991</v>
      </c>
      <c r="J94" s="25">
        <v>1.94</v>
      </c>
      <c r="K94" s="25">
        <v>15.633</v>
      </c>
      <c r="L94" s="25">
        <f t="shared" si="11"/>
        <v>17.573</v>
      </c>
      <c r="M94" s="25">
        <v>54.538</v>
      </c>
      <c r="N94" s="25">
        <v>17.672</v>
      </c>
      <c r="O94" s="25">
        <v>6.561</v>
      </c>
      <c r="P94" s="25">
        <f t="shared" si="12"/>
        <v>78.771</v>
      </c>
      <c r="Q94" s="25">
        <v>3.397</v>
      </c>
      <c r="R94" s="19">
        <v>0.259</v>
      </c>
      <c r="S94" s="19">
        <f t="shared" si="13"/>
        <v>3.656</v>
      </c>
      <c r="T94" s="19">
        <v>2043.955</v>
      </c>
      <c r="U94" s="19">
        <f t="shared" si="14"/>
        <v>0.401247546132705</v>
      </c>
      <c r="V94" s="19">
        <v>1623.2005</v>
      </c>
      <c r="W94" s="19">
        <f t="shared" si="15"/>
        <v>0.318649489595603</v>
      </c>
      <c r="X94" s="19">
        <v>1426.8445</v>
      </c>
      <c r="Y94" s="14">
        <f t="shared" si="16"/>
        <v>0.280102964271692</v>
      </c>
      <c r="Z94" s="14">
        <v>5094</v>
      </c>
      <c r="AA94" s="25">
        <v>5.2</v>
      </c>
      <c r="AB94" s="25">
        <v>62.6</v>
      </c>
      <c r="AC94" s="25">
        <v>312.7</v>
      </c>
      <c r="AD94" s="25">
        <v>24.6</v>
      </c>
      <c r="AE94" s="25">
        <v>189.5</v>
      </c>
      <c r="AF94" s="25">
        <v>43.6</v>
      </c>
      <c r="AG94" s="25">
        <v>9.5</v>
      </c>
      <c r="AH94" s="25">
        <v>24.1</v>
      </c>
      <c r="AI94" s="25">
        <v>14.8</v>
      </c>
      <c r="AJ94" s="25">
        <v>12.5</v>
      </c>
      <c r="AK94" s="25">
        <f t="shared" si="17"/>
        <v>104.5</v>
      </c>
      <c r="AL94" s="25">
        <v>52.7</v>
      </c>
      <c r="AM94" s="25">
        <v>11.8</v>
      </c>
      <c r="AN94" s="19">
        <v>2</v>
      </c>
      <c r="AO94" s="25">
        <v>8.5</v>
      </c>
      <c r="AP94" s="25">
        <f t="shared" si="18"/>
        <v>75</v>
      </c>
      <c r="AQ94" s="25">
        <v>12.4</v>
      </c>
      <c r="AR94" s="25">
        <v>116.9</v>
      </c>
      <c r="AS94" s="25">
        <v>48.4</v>
      </c>
      <c r="AT94" s="25">
        <v>108.5</v>
      </c>
      <c r="AU94" s="25">
        <f t="shared" si="19"/>
        <v>286.2</v>
      </c>
      <c r="AV94" s="25">
        <v>15.8</v>
      </c>
      <c r="AW94" s="19">
        <v>1349.989</v>
      </c>
      <c r="AX94" s="25">
        <v>4796.973</v>
      </c>
      <c r="AY94" s="19">
        <v>6146.962</v>
      </c>
      <c r="AZ94" s="25">
        <v>1140.234</v>
      </c>
      <c r="BA94" s="25">
        <v>1156.966</v>
      </c>
      <c r="BB94" s="25">
        <v>2297.2</v>
      </c>
      <c r="BC94" s="25">
        <f t="shared" si="20"/>
        <v>0.715977069836763</v>
      </c>
    </row>
    <row r="95" ht="14" spans="1:55">
      <c r="A95" s="29">
        <v>2014</v>
      </c>
      <c r="B95" s="29">
        <v>410000</v>
      </c>
      <c r="C95" s="30" t="s">
        <v>60</v>
      </c>
      <c r="D95" s="25">
        <v>0</v>
      </c>
      <c r="E95" s="25">
        <v>0</v>
      </c>
      <c r="F95" s="25">
        <v>1</v>
      </c>
      <c r="G95" s="25">
        <v>0</v>
      </c>
      <c r="H95" s="19">
        <v>51.5</v>
      </c>
      <c r="I95" s="19">
        <v>48.5</v>
      </c>
      <c r="J95" s="25">
        <v>1.9</v>
      </c>
      <c r="K95" s="25">
        <v>14.6</v>
      </c>
      <c r="L95" s="25">
        <f t="shared" si="11"/>
        <v>16.5</v>
      </c>
      <c r="M95" s="25">
        <v>53.3</v>
      </c>
      <c r="N95" s="25">
        <v>18.3</v>
      </c>
      <c r="O95" s="25">
        <v>7.4</v>
      </c>
      <c r="P95" s="25">
        <f t="shared" si="12"/>
        <v>79</v>
      </c>
      <c r="Q95" s="25">
        <v>4.3</v>
      </c>
      <c r="R95" s="19">
        <v>0.3</v>
      </c>
      <c r="S95" s="19">
        <f t="shared" si="13"/>
        <v>4.6</v>
      </c>
      <c r="T95" s="19">
        <v>1896.5521</v>
      </c>
      <c r="U95" s="19">
        <f t="shared" si="14"/>
        <v>0.373190102321921</v>
      </c>
      <c r="V95" s="19">
        <v>1518.2351</v>
      </c>
      <c r="W95" s="19">
        <f t="shared" si="15"/>
        <v>0.298747560015742</v>
      </c>
      <c r="X95" s="19">
        <v>1667.2128</v>
      </c>
      <c r="Y95" s="14">
        <f t="shared" si="16"/>
        <v>0.328062337662338</v>
      </c>
      <c r="Z95" s="14">
        <v>5082</v>
      </c>
      <c r="AA95" s="25">
        <v>5.1</v>
      </c>
      <c r="AB95" s="25">
        <v>56.3</v>
      </c>
      <c r="AC95" s="25">
        <v>337.1</v>
      </c>
      <c r="AD95" s="25">
        <v>25.5</v>
      </c>
      <c r="AE95" s="25">
        <v>189.6</v>
      </c>
      <c r="AF95" s="25">
        <v>44.5</v>
      </c>
      <c r="AG95" s="25">
        <v>9.7</v>
      </c>
      <c r="AH95" s="25">
        <v>24</v>
      </c>
      <c r="AI95" s="25">
        <v>16.4</v>
      </c>
      <c r="AJ95" s="25">
        <v>15.1</v>
      </c>
      <c r="AK95" s="25">
        <f t="shared" si="17"/>
        <v>109.7</v>
      </c>
      <c r="AL95" s="25">
        <v>53.3</v>
      </c>
      <c r="AM95" s="25">
        <v>11.2</v>
      </c>
      <c r="AN95" s="19">
        <v>2.4</v>
      </c>
      <c r="AO95" s="25">
        <v>7.5</v>
      </c>
      <c r="AP95" s="25">
        <f t="shared" si="18"/>
        <v>74.4</v>
      </c>
      <c r="AQ95" s="25">
        <v>13.2</v>
      </c>
      <c r="AR95" s="25">
        <v>119</v>
      </c>
      <c r="AS95" s="25">
        <v>50</v>
      </c>
      <c r="AT95" s="25">
        <v>110.6</v>
      </c>
      <c r="AU95" s="25">
        <f t="shared" si="19"/>
        <v>292.8</v>
      </c>
      <c r="AV95" s="25">
        <v>18.4</v>
      </c>
      <c r="AW95" s="19">
        <v>1431.6</v>
      </c>
      <c r="AX95" s="25">
        <v>4843.8</v>
      </c>
      <c r="AY95" s="19">
        <v>6275.4</v>
      </c>
      <c r="AZ95" s="25">
        <v>1182.4</v>
      </c>
      <c r="BA95" s="25">
        <v>1157.6</v>
      </c>
      <c r="BB95" s="25">
        <v>2340</v>
      </c>
      <c r="BC95" s="25">
        <f t="shared" si="20"/>
        <v>0.733428029513697</v>
      </c>
    </row>
    <row r="96" ht="14" spans="1:55">
      <c r="A96" s="29">
        <v>2015</v>
      </c>
      <c r="B96" s="29">
        <v>410000</v>
      </c>
      <c r="C96" s="30" t="s">
        <v>60</v>
      </c>
      <c r="D96" s="25">
        <v>0</v>
      </c>
      <c r="E96" s="25">
        <v>0</v>
      </c>
      <c r="F96" s="25">
        <v>1</v>
      </c>
      <c r="G96" s="25">
        <v>0</v>
      </c>
      <c r="H96" s="19">
        <v>56.991</v>
      </c>
      <c r="I96" s="19">
        <v>43.009</v>
      </c>
      <c r="J96" s="25">
        <v>2.372</v>
      </c>
      <c r="K96" s="25">
        <v>14.582</v>
      </c>
      <c r="L96" s="25">
        <f t="shared" si="11"/>
        <v>16.954</v>
      </c>
      <c r="M96" s="25">
        <v>51.201</v>
      </c>
      <c r="N96" s="25">
        <v>13.84</v>
      </c>
      <c r="O96" s="25">
        <v>7.607</v>
      </c>
      <c r="P96" s="25">
        <f t="shared" si="12"/>
        <v>72.648</v>
      </c>
      <c r="Q96" s="25">
        <v>4.785</v>
      </c>
      <c r="R96" s="19">
        <v>0.364</v>
      </c>
      <c r="S96" s="19">
        <f t="shared" si="13"/>
        <v>5.149</v>
      </c>
      <c r="T96" s="19">
        <v>1718.9025</v>
      </c>
      <c r="U96" s="19">
        <f t="shared" si="14"/>
        <v>0.3387</v>
      </c>
      <c r="V96" s="19">
        <v>1517.425</v>
      </c>
      <c r="W96" s="19">
        <f t="shared" si="15"/>
        <v>0.299</v>
      </c>
      <c r="X96" s="19">
        <v>1838.6725</v>
      </c>
      <c r="Y96" s="14">
        <f t="shared" si="16"/>
        <v>0.3623</v>
      </c>
      <c r="Z96" s="14">
        <v>5075</v>
      </c>
      <c r="AA96" s="25">
        <v>2.5</v>
      </c>
      <c r="AB96" s="25">
        <v>51.6</v>
      </c>
      <c r="AC96" s="25">
        <v>352.9</v>
      </c>
      <c r="AD96" s="25">
        <v>25.3</v>
      </c>
      <c r="AE96" s="25">
        <v>178.8</v>
      </c>
      <c r="AF96" s="25">
        <v>45.3</v>
      </c>
      <c r="AG96" s="25">
        <v>10.4</v>
      </c>
      <c r="AH96" s="25">
        <v>24.4</v>
      </c>
      <c r="AI96" s="25">
        <v>17.2</v>
      </c>
      <c r="AJ96" s="25">
        <v>16.1</v>
      </c>
      <c r="AK96" s="25">
        <f t="shared" si="17"/>
        <v>113.4</v>
      </c>
      <c r="AL96" s="25">
        <v>54.9</v>
      </c>
      <c r="AM96" s="25">
        <v>11.3</v>
      </c>
      <c r="AN96" s="19">
        <v>2.7</v>
      </c>
      <c r="AO96" s="25">
        <v>7.8</v>
      </c>
      <c r="AP96" s="25">
        <f t="shared" si="18"/>
        <v>76.7</v>
      </c>
      <c r="AQ96" s="25">
        <v>13.5</v>
      </c>
      <c r="AR96" s="25">
        <v>125</v>
      </c>
      <c r="AS96" s="25">
        <v>55.2</v>
      </c>
      <c r="AT96" s="25">
        <v>109.7</v>
      </c>
      <c r="AU96" s="25">
        <f t="shared" si="19"/>
        <v>303.4</v>
      </c>
      <c r="AV96" s="25">
        <v>21.2</v>
      </c>
      <c r="AW96" s="19">
        <v>1508.707</v>
      </c>
      <c r="AX96" s="25">
        <v>4855.213</v>
      </c>
      <c r="AY96" s="19">
        <v>6363.92</v>
      </c>
      <c r="AZ96" s="25">
        <v>1200.723</v>
      </c>
      <c r="BA96" s="25">
        <v>1144.18</v>
      </c>
      <c r="BB96" s="25">
        <v>2344.903</v>
      </c>
      <c r="BC96" s="25">
        <f t="shared" si="20"/>
        <v>0.749128537409961</v>
      </c>
    </row>
    <row r="97" ht="14" spans="1:55">
      <c r="A97" s="29">
        <v>2016</v>
      </c>
      <c r="B97" s="29">
        <v>410000</v>
      </c>
      <c r="C97" s="30" t="s">
        <v>60</v>
      </c>
      <c r="D97" s="25">
        <v>0</v>
      </c>
      <c r="E97" s="25">
        <v>0</v>
      </c>
      <c r="F97" s="25">
        <v>1</v>
      </c>
      <c r="G97" s="25">
        <v>0</v>
      </c>
      <c r="H97" s="19">
        <v>55.063</v>
      </c>
      <c r="I97" s="19">
        <v>44.937</v>
      </c>
      <c r="J97" s="25">
        <v>2.541</v>
      </c>
      <c r="K97" s="25">
        <v>15.333</v>
      </c>
      <c r="L97" s="25">
        <f t="shared" si="11"/>
        <v>17.874</v>
      </c>
      <c r="M97" s="25">
        <v>50.108</v>
      </c>
      <c r="N97" s="25">
        <v>13.852</v>
      </c>
      <c r="O97" s="25">
        <v>8.12</v>
      </c>
      <c r="P97" s="25">
        <f t="shared" si="12"/>
        <v>72.08</v>
      </c>
      <c r="Q97" s="25">
        <v>4.717</v>
      </c>
      <c r="R97" s="19">
        <v>0.363</v>
      </c>
      <c r="S97" s="19">
        <f t="shared" si="13"/>
        <v>5.08</v>
      </c>
      <c r="T97" s="19">
        <v>1545.912</v>
      </c>
      <c r="U97" s="19">
        <f t="shared" si="14"/>
        <v>0.306</v>
      </c>
      <c r="V97" s="19">
        <v>1512.0636</v>
      </c>
      <c r="W97" s="19">
        <f t="shared" si="15"/>
        <v>0.2993</v>
      </c>
      <c r="X97" s="19">
        <v>1994.0244</v>
      </c>
      <c r="Y97" s="14">
        <f t="shared" si="16"/>
        <v>0.3947</v>
      </c>
      <c r="Z97" s="14">
        <v>5052</v>
      </c>
      <c r="AA97" s="25">
        <v>2.1</v>
      </c>
      <c r="AB97" s="25">
        <v>45.2</v>
      </c>
      <c r="AC97" s="25">
        <v>363.3</v>
      </c>
      <c r="AD97" s="25">
        <v>26.2</v>
      </c>
      <c r="AE97" s="25">
        <v>173.4</v>
      </c>
      <c r="AF97" s="25">
        <v>45.8</v>
      </c>
      <c r="AG97" s="25">
        <v>12.2</v>
      </c>
      <c r="AH97" s="25">
        <v>30</v>
      </c>
      <c r="AI97" s="25">
        <v>17.8</v>
      </c>
      <c r="AJ97" s="25">
        <v>18.1</v>
      </c>
      <c r="AK97" s="25">
        <f t="shared" si="17"/>
        <v>123.9</v>
      </c>
      <c r="AL97" s="25">
        <v>56.1</v>
      </c>
      <c r="AM97" s="25">
        <v>11</v>
      </c>
      <c r="AN97" s="19">
        <v>3.1</v>
      </c>
      <c r="AO97" s="25">
        <v>7.8</v>
      </c>
      <c r="AP97" s="25">
        <f t="shared" si="18"/>
        <v>78</v>
      </c>
      <c r="AQ97" s="25">
        <v>13</v>
      </c>
      <c r="AR97" s="25">
        <v>124.6</v>
      </c>
      <c r="AS97" s="25">
        <v>58.4</v>
      </c>
      <c r="AT97" s="25">
        <v>113.8</v>
      </c>
      <c r="AU97" s="25">
        <f t="shared" si="19"/>
        <v>309.8</v>
      </c>
      <c r="AV97" s="25">
        <v>23.1</v>
      </c>
      <c r="AW97" s="19">
        <v>1848.423</v>
      </c>
      <c r="AX97" s="25">
        <v>4893.739</v>
      </c>
      <c r="AY97" s="19">
        <v>6742.162</v>
      </c>
      <c r="AZ97" s="25">
        <v>1227.344</v>
      </c>
      <c r="BA97" s="25">
        <v>1133.404</v>
      </c>
      <c r="BB97" s="25">
        <v>2360.747</v>
      </c>
      <c r="BC97" s="25">
        <f t="shared" si="20"/>
        <v>0.794055250076894</v>
      </c>
    </row>
    <row r="98" ht="14" spans="1:55">
      <c r="A98" s="29">
        <v>2017</v>
      </c>
      <c r="B98" s="29">
        <v>410000</v>
      </c>
      <c r="C98" s="30" t="s">
        <v>60</v>
      </c>
      <c r="D98" s="25">
        <v>0</v>
      </c>
      <c r="E98" s="25">
        <v>0</v>
      </c>
      <c r="F98" s="25">
        <v>1</v>
      </c>
      <c r="G98" s="25">
        <v>0</v>
      </c>
      <c r="H98" s="19">
        <v>55.542</v>
      </c>
      <c r="I98" s="19">
        <v>44.458</v>
      </c>
      <c r="J98" s="25">
        <v>2.114</v>
      </c>
      <c r="K98" s="25">
        <v>14.165</v>
      </c>
      <c r="L98" s="25">
        <f t="shared" si="11"/>
        <v>16.279</v>
      </c>
      <c r="M98" s="25">
        <v>51.553</v>
      </c>
      <c r="N98" s="25">
        <v>14.415</v>
      </c>
      <c r="O98" s="25">
        <v>7.56</v>
      </c>
      <c r="P98" s="25">
        <f t="shared" si="12"/>
        <v>73.528</v>
      </c>
      <c r="Q98" s="25">
        <v>4.613</v>
      </c>
      <c r="R98" s="19">
        <v>0.34</v>
      </c>
      <c r="S98" s="19">
        <f t="shared" si="13"/>
        <v>4.953</v>
      </c>
      <c r="T98" s="19">
        <v>1375.1318</v>
      </c>
      <c r="U98" s="19">
        <f t="shared" si="14"/>
        <v>0.273440405647246</v>
      </c>
      <c r="V98" s="19">
        <v>1506.2261</v>
      </c>
      <c r="W98" s="19">
        <f t="shared" si="15"/>
        <v>0.299508073175582</v>
      </c>
      <c r="X98" s="19">
        <v>2147.6418</v>
      </c>
      <c r="Y98" s="14">
        <f t="shared" si="16"/>
        <v>0.427051461523166</v>
      </c>
      <c r="Z98" s="14">
        <v>5029</v>
      </c>
      <c r="AA98" s="25">
        <v>1.8</v>
      </c>
      <c r="AB98" s="25">
        <v>40.3</v>
      </c>
      <c r="AC98" s="25">
        <v>353.2</v>
      </c>
      <c r="AD98" s="25">
        <v>25.7</v>
      </c>
      <c r="AE98" s="25">
        <v>170.3</v>
      </c>
      <c r="AF98" s="25">
        <v>45.2</v>
      </c>
      <c r="AG98" s="25">
        <v>13.2</v>
      </c>
      <c r="AH98" s="25">
        <v>29.7</v>
      </c>
      <c r="AI98" s="25">
        <v>17.1</v>
      </c>
      <c r="AJ98" s="25">
        <v>19.6</v>
      </c>
      <c r="AK98" s="25">
        <f t="shared" si="17"/>
        <v>124.8</v>
      </c>
      <c r="AL98" s="25">
        <v>51.4</v>
      </c>
      <c r="AM98" s="25">
        <v>10.4</v>
      </c>
      <c r="AN98" s="19">
        <v>3.4</v>
      </c>
      <c r="AO98" s="25">
        <v>7.7</v>
      </c>
      <c r="AP98" s="25">
        <f t="shared" si="18"/>
        <v>72.9</v>
      </c>
      <c r="AQ98" s="25">
        <v>13.6</v>
      </c>
      <c r="AR98" s="25">
        <v>124.5</v>
      </c>
      <c r="AS98" s="25">
        <v>59.9</v>
      </c>
      <c r="AT98" s="25">
        <v>115.5</v>
      </c>
      <c r="AU98" s="25">
        <f t="shared" si="19"/>
        <v>313.5</v>
      </c>
      <c r="AV98" s="25">
        <v>26.8</v>
      </c>
      <c r="AW98" s="19">
        <v>1897.585</v>
      </c>
      <c r="AX98" s="25">
        <v>5010.216</v>
      </c>
      <c r="AY98" s="19">
        <v>6907.801</v>
      </c>
      <c r="AZ98" s="25">
        <v>1228.23</v>
      </c>
      <c r="BA98" s="25">
        <v>9182.467</v>
      </c>
      <c r="BB98" s="25">
        <v>10410.697</v>
      </c>
      <c r="BC98" s="25">
        <f t="shared" si="20"/>
        <v>0.392679438218834</v>
      </c>
    </row>
    <row r="99" ht="14" spans="1:55">
      <c r="A99" s="29">
        <v>2018</v>
      </c>
      <c r="B99" s="29">
        <v>410000</v>
      </c>
      <c r="C99" s="30" t="s">
        <v>60</v>
      </c>
      <c r="D99" s="25">
        <v>0</v>
      </c>
      <c r="E99" s="25">
        <v>0</v>
      </c>
      <c r="F99" s="25">
        <v>1</v>
      </c>
      <c r="G99" s="25">
        <v>0</v>
      </c>
      <c r="H99" s="19">
        <v>54.913</v>
      </c>
      <c r="I99" s="19">
        <v>45.087</v>
      </c>
      <c r="J99" s="25">
        <v>1.97</v>
      </c>
      <c r="K99" s="25">
        <v>13.021</v>
      </c>
      <c r="L99" s="25">
        <f t="shared" si="11"/>
        <v>14.991</v>
      </c>
      <c r="M99" s="25">
        <v>50.812</v>
      </c>
      <c r="N99" s="25">
        <v>15.218</v>
      </c>
      <c r="O99" s="25">
        <v>8.143</v>
      </c>
      <c r="P99" s="25">
        <f t="shared" si="12"/>
        <v>74.173</v>
      </c>
      <c r="Q99" s="25">
        <v>4.799</v>
      </c>
      <c r="R99" s="19">
        <v>0.394</v>
      </c>
      <c r="S99" s="19">
        <f t="shared" si="13"/>
        <v>5.193</v>
      </c>
      <c r="T99" s="19">
        <v>1302.7136</v>
      </c>
      <c r="U99" s="19">
        <f t="shared" si="14"/>
        <v>0.260960256410256</v>
      </c>
      <c r="V99" s="19">
        <v>1502.0497</v>
      </c>
      <c r="W99" s="19">
        <f t="shared" si="15"/>
        <v>0.300891366185897</v>
      </c>
      <c r="X99" s="19">
        <v>2187.2365</v>
      </c>
      <c r="Y99" s="14">
        <f t="shared" si="16"/>
        <v>0.438148337339744</v>
      </c>
      <c r="Z99" s="14">
        <v>4992</v>
      </c>
      <c r="AA99" s="25">
        <v>1.4</v>
      </c>
      <c r="AB99" s="25">
        <v>34.2</v>
      </c>
      <c r="AC99" s="25">
        <v>233.4</v>
      </c>
      <c r="AD99" s="25">
        <v>24.5</v>
      </c>
      <c r="AE99" s="25">
        <v>169.4</v>
      </c>
      <c r="AF99" s="25">
        <v>39.3</v>
      </c>
      <c r="AG99" s="25">
        <v>12.8</v>
      </c>
      <c r="AH99" s="25">
        <v>28.2</v>
      </c>
      <c r="AI99" s="25">
        <v>14</v>
      </c>
      <c r="AJ99" s="25">
        <v>16.4</v>
      </c>
      <c r="AK99" s="25">
        <f t="shared" si="17"/>
        <v>110.7</v>
      </c>
      <c r="AL99" s="25">
        <v>36.7</v>
      </c>
      <c r="AM99" s="25">
        <v>7.9</v>
      </c>
      <c r="AN99" s="19">
        <v>2.2</v>
      </c>
      <c r="AO99" s="25">
        <v>7.1</v>
      </c>
      <c r="AP99" s="25">
        <f t="shared" si="18"/>
        <v>53.9</v>
      </c>
      <c r="AQ99" s="25">
        <v>13.4</v>
      </c>
      <c r="AR99" s="25">
        <v>119.5</v>
      </c>
      <c r="AS99" s="25">
        <v>62.6</v>
      </c>
      <c r="AT99" s="25">
        <v>120.9</v>
      </c>
      <c r="AU99" s="25">
        <f t="shared" si="19"/>
        <v>316.4</v>
      </c>
      <c r="AV99" s="25">
        <v>23.5</v>
      </c>
      <c r="AW99" s="19">
        <v>2006.539</v>
      </c>
      <c r="AX99" s="25">
        <v>5082.455</v>
      </c>
      <c r="AY99" s="19">
        <v>7088.994</v>
      </c>
      <c r="AZ99" s="25">
        <v>1265.108</v>
      </c>
      <c r="BA99" s="25">
        <v>9170.628</v>
      </c>
      <c r="BB99" s="25">
        <v>10435.736</v>
      </c>
      <c r="BC99" s="25">
        <f t="shared" si="20"/>
        <v>0.404278334390547</v>
      </c>
    </row>
    <row r="100" ht="14" spans="1:55">
      <c r="A100" s="29">
        <v>2019</v>
      </c>
      <c r="B100" s="29">
        <v>410000</v>
      </c>
      <c r="C100" s="30" t="s">
        <v>60</v>
      </c>
      <c r="D100" s="25">
        <v>0</v>
      </c>
      <c r="E100" s="25">
        <v>0</v>
      </c>
      <c r="F100" s="25">
        <v>1</v>
      </c>
      <c r="G100" s="25">
        <v>0</v>
      </c>
      <c r="H100" s="19">
        <v>54.8</v>
      </c>
      <c r="I100" s="19">
        <v>45.2</v>
      </c>
      <c r="J100" s="25">
        <v>2</v>
      </c>
      <c r="K100" s="25">
        <v>12.1</v>
      </c>
      <c r="L100" s="25">
        <f t="shared" si="11"/>
        <v>14.1</v>
      </c>
      <c r="M100" s="25">
        <v>47.4</v>
      </c>
      <c r="N100" s="25">
        <v>20.7</v>
      </c>
      <c r="O100" s="25">
        <v>10.6</v>
      </c>
      <c r="P100" s="25">
        <f t="shared" si="12"/>
        <v>78.7</v>
      </c>
      <c r="Q100" s="25">
        <v>6.7</v>
      </c>
      <c r="R100" s="19">
        <v>0.6</v>
      </c>
      <c r="S100" s="19">
        <f t="shared" si="13"/>
        <v>7.3</v>
      </c>
      <c r="T100" s="19">
        <v>1251.2624</v>
      </c>
      <c r="U100" s="19">
        <f t="shared" si="14"/>
        <v>0.2536</v>
      </c>
      <c r="V100" s="19">
        <v>1468.8518</v>
      </c>
      <c r="W100" s="19">
        <f t="shared" si="15"/>
        <v>0.2977</v>
      </c>
      <c r="X100" s="19">
        <v>2213.8858</v>
      </c>
      <c r="Y100" s="14">
        <f t="shared" si="16"/>
        <v>0.4487</v>
      </c>
      <c r="Z100" s="14">
        <v>4934</v>
      </c>
      <c r="AA100" s="25">
        <v>2.1</v>
      </c>
      <c r="AB100" s="25">
        <v>29.6</v>
      </c>
      <c r="AC100" s="25">
        <v>222.1</v>
      </c>
      <c r="AD100" s="25">
        <v>23.5</v>
      </c>
      <c r="AE100" s="25">
        <v>153.1</v>
      </c>
      <c r="AF100" s="25">
        <v>41.2</v>
      </c>
      <c r="AG100" s="25">
        <v>16.6</v>
      </c>
      <c r="AH100" s="25">
        <v>29.5</v>
      </c>
      <c r="AI100" s="25">
        <v>17.6</v>
      </c>
      <c r="AJ100" s="25">
        <v>26.4</v>
      </c>
      <c r="AK100" s="25">
        <f t="shared" si="17"/>
        <v>131.3</v>
      </c>
      <c r="AL100" s="25">
        <v>36.8</v>
      </c>
      <c r="AM100" s="25">
        <v>7.8</v>
      </c>
      <c r="AN100" s="19">
        <v>2.7</v>
      </c>
      <c r="AO100" s="25">
        <v>6.8</v>
      </c>
      <c r="AP100" s="25">
        <f t="shared" si="18"/>
        <v>54.1</v>
      </c>
      <c r="AQ100" s="25">
        <v>13.6</v>
      </c>
      <c r="AR100" s="25">
        <v>121.5</v>
      </c>
      <c r="AS100" s="25">
        <v>66.1</v>
      </c>
      <c r="AT100" s="25">
        <v>123.1</v>
      </c>
      <c r="AU100" s="25">
        <f t="shared" si="19"/>
        <v>324.3</v>
      </c>
      <c r="AV100" s="25">
        <v>28</v>
      </c>
      <c r="AW100" s="19">
        <v>2133.8</v>
      </c>
      <c r="AX100" s="25">
        <v>5196.6</v>
      </c>
      <c r="AY100" s="19">
        <v>7330.4</v>
      </c>
      <c r="AZ100" s="25">
        <v>1281.7</v>
      </c>
      <c r="BA100" s="25">
        <v>9008.1</v>
      </c>
      <c r="BB100" s="25">
        <v>10289.8</v>
      </c>
      <c r="BC100" s="25">
        <f t="shared" si="20"/>
        <v>0.415649407063153</v>
      </c>
    </row>
    <row r="101" ht="14" spans="1:55">
      <c r="A101" s="29">
        <v>2020</v>
      </c>
      <c r="B101" s="29">
        <v>410000</v>
      </c>
      <c r="C101" s="30" t="s">
        <v>60</v>
      </c>
      <c r="D101" s="25">
        <v>0</v>
      </c>
      <c r="E101" s="25">
        <v>0</v>
      </c>
      <c r="F101" s="25">
        <v>1</v>
      </c>
      <c r="G101" s="25">
        <v>0</v>
      </c>
      <c r="H101" s="19">
        <v>54.7</v>
      </c>
      <c r="I101" s="19">
        <v>45.3</v>
      </c>
      <c r="J101" s="25">
        <v>2.6</v>
      </c>
      <c r="K101" s="25">
        <v>12.8</v>
      </c>
      <c r="L101" s="25">
        <f t="shared" si="11"/>
        <v>15.4</v>
      </c>
      <c r="M101" s="25">
        <v>47.5</v>
      </c>
      <c r="N101" s="25">
        <v>20.1</v>
      </c>
      <c r="O101" s="25">
        <v>9.7</v>
      </c>
      <c r="P101" s="25">
        <f t="shared" si="12"/>
        <v>77.3</v>
      </c>
      <c r="Q101" s="25">
        <v>6.7</v>
      </c>
      <c r="R101" s="19">
        <v>0.6</v>
      </c>
      <c r="S101" s="19">
        <f t="shared" si="13"/>
        <v>7.3</v>
      </c>
      <c r="T101" s="19">
        <v>1223</v>
      </c>
      <c r="U101" s="19">
        <f t="shared" si="14"/>
        <v>0.2504095004095</v>
      </c>
      <c r="V101" s="19">
        <v>1443</v>
      </c>
      <c r="W101" s="19">
        <f t="shared" si="15"/>
        <v>0.295454545454545</v>
      </c>
      <c r="X101" s="19">
        <v>2218</v>
      </c>
      <c r="Y101" s="14">
        <f t="shared" si="16"/>
        <v>0.454135954135954</v>
      </c>
      <c r="Z101" s="14">
        <v>4884</v>
      </c>
      <c r="AA101" s="25">
        <v>2.2</v>
      </c>
      <c r="AB101" s="25">
        <v>27.5</v>
      </c>
      <c r="AC101" s="25">
        <v>215.6</v>
      </c>
      <c r="AD101" s="25">
        <v>23.8</v>
      </c>
      <c r="AE101" s="25">
        <v>148.3</v>
      </c>
      <c r="AF101" s="25">
        <v>42.1</v>
      </c>
      <c r="AG101" s="25">
        <v>18.3</v>
      </c>
      <c r="AH101" s="25">
        <v>27</v>
      </c>
      <c r="AI101" s="25">
        <v>18.4</v>
      </c>
      <c r="AJ101" s="25">
        <v>23.9</v>
      </c>
      <c r="AK101" s="25">
        <f t="shared" si="17"/>
        <v>129.7</v>
      </c>
      <c r="AL101" s="25">
        <v>35.2</v>
      </c>
      <c r="AM101" s="25">
        <v>7.7</v>
      </c>
      <c r="AN101" s="19">
        <v>2.9</v>
      </c>
      <c r="AO101" s="25">
        <v>7.5</v>
      </c>
      <c r="AP101" s="25">
        <f t="shared" si="18"/>
        <v>53.3</v>
      </c>
      <c r="AQ101" s="25">
        <v>15.2</v>
      </c>
      <c r="AR101" s="25">
        <v>129.6</v>
      </c>
      <c r="AS101" s="25">
        <v>69</v>
      </c>
      <c r="AT101" s="25">
        <v>121.2</v>
      </c>
      <c r="AU101" s="25">
        <f t="shared" si="19"/>
        <v>335</v>
      </c>
      <c r="AV101" s="25">
        <v>29.3</v>
      </c>
      <c r="AW101" s="19">
        <v>2248.5</v>
      </c>
      <c r="AX101" s="25">
        <v>5255.9</v>
      </c>
      <c r="AY101" s="19">
        <v>7504.4</v>
      </c>
      <c r="AZ101" s="25">
        <v>1336.5</v>
      </c>
      <c r="BA101" s="25">
        <v>9013</v>
      </c>
      <c r="BB101" s="25">
        <v>10349.5</v>
      </c>
      <c r="BC101" s="25">
        <f t="shared" si="20"/>
        <v>0.428760893726572</v>
      </c>
    </row>
    <row r="102" ht="14" spans="1:55">
      <c r="A102" s="29">
        <v>2021</v>
      </c>
      <c r="B102" s="29">
        <v>410000</v>
      </c>
      <c r="C102" s="30" t="s">
        <v>60</v>
      </c>
      <c r="D102" s="25">
        <v>0</v>
      </c>
      <c r="E102" s="25">
        <v>0</v>
      </c>
      <c r="F102" s="25">
        <v>1</v>
      </c>
      <c r="G102" s="25">
        <v>0</v>
      </c>
      <c r="H102" s="19">
        <v>54.308</v>
      </c>
      <c r="I102" s="19">
        <v>45.692</v>
      </c>
      <c r="J102" s="25">
        <v>2.696</v>
      </c>
      <c r="K102" s="25">
        <v>14.304</v>
      </c>
      <c r="L102" s="25">
        <f t="shared" si="11"/>
        <v>17</v>
      </c>
      <c r="M102" s="25">
        <v>49.038</v>
      </c>
      <c r="N102" s="25">
        <v>17.926</v>
      </c>
      <c r="O102" s="25">
        <v>9.001</v>
      </c>
      <c r="P102" s="25">
        <f t="shared" si="12"/>
        <v>75.965</v>
      </c>
      <c r="Q102" s="25">
        <v>6.324</v>
      </c>
      <c r="R102" s="19">
        <v>0.712</v>
      </c>
      <c r="S102" s="19">
        <f t="shared" si="13"/>
        <v>7.036</v>
      </c>
      <c r="T102" s="19">
        <v>1172</v>
      </c>
      <c r="U102" s="19">
        <f t="shared" si="14"/>
        <v>0.242148760330578</v>
      </c>
      <c r="V102" s="19">
        <v>1446</v>
      </c>
      <c r="W102" s="19">
        <f t="shared" si="15"/>
        <v>0.298760330578512</v>
      </c>
      <c r="X102" s="19">
        <v>2222</v>
      </c>
      <c r="Y102" s="14">
        <f t="shared" si="16"/>
        <v>0.459090909090909</v>
      </c>
      <c r="Z102" s="14">
        <v>4840</v>
      </c>
      <c r="AA102" s="25">
        <v>1.7</v>
      </c>
      <c r="AB102" s="25">
        <v>25.6</v>
      </c>
      <c r="AC102" s="25">
        <v>193.2</v>
      </c>
      <c r="AD102" s="25">
        <v>23.8</v>
      </c>
      <c r="AE102" s="25">
        <v>133.6</v>
      </c>
      <c r="AF102" s="25">
        <v>39.3</v>
      </c>
      <c r="AG102" s="25">
        <v>18.2</v>
      </c>
      <c r="AH102" s="25">
        <v>26.5</v>
      </c>
      <c r="AI102" s="25">
        <v>18.4</v>
      </c>
      <c r="AJ102" s="25">
        <v>22.9</v>
      </c>
      <c r="AK102" s="25">
        <f t="shared" si="17"/>
        <v>125.3</v>
      </c>
      <c r="AL102" s="25">
        <v>33.7</v>
      </c>
      <c r="AM102" s="25">
        <v>7.5</v>
      </c>
      <c r="AN102" s="19">
        <v>3.3</v>
      </c>
      <c r="AO102" s="25">
        <v>7.3</v>
      </c>
      <c r="AP102" s="25">
        <f t="shared" si="18"/>
        <v>51.8</v>
      </c>
      <c r="AQ102" s="25">
        <v>16.2</v>
      </c>
      <c r="AR102" s="25">
        <v>124.9</v>
      </c>
      <c r="AS102" s="25">
        <v>68.9</v>
      </c>
      <c r="AT102" s="25">
        <v>123.1</v>
      </c>
      <c r="AU102" s="25">
        <f t="shared" si="19"/>
        <v>333.1</v>
      </c>
      <c r="AV102" s="25">
        <v>27.5</v>
      </c>
      <c r="AW102" s="19">
        <v>2377.231</v>
      </c>
      <c r="AX102" s="25">
        <v>5306.289</v>
      </c>
      <c r="AY102" s="19">
        <v>7683.52</v>
      </c>
      <c r="AZ102" s="25">
        <v>1351.824</v>
      </c>
      <c r="BA102" s="25">
        <v>8987.409</v>
      </c>
      <c r="BB102" s="25">
        <v>10339.232</v>
      </c>
      <c r="BC102" s="25">
        <f t="shared" si="20"/>
        <v>0.440140523059459</v>
      </c>
    </row>
    <row r="103" ht="14" spans="1:55">
      <c r="A103" s="29">
        <v>2022</v>
      </c>
      <c r="B103" s="29">
        <v>410000</v>
      </c>
      <c r="C103" s="30" t="s">
        <v>60</v>
      </c>
      <c r="D103" s="25">
        <v>0</v>
      </c>
      <c r="E103" s="25">
        <v>0</v>
      </c>
      <c r="F103" s="25">
        <v>1</v>
      </c>
      <c r="G103" s="25">
        <v>0</v>
      </c>
      <c r="H103" s="19">
        <v>54.14</v>
      </c>
      <c r="I103" s="19">
        <v>45.86</v>
      </c>
      <c r="J103" s="25">
        <v>3.377</v>
      </c>
      <c r="K103" s="25">
        <v>17.229</v>
      </c>
      <c r="L103" s="25">
        <f t="shared" si="11"/>
        <v>20.606</v>
      </c>
      <c r="M103" s="25">
        <v>46.449</v>
      </c>
      <c r="N103" s="25">
        <v>15.891</v>
      </c>
      <c r="O103" s="25">
        <v>9.665</v>
      </c>
      <c r="P103" s="25">
        <f t="shared" si="12"/>
        <v>72.005</v>
      </c>
      <c r="Q103" s="25">
        <v>6.64</v>
      </c>
      <c r="R103" s="19">
        <v>0.749</v>
      </c>
      <c r="S103" s="19">
        <f t="shared" si="13"/>
        <v>7.389</v>
      </c>
      <c r="T103" s="19">
        <v>1320</v>
      </c>
      <c r="U103" s="19">
        <f t="shared" si="14"/>
        <v>0.27603513174404</v>
      </c>
      <c r="V103" s="19">
        <v>1356</v>
      </c>
      <c r="W103" s="19">
        <f t="shared" si="15"/>
        <v>0.283563362609787</v>
      </c>
      <c r="X103" s="19">
        <v>2106</v>
      </c>
      <c r="Y103" s="14">
        <f t="shared" si="16"/>
        <v>0.440401505646173</v>
      </c>
      <c r="Z103" s="14">
        <v>4782</v>
      </c>
      <c r="AA103" s="25">
        <v>1.5</v>
      </c>
      <c r="AB103" s="25">
        <v>25.6</v>
      </c>
      <c r="AC103" s="25">
        <v>179.1</v>
      </c>
      <c r="AD103" s="25">
        <v>21.3</v>
      </c>
      <c r="AE103" s="25">
        <v>119.4</v>
      </c>
      <c r="AF103" s="25">
        <v>36.2</v>
      </c>
      <c r="AG103" s="25">
        <v>18.6</v>
      </c>
      <c r="AH103" s="25">
        <v>25.2</v>
      </c>
      <c r="AI103" s="25">
        <v>18</v>
      </c>
      <c r="AJ103" s="25">
        <v>26.8</v>
      </c>
      <c r="AK103" s="25">
        <f t="shared" si="17"/>
        <v>124.8</v>
      </c>
      <c r="AL103" s="25">
        <v>31.5</v>
      </c>
      <c r="AM103" s="25">
        <v>7</v>
      </c>
      <c r="AN103" s="19">
        <v>5.6</v>
      </c>
      <c r="AO103" s="25">
        <v>6.7</v>
      </c>
      <c r="AP103" s="25">
        <f t="shared" si="18"/>
        <v>50.8</v>
      </c>
      <c r="AQ103" s="25">
        <v>16.2</v>
      </c>
      <c r="AR103" s="25">
        <v>119.5</v>
      </c>
      <c r="AS103" s="25">
        <v>71.1</v>
      </c>
      <c r="AT103" s="25">
        <v>120.9</v>
      </c>
      <c r="AU103" s="25">
        <f t="shared" si="19"/>
        <v>327.7</v>
      </c>
      <c r="AV103" s="25">
        <v>23.6</v>
      </c>
      <c r="AW103" s="19">
        <v>2484.886</v>
      </c>
      <c r="AX103" s="25">
        <v>5295.973</v>
      </c>
      <c r="AY103" s="19">
        <v>7780.858</v>
      </c>
      <c r="AZ103" s="25">
        <v>1395.724</v>
      </c>
      <c r="BA103" s="25">
        <v>8698.173</v>
      </c>
      <c r="BB103" s="25">
        <v>10093.897</v>
      </c>
      <c r="BC103" s="25">
        <f t="shared" si="20"/>
        <v>0.457632915790925</v>
      </c>
    </row>
    <row r="104" ht="14" spans="1:55">
      <c r="A104" s="29">
        <v>2013</v>
      </c>
      <c r="B104" s="29">
        <v>230000</v>
      </c>
      <c r="C104" s="30" t="s">
        <v>61</v>
      </c>
      <c r="D104" s="25">
        <v>0</v>
      </c>
      <c r="E104" s="25">
        <v>0</v>
      </c>
      <c r="F104" s="25">
        <v>0</v>
      </c>
      <c r="G104" s="25">
        <v>1</v>
      </c>
      <c r="H104" s="19">
        <v>53.5329999999994</v>
      </c>
      <c r="I104" s="19">
        <v>46.4670000000006</v>
      </c>
      <c r="J104" s="25">
        <v>1.6</v>
      </c>
      <c r="K104" s="25">
        <v>21.481</v>
      </c>
      <c r="L104" s="25">
        <f t="shared" si="11"/>
        <v>23.081</v>
      </c>
      <c r="M104" s="25">
        <v>53.227</v>
      </c>
      <c r="N104" s="25">
        <v>12.74</v>
      </c>
      <c r="O104" s="25">
        <v>6.598</v>
      </c>
      <c r="P104" s="25">
        <f t="shared" si="12"/>
        <v>72.565</v>
      </c>
      <c r="Q104" s="25">
        <v>4.124</v>
      </c>
      <c r="R104" s="19">
        <v>0.231</v>
      </c>
      <c r="S104" s="19">
        <f t="shared" si="13"/>
        <v>4.355</v>
      </c>
      <c r="T104" s="19">
        <v>744.170029999994</v>
      </c>
      <c r="U104" s="19">
        <f t="shared" si="14"/>
        <v>0.361179208790566</v>
      </c>
      <c r="V104" s="19">
        <v>405.36808</v>
      </c>
      <c r="W104" s="19">
        <f t="shared" si="15"/>
        <v>0.196743373827285</v>
      </c>
      <c r="X104" s="19">
        <v>918.085930000001</v>
      </c>
      <c r="Y104" s="14">
        <f t="shared" si="16"/>
        <v>0.445588422580192</v>
      </c>
      <c r="Z104" s="14">
        <v>2060.39</v>
      </c>
      <c r="AA104" s="25">
        <v>79.9</v>
      </c>
      <c r="AB104" s="25">
        <v>38.4</v>
      </c>
      <c r="AC104" s="25">
        <v>65</v>
      </c>
      <c r="AD104" s="25">
        <v>18.3</v>
      </c>
      <c r="AE104" s="25">
        <v>37.2</v>
      </c>
      <c r="AF104" s="25">
        <v>28.1</v>
      </c>
      <c r="AG104" s="25">
        <v>7.1</v>
      </c>
      <c r="AH104" s="25">
        <v>15.9</v>
      </c>
      <c r="AI104" s="25">
        <v>11.2</v>
      </c>
      <c r="AJ104" s="25">
        <v>5.9</v>
      </c>
      <c r="AK104" s="25">
        <f t="shared" si="17"/>
        <v>68.2</v>
      </c>
      <c r="AL104" s="25">
        <v>19.7</v>
      </c>
      <c r="AM104" s="25">
        <v>4.9</v>
      </c>
      <c r="AN104" s="19">
        <v>4.7</v>
      </c>
      <c r="AO104" s="25">
        <v>4.6</v>
      </c>
      <c r="AP104" s="25">
        <f t="shared" si="18"/>
        <v>33.9</v>
      </c>
      <c r="AQ104" s="25">
        <v>10.2</v>
      </c>
      <c r="AR104" s="25">
        <v>45.2</v>
      </c>
      <c r="AS104" s="25">
        <v>22.3</v>
      </c>
      <c r="AT104" s="25">
        <v>43.3</v>
      </c>
      <c r="AU104" s="25">
        <f t="shared" si="19"/>
        <v>121</v>
      </c>
      <c r="AV104" s="25">
        <v>6</v>
      </c>
      <c r="AW104" s="19">
        <v>1062.064</v>
      </c>
      <c r="AX104" s="25">
        <v>815.808</v>
      </c>
      <c r="AY104" s="19">
        <v>1877.872</v>
      </c>
      <c r="AZ104" s="25">
        <v>868.086</v>
      </c>
      <c r="BA104" s="25">
        <v>712.298</v>
      </c>
      <c r="BB104" s="25">
        <v>1580.384</v>
      </c>
      <c r="BC104" s="25">
        <f t="shared" si="20"/>
        <v>1.11485585536855</v>
      </c>
    </row>
    <row r="105" ht="14" spans="1:55">
      <c r="A105" s="29">
        <v>2014</v>
      </c>
      <c r="B105" s="29">
        <v>230000</v>
      </c>
      <c r="C105" s="30" t="s">
        <v>61</v>
      </c>
      <c r="D105" s="25">
        <v>0</v>
      </c>
      <c r="E105" s="25">
        <v>0</v>
      </c>
      <c r="F105" s="25">
        <v>0</v>
      </c>
      <c r="G105" s="25">
        <v>1</v>
      </c>
      <c r="H105" s="19">
        <v>57</v>
      </c>
      <c r="I105" s="19">
        <v>43</v>
      </c>
      <c r="J105" s="25">
        <v>0.8</v>
      </c>
      <c r="K105" s="25">
        <v>19.7</v>
      </c>
      <c r="L105" s="25">
        <f t="shared" si="11"/>
        <v>20.5</v>
      </c>
      <c r="M105" s="25">
        <v>54.5</v>
      </c>
      <c r="N105" s="25">
        <v>13.4</v>
      </c>
      <c r="O105" s="25">
        <v>7</v>
      </c>
      <c r="P105" s="25">
        <f t="shared" si="12"/>
        <v>74.9</v>
      </c>
      <c r="Q105" s="25">
        <v>4.4</v>
      </c>
      <c r="R105" s="19">
        <v>0.2</v>
      </c>
      <c r="S105" s="19">
        <f t="shared" si="13"/>
        <v>4.6</v>
      </c>
      <c r="T105" s="19">
        <v>719.19667</v>
      </c>
      <c r="U105" s="19">
        <f t="shared" si="14"/>
        <v>0.369576911613566</v>
      </c>
      <c r="V105" s="19">
        <v>377.524</v>
      </c>
      <c r="W105" s="19">
        <f t="shared" si="15"/>
        <v>0.194</v>
      </c>
      <c r="X105" s="19">
        <v>849.59135</v>
      </c>
      <c r="Y105" s="14">
        <f t="shared" si="16"/>
        <v>0.436583427543679</v>
      </c>
      <c r="Z105" s="14">
        <v>1946</v>
      </c>
      <c r="AA105" s="25">
        <v>71.1</v>
      </c>
      <c r="AB105" s="25">
        <v>35.9</v>
      </c>
      <c r="AC105" s="25">
        <v>61.3</v>
      </c>
      <c r="AD105" s="25">
        <v>18.1</v>
      </c>
      <c r="AE105" s="25">
        <v>33.8</v>
      </c>
      <c r="AF105" s="25">
        <v>27.7</v>
      </c>
      <c r="AG105" s="25">
        <v>7.6</v>
      </c>
      <c r="AH105" s="25">
        <v>16.9</v>
      </c>
      <c r="AI105" s="25">
        <v>11.5</v>
      </c>
      <c r="AJ105" s="25">
        <v>6.2</v>
      </c>
      <c r="AK105" s="25">
        <f t="shared" si="17"/>
        <v>69.9</v>
      </c>
      <c r="AL105" s="25">
        <v>18.7</v>
      </c>
      <c r="AM105" s="25">
        <v>4.5</v>
      </c>
      <c r="AN105" s="19">
        <v>4.3</v>
      </c>
      <c r="AO105" s="25">
        <v>4.1</v>
      </c>
      <c r="AP105" s="25">
        <f t="shared" si="18"/>
        <v>31.6</v>
      </c>
      <c r="AQ105" s="25">
        <v>10.2</v>
      </c>
      <c r="AR105" s="25">
        <v>45.4</v>
      </c>
      <c r="AS105" s="25">
        <v>22.6</v>
      </c>
      <c r="AT105" s="25">
        <v>44.8</v>
      </c>
      <c r="AU105" s="25">
        <f t="shared" si="19"/>
        <v>123</v>
      </c>
      <c r="AV105" s="25">
        <v>6</v>
      </c>
      <c r="AW105" s="19">
        <v>1090.1</v>
      </c>
      <c r="AX105" s="25">
        <v>821.8</v>
      </c>
      <c r="AY105" s="19">
        <v>1911.9</v>
      </c>
      <c r="AZ105" s="25">
        <v>873.9</v>
      </c>
      <c r="BA105" s="25">
        <v>712.5</v>
      </c>
      <c r="BB105" s="25">
        <v>1586.4</v>
      </c>
      <c r="BC105" s="25">
        <f t="shared" si="20"/>
        <v>1.12103569775067</v>
      </c>
    </row>
    <row r="106" ht="14" spans="1:55">
      <c r="A106" s="29">
        <v>2015</v>
      </c>
      <c r="B106" s="29">
        <v>230000</v>
      </c>
      <c r="C106" s="30" t="s">
        <v>61</v>
      </c>
      <c r="D106" s="25">
        <v>0</v>
      </c>
      <c r="E106" s="25">
        <v>0</v>
      </c>
      <c r="F106" s="25">
        <v>0</v>
      </c>
      <c r="G106" s="25">
        <v>1</v>
      </c>
      <c r="H106" s="19">
        <v>60.467</v>
      </c>
      <c r="I106" s="19">
        <v>39.533</v>
      </c>
      <c r="J106" s="25">
        <v>0.909</v>
      </c>
      <c r="K106" s="25">
        <v>14.009</v>
      </c>
      <c r="L106" s="25">
        <f t="shared" si="11"/>
        <v>14.918</v>
      </c>
      <c r="M106" s="25">
        <v>49.781</v>
      </c>
      <c r="N106" s="25">
        <v>12.727</v>
      </c>
      <c r="O106" s="25">
        <v>9.396</v>
      </c>
      <c r="P106" s="25">
        <f t="shared" si="12"/>
        <v>71.904</v>
      </c>
      <c r="Q106" s="25">
        <v>8.084</v>
      </c>
      <c r="R106" s="19">
        <v>0.487</v>
      </c>
      <c r="S106" s="19">
        <f t="shared" si="13"/>
        <v>8.571</v>
      </c>
      <c r="T106" s="19">
        <v>694.22331</v>
      </c>
      <c r="U106" s="19">
        <f t="shared" si="14"/>
        <v>0.380396334246575</v>
      </c>
      <c r="V106" s="19">
        <v>349.67992</v>
      </c>
      <c r="W106" s="19">
        <f t="shared" si="15"/>
        <v>0.191605435616438</v>
      </c>
      <c r="X106" s="19">
        <v>781.09677</v>
      </c>
      <c r="Y106" s="14">
        <f t="shared" si="16"/>
        <v>0.427998230136986</v>
      </c>
      <c r="Z106" s="14">
        <v>1825</v>
      </c>
      <c r="AA106" s="25">
        <v>65.5</v>
      </c>
      <c r="AB106" s="25">
        <v>31.9</v>
      </c>
      <c r="AC106" s="25">
        <v>57.4</v>
      </c>
      <c r="AD106" s="25">
        <v>18.1</v>
      </c>
      <c r="AE106" s="25">
        <v>31.1</v>
      </c>
      <c r="AF106" s="25">
        <v>27.5</v>
      </c>
      <c r="AG106" s="25">
        <v>7.4</v>
      </c>
      <c r="AH106" s="25">
        <v>18.7</v>
      </c>
      <c r="AI106" s="25">
        <v>11.2</v>
      </c>
      <c r="AJ106" s="25">
        <v>6.3</v>
      </c>
      <c r="AK106" s="25">
        <f t="shared" si="17"/>
        <v>71.1</v>
      </c>
      <c r="AL106" s="25">
        <v>18.2</v>
      </c>
      <c r="AM106" s="25">
        <v>4.2</v>
      </c>
      <c r="AN106" s="19">
        <v>4.3</v>
      </c>
      <c r="AO106" s="25">
        <v>4</v>
      </c>
      <c r="AP106" s="25">
        <f t="shared" si="18"/>
        <v>30.7</v>
      </c>
      <c r="AQ106" s="25">
        <v>10.9</v>
      </c>
      <c r="AR106" s="25">
        <v>44.3</v>
      </c>
      <c r="AS106" s="25">
        <v>22.4</v>
      </c>
      <c r="AT106" s="25">
        <v>44.4</v>
      </c>
      <c r="AU106" s="25">
        <f t="shared" si="19"/>
        <v>122</v>
      </c>
      <c r="AV106" s="25">
        <v>6</v>
      </c>
      <c r="AW106" s="19">
        <v>1118.004</v>
      </c>
      <c r="AX106" s="25">
        <v>827.776</v>
      </c>
      <c r="AY106" s="19">
        <v>1945.78</v>
      </c>
      <c r="AZ106" s="25">
        <v>873.737</v>
      </c>
      <c r="BA106" s="25">
        <v>721.091</v>
      </c>
      <c r="BB106" s="25">
        <v>1594.828</v>
      </c>
      <c r="BC106" s="25">
        <f t="shared" si="20"/>
        <v>1.12243540350624</v>
      </c>
    </row>
    <row r="107" ht="14" spans="1:55">
      <c r="A107" s="29">
        <v>2016</v>
      </c>
      <c r="B107" s="29">
        <v>230000</v>
      </c>
      <c r="C107" s="30" t="s">
        <v>61</v>
      </c>
      <c r="D107" s="25">
        <v>0</v>
      </c>
      <c r="E107" s="25">
        <v>0</v>
      </c>
      <c r="F107" s="25">
        <v>0</v>
      </c>
      <c r="G107" s="25">
        <v>1</v>
      </c>
      <c r="H107" s="19">
        <v>58.698</v>
      </c>
      <c r="I107" s="19">
        <v>41.302</v>
      </c>
      <c r="J107" s="25">
        <v>0.696</v>
      </c>
      <c r="K107" s="25">
        <v>15.16</v>
      </c>
      <c r="L107" s="25">
        <f t="shared" si="11"/>
        <v>15.856</v>
      </c>
      <c r="M107" s="25">
        <v>50.07</v>
      </c>
      <c r="N107" s="25">
        <v>12.072</v>
      </c>
      <c r="O107" s="25">
        <v>8.838</v>
      </c>
      <c r="P107" s="25">
        <f t="shared" si="12"/>
        <v>70.98</v>
      </c>
      <c r="Q107" s="25">
        <v>8.216</v>
      </c>
      <c r="R107" s="19">
        <v>0.733</v>
      </c>
      <c r="S107" s="19">
        <f t="shared" si="13"/>
        <v>8.949</v>
      </c>
      <c r="T107" s="19">
        <v>664.224</v>
      </c>
      <c r="U107" s="19">
        <f t="shared" si="14"/>
        <v>0.374</v>
      </c>
      <c r="V107" s="19">
        <v>319.68</v>
      </c>
      <c r="W107" s="19">
        <f t="shared" si="15"/>
        <v>0.18</v>
      </c>
      <c r="X107" s="19">
        <v>792.096</v>
      </c>
      <c r="Y107" s="14">
        <f t="shared" si="16"/>
        <v>0.446</v>
      </c>
      <c r="Z107" s="14">
        <v>1776</v>
      </c>
      <c r="AA107" s="25">
        <v>66.8</v>
      </c>
      <c r="AB107" s="25">
        <v>27.9</v>
      </c>
      <c r="AC107" s="25">
        <v>52</v>
      </c>
      <c r="AD107" s="25">
        <v>17.6</v>
      </c>
      <c r="AE107" s="25">
        <v>28.4</v>
      </c>
      <c r="AF107" s="25">
        <v>27.1</v>
      </c>
      <c r="AG107" s="25">
        <v>7.3</v>
      </c>
      <c r="AH107" s="25">
        <v>21.3</v>
      </c>
      <c r="AI107" s="25">
        <v>11.1</v>
      </c>
      <c r="AJ107" s="25">
        <v>6.9</v>
      </c>
      <c r="AK107" s="25">
        <f t="shared" si="17"/>
        <v>73.7</v>
      </c>
      <c r="AL107" s="25">
        <v>18.6</v>
      </c>
      <c r="AM107" s="25">
        <v>4</v>
      </c>
      <c r="AN107" s="19">
        <v>4</v>
      </c>
      <c r="AO107" s="25">
        <v>3.9</v>
      </c>
      <c r="AP107" s="25">
        <f t="shared" si="18"/>
        <v>30.5</v>
      </c>
      <c r="AQ107" s="25">
        <v>11.1</v>
      </c>
      <c r="AR107" s="25">
        <v>43</v>
      </c>
      <c r="AS107" s="25">
        <v>22.9</v>
      </c>
      <c r="AT107" s="25">
        <v>44.6</v>
      </c>
      <c r="AU107" s="25">
        <f t="shared" si="19"/>
        <v>121.6</v>
      </c>
      <c r="AV107" s="25">
        <v>6.1</v>
      </c>
      <c r="AW107" s="19">
        <v>1144.142</v>
      </c>
      <c r="AX107" s="25">
        <v>837.584</v>
      </c>
      <c r="AY107" s="19">
        <v>1981.726</v>
      </c>
      <c r="AZ107" s="25">
        <v>879.51</v>
      </c>
      <c r="BA107" s="25">
        <v>720.342</v>
      </c>
      <c r="BB107" s="25">
        <v>1599.853</v>
      </c>
      <c r="BC107" s="25">
        <f t="shared" si="20"/>
        <v>1.12709047009585</v>
      </c>
    </row>
    <row r="108" ht="14" spans="1:55">
      <c r="A108" s="29">
        <v>2017</v>
      </c>
      <c r="B108" s="29">
        <v>230000</v>
      </c>
      <c r="C108" s="30" t="s">
        <v>61</v>
      </c>
      <c r="D108" s="25">
        <v>0</v>
      </c>
      <c r="E108" s="25">
        <v>0</v>
      </c>
      <c r="F108" s="25">
        <v>0</v>
      </c>
      <c r="G108" s="25">
        <v>1</v>
      </c>
      <c r="H108" s="19">
        <v>57.156</v>
      </c>
      <c r="I108" s="19">
        <v>42.844</v>
      </c>
      <c r="J108" s="25">
        <v>0.771</v>
      </c>
      <c r="K108" s="25">
        <v>15.233</v>
      </c>
      <c r="L108" s="25">
        <f t="shared" si="11"/>
        <v>16.004</v>
      </c>
      <c r="M108" s="25">
        <v>51.052</v>
      </c>
      <c r="N108" s="25">
        <v>11.766</v>
      </c>
      <c r="O108" s="25">
        <v>8.318</v>
      </c>
      <c r="P108" s="25">
        <f t="shared" si="12"/>
        <v>71.136</v>
      </c>
      <c r="Q108" s="25">
        <v>8.035</v>
      </c>
      <c r="R108" s="19">
        <v>0.608</v>
      </c>
      <c r="S108" s="19">
        <f t="shared" si="13"/>
        <v>8.643</v>
      </c>
      <c r="T108" s="19">
        <v>632.028</v>
      </c>
      <c r="U108" s="19">
        <f t="shared" si="14"/>
        <v>0.372</v>
      </c>
      <c r="V108" s="19">
        <v>295.626</v>
      </c>
      <c r="W108" s="19">
        <f t="shared" si="15"/>
        <v>0.174</v>
      </c>
      <c r="X108" s="19">
        <v>771.346</v>
      </c>
      <c r="Y108" s="14">
        <f t="shared" si="16"/>
        <v>0.454</v>
      </c>
      <c r="Z108" s="14">
        <v>1699</v>
      </c>
      <c r="AA108" s="25">
        <v>67.7</v>
      </c>
      <c r="AB108" s="25">
        <v>25.6</v>
      </c>
      <c r="AC108" s="25">
        <v>45.7</v>
      </c>
      <c r="AD108" s="25">
        <v>16.8</v>
      </c>
      <c r="AE108" s="25">
        <v>24.7</v>
      </c>
      <c r="AF108" s="25">
        <v>27</v>
      </c>
      <c r="AG108" s="25">
        <v>8.2</v>
      </c>
      <c r="AH108" s="25">
        <v>22.7</v>
      </c>
      <c r="AI108" s="25">
        <v>10.7</v>
      </c>
      <c r="AJ108" s="25">
        <v>8</v>
      </c>
      <c r="AK108" s="25">
        <f t="shared" si="17"/>
        <v>76.6</v>
      </c>
      <c r="AL108" s="25">
        <v>17.8</v>
      </c>
      <c r="AM108" s="25">
        <v>3.7</v>
      </c>
      <c r="AN108" s="19">
        <v>3.9</v>
      </c>
      <c r="AO108" s="25">
        <v>3.8</v>
      </c>
      <c r="AP108" s="25">
        <f t="shared" si="18"/>
        <v>29.2</v>
      </c>
      <c r="AQ108" s="25">
        <v>11</v>
      </c>
      <c r="AR108" s="25">
        <v>41.8</v>
      </c>
      <c r="AS108" s="25">
        <v>23.1</v>
      </c>
      <c r="AT108" s="25">
        <v>44.7</v>
      </c>
      <c r="AU108" s="25">
        <f t="shared" si="19"/>
        <v>120.6</v>
      </c>
      <c r="AV108" s="25">
        <v>6.3</v>
      </c>
      <c r="AW108" s="19">
        <v>1206.088</v>
      </c>
      <c r="AX108" s="25">
        <v>839.322</v>
      </c>
      <c r="AY108" s="19">
        <v>2045.41</v>
      </c>
      <c r="AZ108" s="25">
        <v>843.788</v>
      </c>
      <c r="BA108" s="25">
        <v>2048.85</v>
      </c>
      <c r="BB108" s="25">
        <v>2892.638</v>
      </c>
      <c r="BC108" s="25">
        <f t="shared" si="20"/>
        <v>0.881357763404945</v>
      </c>
    </row>
    <row r="109" ht="14" spans="1:55">
      <c r="A109" s="29">
        <v>2018</v>
      </c>
      <c r="B109" s="29">
        <v>230000</v>
      </c>
      <c r="C109" s="30" t="s">
        <v>61</v>
      </c>
      <c r="D109" s="25">
        <v>0</v>
      </c>
      <c r="E109" s="25">
        <v>0</v>
      </c>
      <c r="F109" s="25">
        <v>0</v>
      </c>
      <c r="G109" s="25">
        <v>1</v>
      </c>
      <c r="H109" s="19">
        <v>56.556</v>
      </c>
      <c r="I109" s="19">
        <v>43.444</v>
      </c>
      <c r="J109" s="25">
        <v>0.8</v>
      </c>
      <c r="K109" s="25">
        <v>15.113</v>
      </c>
      <c r="L109" s="25">
        <f t="shared" si="11"/>
        <v>15.913</v>
      </c>
      <c r="M109" s="25">
        <v>51.28</v>
      </c>
      <c r="N109" s="25">
        <v>11.622</v>
      </c>
      <c r="O109" s="25">
        <v>8.678</v>
      </c>
      <c r="P109" s="25">
        <f t="shared" si="12"/>
        <v>71.58</v>
      </c>
      <c r="Q109" s="25">
        <v>7.801</v>
      </c>
      <c r="R109" s="19">
        <v>0.595</v>
      </c>
      <c r="S109" s="19">
        <f t="shared" si="13"/>
        <v>8.396</v>
      </c>
      <c r="T109" s="19">
        <v>606.16638</v>
      </c>
      <c r="U109" s="19">
        <f t="shared" si="14"/>
        <v>0.370743963302752</v>
      </c>
      <c r="V109" s="19">
        <v>272.72108</v>
      </c>
      <c r="W109" s="19">
        <f t="shared" si="15"/>
        <v>0.166801883792049</v>
      </c>
      <c r="X109" s="19">
        <v>756.11254</v>
      </c>
      <c r="Y109" s="14">
        <f t="shared" si="16"/>
        <v>0.462454152905199</v>
      </c>
      <c r="Z109" s="14">
        <v>1635</v>
      </c>
      <c r="AA109" s="25">
        <v>65.6</v>
      </c>
      <c r="AB109" s="25">
        <v>26.9</v>
      </c>
      <c r="AC109" s="25">
        <v>38.6</v>
      </c>
      <c r="AD109" s="25">
        <v>13.7</v>
      </c>
      <c r="AE109" s="25">
        <v>21.5</v>
      </c>
      <c r="AF109" s="25">
        <v>25</v>
      </c>
      <c r="AG109" s="25">
        <v>8</v>
      </c>
      <c r="AH109" s="25">
        <v>21.7</v>
      </c>
      <c r="AI109" s="25">
        <v>9.2</v>
      </c>
      <c r="AJ109" s="25">
        <v>10.8</v>
      </c>
      <c r="AK109" s="25">
        <f t="shared" si="17"/>
        <v>74.7</v>
      </c>
      <c r="AL109" s="25">
        <v>15.7</v>
      </c>
      <c r="AM109" s="25">
        <v>3.2</v>
      </c>
      <c r="AN109" s="19">
        <v>4.2</v>
      </c>
      <c r="AO109" s="25">
        <v>3.5</v>
      </c>
      <c r="AP109" s="25">
        <f t="shared" si="18"/>
        <v>26.6</v>
      </c>
      <c r="AQ109" s="25">
        <v>10.4</v>
      </c>
      <c r="AR109" s="25">
        <v>40.9</v>
      </c>
      <c r="AS109" s="25">
        <v>23</v>
      </c>
      <c r="AT109" s="25">
        <v>44.3</v>
      </c>
      <c r="AU109" s="25">
        <f t="shared" si="19"/>
        <v>118.6</v>
      </c>
      <c r="AV109" s="25">
        <v>6.4</v>
      </c>
      <c r="AW109" s="19">
        <v>1308.467</v>
      </c>
      <c r="AX109" s="25">
        <v>896.804</v>
      </c>
      <c r="AY109" s="19">
        <v>2205.271</v>
      </c>
      <c r="AZ109" s="25">
        <v>856.232</v>
      </c>
      <c r="BA109" s="25">
        <v>2052.319</v>
      </c>
      <c r="BB109" s="25">
        <v>2908.551</v>
      </c>
      <c r="BC109" s="25">
        <f t="shared" si="20"/>
        <v>0.887720533704364</v>
      </c>
    </row>
    <row r="110" ht="14" spans="1:55">
      <c r="A110" s="29">
        <v>2019</v>
      </c>
      <c r="B110" s="29">
        <v>230000</v>
      </c>
      <c r="C110" s="30" t="s">
        <v>61</v>
      </c>
      <c r="D110" s="25">
        <v>0</v>
      </c>
      <c r="E110" s="25">
        <v>0</v>
      </c>
      <c r="F110" s="25">
        <v>0</v>
      </c>
      <c r="G110" s="25">
        <v>1</v>
      </c>
      <c r="H110" s="19">
        <v>58.3</v>
      </c>
      <c r="I110" s="19">
        <v>41.7</v>
      </c>
      <c r="J110" s="25">
        <v>0.7</v>
      </c>
      <c r="K110" s="25">
        <v>14.6</v>
      </c>
      <c r="L110" s="25">
        <f t="shared" si="11"/>
        <v>15.3</v>
      </c>
      <c r="M110" s="25">
        <v>46.6</v>
      </c>
      <c r="N110" s="25">
        <v>16.7</v>
      </c>
      <c r="O110" s="25">
        <v>11.5</v>
      </c>
      <c r="P110" s="25">
        <f t="shared" si="12"/>
        <v>74.8</v>
      </c>
      <c r="Q110" s="25">
        <v>9.4</v>
      </c>
      <c r="R110" s="19">
        <v>0.6</v>
      </c>
      <c r="S110" s="19">
        <f t="shared" si="13"/>
        <v>10</v>
      </c>
      <c r="T110" s="19">
        <v>569.2</v>
      </c>
      <c r="U110" s="19">
        <f t="shared" si="14"/>
        <v>0.366989039329465</v>
      </c>
      <c r="V110" s="19">
        <v>257.5</v>
      </c>
      <c r="W110" s="19">
        <f t="shared" si="15"/>
        <v>0.16602192134107</v>
      </c>
      <c r="X110" s="19">
        <v>724.3</v>
      </c>
      <c r="Y110" s="14">
        <f t="shared" si="16"/>
        <v>0.466989039329465</v>
      </c>
      <c r="Z110" s="14">
        <v>1551</v>
      </c>
      <c r="AA110" s="25">
        <v>40.7</v>
      </c>
      <c r="AB110" s="25">
        <v>23.4</v>
      </c>
      <c r="AC110" s="25">
        <v>30.1</v>
      </c>
      <c r="AD110" s="25">
        <v>14.5</v>
      </c>
      <c r="AE110" s="25">
        <v>17.4</v>
      </c>
      <c r="AF110" s="25">
        <v>25.8</v>
      </c>
      <c r="AG110" s="25">
        <v>8.8</v>
      </c>
      <c r="AH110" s="25">
        <v>23.4</v>
      </c>
      <c r="AI110" s="25">
        <v>8.6</v>
      </c>
      <c r="AJ110" s="25">
        <v>13.5</v>
      </c>
      <c r="AK110" s="25">
        <f t="shared" si="17"/>
        <v>80.1</v>
      </c>
      <c r="AL110" s="25">
        <v>11.2</v>
      </c>
      <c r="AM110" s="25">
        <v>1.4</v>
      </c>
      <c r="AN110" s="19">
        <v>2.8</v>
      </c>
      <c r="AO110" s="25">
        <v>2.8</v>
      </c>
      <c r="AP110" s="25">
        <f t="shared" si="18"/>
        <v>18.2</v>
      </c>
      <c r="AQ110" s="25">
        <v>6.7</v>
      </c>
      <c r="AR110" s="25">
        <v>39.6</v>
      </c>
      <c r="AS110" s="25">
        <v>24.9</v>
      </c>
      <c r="AT110" s="25">
        <v>48</v>
      </c>
      <c r="AU110" s="25">
        <f t="shared" si="19"/>
        <v>119.2</v>
      </c>
      <c r="AV110" s="25">
        <v>5.8</v>
      </c>
      <c r="AW110" s="19">
        <v>1364.9</v>
      </c>
      <c r="AX110" s="25">
        <v>916.7</v>
      </c>
      <c r="AY110" s="19">
        <v>2281.6</v>
      </c>
      <c r="AZ110" s="25">
        <v>873.6</v>
      </c>
      <c r="BA110" s="25">
        <v>1963.5</v>
      </c>
      <c r="BB110" s="25">
        <v>2837.1</v>
      </c>
      <c r="BC110" s="25">
        <f t="shared" si="20"/>
        <v>0.906140606199968</v>
      </c>
    </row>
    <row r="111" ht="14" spans="1:55">
      <c r="A111" s="29">
        <v>2020</v>
      </c>
      <c r="B111" s="29">
        <v>230000</v>
      </c>
      <c r="C111" s="30" t="s">
        <v>61</v>
      </c>
      <c r="D111" s="25">
        <v>0</v>
      </c>
      <c r="E111" s="25">
        <v>0</v>
      </c>
      <c r="F111" s="25">
        <v>0</v>
      </c>
      <c r="G111" s="25">
        <v>1</v>
      </c>
      <c r="H111" s="19">
        <v>58.6</v>
      </c>
      <c r="I111" s="19">
        <v>41.4</v>
      </c>
      <c r="J111" s="25">
        <v>0.7</v>
      </c>
      <c r="K111" s="25">
        <v>17.1</v>
      </c>
      <c r="L111" s="25">
        <f t="shared" si="11"/>
        <v>17.8</v>
      </c>
      <c r="M111" s="25">
        <v>47.6</v>
      </c>
      <c r="N111" s="25">
        <v>15.6</v>
      </c>
      <c r="O111" s="25">
        <v>9.8</v>
      </c>
      <c r="P111" s="25">
        <f t="shared" si="12"/>
        <v>73</v>
      </c>
      <c r="Q111" s="25">
        <v>8.7</v>
      </c>
      <c r="R111" s="19">
        <v>0.6</v>
      </c>
      <c r="S111" s="19">
        <f t="shared" si="13"/>
        <v>9.3</v>
      </c>
      <c r="T111" s="19">
        <v>538</v>
      </c>
      <c r="U111" s="19">
        <f t="shared" si="14"/>
        <v>0.365241004752206</v>
      </c>
      <c r="V111" s="19">
        <v>240</v>
      </c>
      <c r="W111" s="19">
        <f t="shared" si="15"/>
        <v>0.162932790224033</v>
      </c>
      <c r="X111" s="19">
        <v>695</v>
      </c>
      <c r="Y111" s="14">
        <f t="shared" si="16"/>
        <v>0.471826205023761</v>
      </c>
      <c r="Z111" s="14">
        <v>1473</v>
      </c>
      <c r="AA111" s="25">
        <v>20.1</v>
      </c>
      <c r="AB111" s="25">
        <v>23.6</v>
      </c>
      <c r="AC111" s="25">
        <v>28</v>
      </c>
      <c r="AD111" s="25">
        <v>13.9</v>
      </c>
      <c r="AE111" s="25">
        <v>14.7</v>
      </c>
      <c r="AF111" s="25">
        <v>23.4</v>
      </c>
      <c r="AG111" s="25">
        <v>8.6</v>
      </c>
      <c r="AH111" s="25">
        <v>24.3</v>
      </c>
      <c r="AI111" s="25">
        <v>5.6</v>
      </c>
      <c r="AJ111" s="25">
        <v>12.4</v>
      </c>
      <c r="AK111" s="25">
        <f t="shared" si="17"/>
        <v>74.3</v>
      </c>
      <c r="AL111" s="25">
        <v>10.9</v>
      </c>
      <c r="AM111" s="25">
        <v>1.4</v>
      </c>
      <c r="AN111" s="19">
        <v>1.2</v>
      </c>
      <c r="AO111" s="25">
        <v>2.5</v>
      </c>
      <c r="AP111" s="25">
        <f t="shared" si="18"/>
        <v>16</v>
      </c>
      <c r="AQ111" s="25">
        <v>6.5</v>
      </c>
      <c r="AR111" s="25">
        <v>39.8</v>
      </c>
      <c r="AS111" s="25">
        <v>26.5</v>
      </c>
      <c r="AT111" s="25">
        <v>47.7</v>
      </c>
      <c r="AU111" s="25">
        <f t="shared" si="19"/>
        <v>120.5</v>
      </c>
      <c r="AV111" s="25">
        <v>5.4</v>
      </c>
      <c r="AW111" s="19">
        <v>1411.4</v>
      </c>
      <c r="AX111" s="25">
        <v>908.7</v>
      </c>
      <c r="AY111" s="19">
        <v>2320.1</v>
      </c>
      <c r="AZ111" s="25">
        <v>876.4</v>
      </c>
      <c r="BA111" s="25">
        <v>1950.6</v>
      </c>
      <c r="BB111" s="25">
        <v>2827</v>
      </c>
      <c r="BC111" s="25">
        <f t="shared" si="20"/>
        <v>0.918346459548913</v>
      </c>
    </row>
    <row r="112" ht="14" spans="1:55">
      <c r="A112" s="29">
        <v>2021</v>
      </c>
      <c r="B112" s="29">
        <v>230000</v>
      </c>
      <c r="C112" s="30" t="s">
        <v>61</v>
      </c>
      <c r="D112" s="25">
        <v>0</v>
      </c>
      <c r="E112" s="25">
        <v>0</v>
      </c>
      <c r="F112" s="25">
        <v>0</v>
      </c>
      <c r="G112" s="25">
        <v>1</v>
      </c>
      <c r="H112" s="19">
        <v>57.49</v>
      </c>
      <c r="I112" s="19">
        <v>42.51</v>
      </c>
      <c r="J112" s="25">
        <v>0.759</v>
      </c>
      <c r="K112" s="25">
        <v>15.348</v>
      </c>
      <c r="L112" s="25">
        <f t="shared" si="11"/>
        <v>16.107</v>
      </c>
      <c r="M112" s="25">
        <v>45.303</v>
      </c>
      <c r="N112" s="25">
        <v>16.222</v>
      </c>
      <c r="O112" s="25">
        <v>10.779</v>
      </c>
      <c r="P112" s="25">
        <f t="shared" si="12"/>
        <v>72.304</v>
      </c>
      <c r="Q112" s="25">
        <v>10.662</v>
      </c>
      <c r="R112" s="19">
        <v>0.927</v>
      </c>
      <c r="S112" s="19">
        <f t="shared" si="13"/>
        <v>11.589</v>
      </c>
      <c r="T112" s="19">
        <v>516</v>
      </c>
      <c r="U112" s="19">
        <f t="shared" si="14"/>
        <v>0.363380281690141</v>
      </c>
      <c r="V112" s="19">
        <v>234</v>
      </c>
      <c r="W112" s="19">
        <f t="shared" si="15"/>
        <v>0.164788732394366</v>
      </c>
      <c r="X112" s="19">
        <v>670</v>
      </c>
      <c r="Y112" s="14">
        <f t="shared" si="16"/>
        <v>0.471830985915493</v>
      </c>
      <c r="Z112" s="14">
        <v>1420</v>
      </c>
      <c r="AA112" s="25">
        <v>20</v>
      </c>
      <c r="AB112" s="25">
        <v>23.2</v>
      </c>
      <c r="AC112" s="25">
        <v>26.4</v>
      </c>
      <c r="AD112" s="25">
        <v>15.6</v>
      </c>
      <c r="AE112" s="25">
        <v>12.5</v>
      </c>
      <c r="AF112" s="25">
        <v>23.4</v>
      </c>
      <c r="AG112" s="25">
        <v>5.8</v>
      </c>
      <c r="AH112" s="25">
        <v>20.8</v>
      </c>
      <c r="AI112" s="25">
        <v>6</v>
      </c>
      <c r="AJ112" s="25">
        <v>13.4</v>
      </c>
      <c r="AK112" s="25">
        <f t="shared" si="17"/>
        <v>69.4</v>
      </c>
      <c r="AL112" s="25">
        <v>10.3</v>
      </c>
      <c r="AM112" s="25">
        <v>1.5</v>
      </c>
      <c r="AN112" s="19">
        <v>1.5</v>
      </c>
      <c r="AO112" s="25">
        <v>2.3</v>
      </c>
      <c r="AP112" s="25">
        <f t="shared" si="18"/>
        <v>15.6</v>
      </c>
      <c r="AQ112" s="25">
        <v>6.8</v>
      </c>
      <c r="AR112" s="25">
        <v>40</v>
      </c>
      <c r="AS112" s="25">
        <v>26.4</v>
      </c>
      <c r="AT112" s="25">
        <v>49.6</v>
      </c>
      <c r="AU112" s="25">
        <f t="shared" si="19"/>
        <v>122.8</v>
      </c>
      <c r="AV112" s="25">
        <v>5.4</v>
      </c>
      <c r="AW112" s="19">
        <v>1446.648</v>
      </c>
      <c r="AX112" s="25">
        <v>889.88</v>
      </c>
      <c r="AY112" s="19">
        <v>2336.528</v>
      </c>
      <c r="AZ112" s="25">
        <v>884.853</v>
      </c>
      <c r="BA112" s="25">
        <v>1936.209</v>
      </c>
      <c r="BB112" s="25">
        <v>2821.062</v>
      </c>
      <c r="BC112" s="25">
        <f t="shared" si="20"/>
        <v>0.932803839727665</v>
      </c>
    </row>
    <row r="113" ht="14" spans="1:55">
      <c r="A113" s="29">
        <v>2022</v>
      </c>
      <c r="B113" s="29">
        <v>230000</v>
      </c>
      <c r="C113" s="30" t="s">
        <v>61</v>
      </c>
      <c r="D113" s="25">
        <v>0</v>
      </c>
      <c r="E113" s="25">
        <v>0</v>
      </c>
      <c r="F113" s="25">
        <v>0</v>
      </c>
      <c r="G113" s="25">
        <v>1</v>
      </c>
      <c r="H113" s="19">
        <v>58.305</v>
      </c>
      <c r="I113" s="19">
        <v>41.695</v>
      </c>
      <c r="J113" s="25">
        <v>0.751</v>
      </c>
      <c r="K113" s="25">
        <v>15.971</v>
      </c>
      <c r="L113" s="25">
        <f t="shared" si="11"/>
        <v>16.722</v>
      </c>
      <c r="M113" s="25">
        <v>44.577</v>
      </c>
      <c r="N113" s="25">
        <v>14.708</v>
      </c>
      <c r="O113" s="25">
        <v>11.25</v>
      </c>
      <c r="P113" s="25">
        <f t="shared" si="12"/>
        <v>70.535</v>
      </c>
      <c r="Q113" s="25">
        <v>11.712</v>
      </c>
      <c r="R113" s="19">
        <v>1.032</v>
      </c>
      <c r="S113" s="19">
        <f t="shared" si="13"/>
        <v>12.744</v>
      </c>
      <c r="T113" s="19">
        <v>518</v>
      </c>
      <c r="U113" s="19">
        <f t="shared" si="14"/>
        <v>0.383419689119171</v>
      </c>
      <c r="V113" s="19">
        <v>204</v>
      </c>
      <c r="W113" s="19">
        <f t="shared" si="15"/>
        <v>0.15099925980755</v>
      </c>
      <c r="X113" s="19">
        <v>629</v>
      </c>
      <c r="Y113" s="14">
        <f t="shared" si="16"/>
        <v>0.465581051073279</v>
      </c>
      <c r="Z113" s="14">
        <v>1351</v>
      </c>
      <c r="AA113" s="25">
        <v>17.5</v>
      </c>
      <c r="AB113" s="25">
        <v>22.1</v>
      </c>
      <c r="AC113" s="25">
        <v>25.9</v>
      </c>
      <c r="AD113" s="25">
        <v>14.7</v>
      </c>
      <c r="AE113" s="25">
        <v>11.5</v>
      </c>
      <c r="AF113" s="25">
        <v>22.5</v>
      </c>
      <c r="AG113" s="25">
        <v>5.9</v>
      </c>
      <c r="AH113" s="25">
        <v>17</v>
      </c>
      <c r="AI113" s="25">
        <v>5.7</v>
      </c>
      <c r="AJ113" s="25">
        <v>12.5</v>
      </c>
      <c r="AK113" s="25">
        <f t="shared" si="17"/>
        <v>63.6</v>
      </c>
      <c r="AL113" s="25">
        <v>10.1</v>
      </c>
      <c r="AM113" s="25">
        <v>1.5</v>
      </c>
      <c r="AN113" s="19">
        <v>1.2</v>
      </c>
      <c r="AO113" s="25">
        <v>2.3</v>
      </c>
      <c r="AP113" s="25">
        <f t="shared" si="18"/>
        <v>15.1</v>
      </c>
      <c r="AQ113" s="25">
        <v>6.5</v>
      </c>
      <c r="AR113" s="25">
        <v>38.7</v>
      </c>
      <c r="AS113" s="25">
        <v>26.1</v>
      </c>
      <c r="AT113" s="25">
        <v>51.4</v>
      </c>
      <c r="AU113" s="25">
        <f t="shared" si="19"/>
        <v>122.7</v>
      </c>
      <c r="AV113" s="25">
        <v>4.8</v>
      </c>
      <c r="AW113" s="19">
        <v>1481.89599999999</v>
      </c>
      <c r="AX113" s="25">
        <v>889.175</v>
      </c>
      <c r="AY113" s="19">
        <v>2352.956</v>
      </c>
      <c r="AZ113" s="25">
        <v>890.234</v>
      </c>
      <c r="BA113" s="25">
        <v>1877.54</v>
      </c>
      <c r="BB113" s="25">
        <v>2767.774</v>
      </c>
      <c r="BC113" s="25">
        <f t="shared" si="20"/>
        <v>0.951444423009114</v>
      </c>
    </row>
    <row r="114" ht="14" spans="1:55">
      <c r="A114" s="29">
        <v>2013</v>
      </c>
      <c r="B114" s="29">
        <v>420000</v>
      </c>
      <c r="C114" s="30" t="s">
        <v>62</v>
      </c>
      <c r="D114" s="25">
        <v>0</v>
      </c>
      <c r="E114" s="25">
        <v>0</v>
      </c>
      <c r="F114" s="25">
        <v>1</v>
      </c>
      <c r="G114" s="25">
        <v>0</v>
      </c>
      <c r="H114" s="19">
        <v>53.5729999999999</v>
      </c>
      <c r="I114" s="19">
        <v>46.4270000000001</v>
      </c>
      <c r="J114" s="25">
        <v>1.653</v>
      </c>
      <c r="K114" s="25">
        <v>16.358</v>
      </c>
      <c r="L114" s="25">
        <f t="shared" si="11"/>
        <v>18.011</v>
      </c>
      <c r="M114" s="25">
        <v>48.126</v>
      </c>
      <c r="N114" s="25">
        <v>20.378</v>
      </c>
      <c r="O114" s="25">
        <v>8.623</v>
      </c>
      <c r="P114" s="25">
        <f t="shared" si="12"/>
        <v>77.127</v>
      </c>
      <c r="Q114" s="25">
        <v>4.436</v>
      </c>
      <c r="R114" s="19">
        <v>0.427</v>
      </c>
      <c r="S114" s="19">
        <f t="shared" si="13"/>
        <v>4.863</v>
      </c>
      <c r="T114" s="19">
        <v>1458.5937</v>
      </c>
      <c r="U114" s="19">
        <f t="shared" si="14"/>
        <v>0.428494036427732</v>
      </c>
      <c r="V114" s="19">
        <v>731.87844</v>
      </c>
      <c r="W114" s="19">
        <f t="shared" si="15"/>
        <v>0.215005417156287</v>
      </c>
      <c r="X114" s="19">
        <v>1213.5278</v>
      </c>
      <c r="Y114" s="14">
        <f t="shared" si="16"/>
        <v>0.356500528789659</v>
      </c>
      <c r="Z114" s="14">
        <v>3404</v>
      </c>
      <c r="AA114" s="25">
        <v>9.1</v>
      </c>
      <c r="AB114" s="25">
        <v>8.9</v>
      </c>
      <c r="AC114" s="25">
        <v>190.9</v>
      </c>
      <c r="AD114" s="25">
        <v>18.1</v>
      </c>
      <c r="AE114" s="25">
        <v>140.4</v>
      </c>
      <c r="AF114" s="25">
        <v>33.2</v>
      </c>
      <c r="AG114" s="25">
        <v>9.1</v>
      </c>
      <c r="AH114" s="25">
        <v>17.3</v>
      </c>
      <c r="AI114" s="25">
        <v>15.1</v>
      </c>
      <c r="AJ114" s="25">
        <v>9</v>
      </c>
      <c r="AK114" s="25">
        <f t="shared" si="17"/>
        <v>83.7</v>
      </c>
      <c r="AL114" s="25">
        <v>41.7</v>
      </c>
      <c r="AM114" s="25">
        <v>12.2</v>
      </c>
      <c r="AN114" s="19">
        <v>1.7</v>
      </c>
      <c r="AO114" s="25">
        <v>5.6</v>
      </c>
      <c r="AP114" s="25">
        <f t="shared" si="18"/>
        <v>61.2</v>
      </c>
      <c r="AQ114" s="25">
        <v>9.3</v>
      </c>
      <c r="AR114" s="25">
        <v>68.1</v>
      </c>
      <c r="AS114" s="25">
        <v>37.2</v>
      </c>
      <c r="AT114" s="25">
        <v>57.5</v>
      </c>
      <c r="AU114" s="25">
        <f t="shared" si="19"/>
        <v>172.1</v>
      </c>
      <c r="AV114" s="25">
        <v>12</v>
      </c>
      <c r="AW114" s="19">
        <v>1219.378</v>
      </c>
      <c r="AX114" s="25">
        <v>2236.268</v>
      </c>
      <c r="AY114" s="19">
        <v>3455.646</v>
      </c>
      <c r="AZ114" s="25">
        <v>922.78</v>
      </c>
      <c r="BA114" s="25">
        <v>1037.798</v>
      </c>
      <c r="BB114" s="25">
        <v>1960.579</v>
      </c>
      <c r="BC114" s="25">
        <f t="shared" si="20"/>
        <v>0.82353251015941</v>
      </c>
    </row>
    <row r="115" ht="14" spans="1:55">
      <c r="A115" s="29">
        <v>2014</v>
      </c>
      <c r="B115" s="29">
        <v>420000</v>
      </c>
      <c r="C115" s="30" t="s">
        <v>62</v>
      </c>
      <c r="D115" s="25">
        <v>0</v>
      </c>
      <c r="E115" s="25">
        <v>0</v>
      </c>
      <c r="F115" s="25">
        <v>1</v>
      </c>
      <c r="G115" s="25">
        <v>0</v>
      </c>
      <c r="H115" s="19">
        <v>55.1</v>
      </c>
      <c r="I115" s="19">
        <v>44.9</v>
      </c>
      <c r="J115" s="25">
        <v>2.5</v>
      </c>
      <c r="K115" s="25">
        <v>15.7</v>
      </c>
      <c r="L115" s="25">
        <f t="shared" si="11"/>
        <v>18.2</v>
      </c>
      <c r="M115" s="25">
        <v>45.2</v>
      </c>
      <c r="N115" s="25">
        <v>20.7</v>
      </c>
      <c r="O115" s="25">
        <v>9.9</v>
      </c>
      <c r="P115" s="25">
        <f t="shared" si="12"/>
        <v>75.8</v>
      </c>
      <c r="Q115" s="25">
        <v>5.5</v>
      </c>
      <c r="R115" s="19">
        <v>0.6</v>
      </c>
      <c r="S115" s="19">
        <f t="shared" si="13"/>
        <v>6.1</v>
      </c>
      <c r="T115" s="19">
        <v>1374.2904</v>
      </c>
      <c r="U115" s="19">
        <f t="shared" si="14"/>
        <v>0.403254225352113</v>
      </c>
      <c r="V115" s="19">
        <v>771.06289</v>
      </c>
      <c r="W115" s="19">
        <f t="shared" si="15"/>
        <v>0.226250848004695</v>
      </c>
      <c r="X115" s="19">
        <v>1262.6467</v>
      </c>
      <c r="Y115" s="14">
        <f t="shared" si="16"/>
        <v>0.37049492370892</v>
      </c>
      <c r="Z115" s="14">
        <v>3408</v>
      </c>
      <c r="AA115" s="25">
        <v>9.3</v>
      </c>
      <c r="AB115" s="25">
        <v>7.8</v>
      </c>
      <c r="AC115" s="25">
        <v>193.3</v>
      </c>
      <c r="AD115" s="25">
        <v>16.6</v>
      </c>
      <c r="AE115" s="25">
        <v>144.2</v>
      </c>
      <c r="AF115" s="25">
        <v>34.4</v>
      </c>
      <c r="AG115" s="25">
        <v>10.5</v>
      </c>
      <c r="AH115" s="25">
        <v>18</v>
      </c>
      <c r="AI115" s="25">
        <v>15.2</v>
      </c>
      <c r="AJ115" s="25">
        <v>9.4</v>
      </c>
      <c r="AK115" s="25">
        <f t="shared" si="17"/>
        <v>87.5</v>
      </c>
      <c r="AL115" s="25">
        <v>40.3</v>
      </c>
      <c r="AM115" s="25">
        <v>10.6</v>
      </c>
      <c r="AN115" s="19">
        <v>1.6</v>
      </c>
      <c r="AO115" s="25">
        <v>5.7</v>
      </c>
      <c r="AP115" s="25">
        <f t="shared" si="18"/>
        <v>58.2</v>
      </c>
      <c r="AQ115" s="25">
        <v>10.4</v>
      </c>
      <c r="AR115" s="25">
        <v>69.4</v>
      </c>
      <c r="AS115" s="25">
        <v>38.6</v>
      </c>
      <c r="AT115" s="25">
        <v>59.3</v>
      </c>
      <c r="AU115" s="25">
        <f t="shared" si="19"/>
        <v>177.7</v>
      </c>
      <c r="AV115" s="25">
        <v>12.4</v>
      </c>
      <c r="AW115" s="19">
        <v>1266.2</v>
      </c>
      <c r="AX115" s="25">
        <v>2230.5</v>
      </c>
      <c r="AY115" s="19">
        <v>3496.8</v>
      </c>
      <c r="AZ115" s="25">
        <v>933.3</v>
      </c>
      <c r="BA115" s="25">
        <v>1034.7</v>
      </c>
      <c r="BB115" s="25">
        <v>1968</v>
      </c>
      <c r="BC115" s="25">
        <f t="shared" si="20"/>
        <v>0.836340298586582</v>
      </c>
    </row>
    <row r="116" ht="14" spans="1:55">
      <c r="A116" s="29">
        <v>2015</v>
      </c>
      <c r="B116" s="29">
        <v>420000</v>
      </c>
      <c r="C116" s="30" t="s">
        <v>62</v>
      </c>
      <c r="D116" s="25">
        <v>0</v>
      </c>
      <c r="E116" s="25">
        <v>0</v>
      </c>
      <c r="F116" s="25">
        <v>1</v>
      </c>
      <c r="G116" s="25">
        <v>0</v>
      </c>
      <c r="H116" s="19">
        <v>56.627</v>
      </c>
      <c r="I116" s="19">
        <v>43.373</v>
      </c>
      <c r="J116" s="25">
        <v>3.388</v>
      </c>
      <c r="K116" s="25">
        <v>17.364</v>
      </c>
      <c r="L116" s="25">
        <f t="shared" si="11"/>
        <v>20.752</v>
      </c>
      <c r="M116" s="25">
        <v>41.886</v>
      </c>
      <c r="N116" s="25">
        <v>13.737</v>
      </c>
      <c r="O116" s="25">
        <v>8.724</v>
      </c>
      <c r="P116" s="25">
        <f t="shared" si="12"/>
        <v>64.347</v>
      </c>
      <c r="Q116" s="25">
        <v>6.848</v>
      </c>
      <c r="R116" s="19">
        <v>0.795</v>
      </c>
      <c r="S116" s="19">
        <f t="shared" si="13"/>
        <v>7.643</v>
      </c>
      <c r="T116" s="19">
        <v>1304.2078</v>
      </c>
      <c r="U116" s="19">
        <f t="shared" si="14"/>
        <v>0.383816303708064</v>
      </c>
      <c r="V116" s="19">
        <v>774.72171</v>
      </c>
      <c r="W116" s="19">
        <f t="shared" si="15"/>
        <v>0.227993440258976</v>
      </c>
      <c r="X116" s="19">
        <v>1319.0705</v>
      </c>
      <c r="Y116" s="14">
        <f t="shared" si="16"/>
        <v>0.388190258975868</v>
      </c>
      <c r="Z116" s="14">
        <v>3398</v>
      </c>
      <c r="AA116" s="25">
        <v>9.2</v>
      </c>
      <c r="AB116" s="25">
        <v>7.1</v>
      </c>
      <c r="AC116" s="25">
        <v>189.4</v>
      </c>
      <c r="AD116" s="25">
        <v>16.3</v>
      </c>
      <c r="AE116" s="25">
        <v>138.5</v>
      </c>
      <c r="AF116" s="25">
        <v>34.4</v>
      </c>
      <c r="AG116" s="25">
        <v>11.5</v>
      </c>
      <c r="AH116" s="25">
        <v>19.5</v>
      </c>
      <c r="AI116" s="25">
        <v>16.3</v>
      </c>
      <c r="AJ116" s="25">
        <v>9</v>
      </c>
      <c r="AK116" s="25">
        <f t="shared" si="17"/>
        <v>90.7</v>
      </c>
      <c r="AL116" s="25">
        <v>39.4</v>
      </c>
      <c r="AM116" s="25">
        <v>9.9</v>
      </c>
      <c r="AN116" s="19">
        <v>1.6</v>
      </c>
      <c r="AO116" s="25">
        <v>6.3</v>
      </c>
      <c r="AP116" s="25">
        <f t="shared" si="18"/>
        <v>57.2</v>
      </c>
      <c r="AQ116" s="25">
        <v>11.4</v>
      </c>
      <c r="AR116" s="25">
        <v>73.9</v>
      </c>
      <c r="AS116" s="25">
        <v>41.8</v>
      </c>
      <c r="AT116" s="25">
        <v>63.9</v>
      </c>
      <c r="AU116" s="25">
        <f t="shared" si="19"/>
        <v>191</v>
      </c>
      <c r="AV116" s="25">
        <v>13.1</v>
      </c>
      <c r="AW116" s="19">
        <v>1315.512</v>
      </c>
      <c r="AX116" s="25">
        <v>2214.965</v>
      </c>
      <c r="AY116" s="19">
        <v>3530.477</v>
      </c>
      <c r="AZ116" s="25">
        <v>949.412</v>
      </c>
      <c r="BA116" s="25">
        <v>1022.729</v>
      </c>
      <c r="BB116" s="25">
        <v>1972.141</v>
      </c>
      <c r="BC116" s="25">
        <f t="shared" si="20"/>
        <v>0.85402776433025</v>
      </c>
    </row>
    <row r="117" ht="14" spans="1:55">
      <c r="A117" s="29">
        <v>2016</v>
      </c>
      <c r="B117" s="29">
        <v>420000</v>
      </c>
      <c r="C117" s="30" t="s">
        <v>62</v>
      </c>
      <c r="D117" s="25">
        <v>0</v>
      </c>
      <c r="E117" s="25">
        <v>0</v>
      </c>
      <c r="F117" s="25">
        <v>1</v>
      </c>
      <c r="G117" s="25">
        <v>0</v>
      </c>
      <c r="H117" s="19">
        <v>55.309</v>
      </c>
      <c r="I117" s="19">
        <v>44.691</v>
      </c>
      <c r="J117" s="25">
        <v>2.855</v>
      </c>
      <c r="K117" s="25">
        <v>17.826</v>
      </c>
      <c r="L117" s="25">
        <f t="shared" si="11"/>
        <v>20.681</v>
      </c>
      <c r="M117" s="25">
        <v>42.287</v>
      </c>
      <c r="N117" s="25">
        <v>13.432</v>
      </c>
      <c r="O117" s="25">
        <v>8.973</v>
      </c>
      <c r="P117" s="25">
        <f t="shared" si="12"/>
        <v>64.692</v>
      </c>
      <c r="Q117" s="25">
        <v>6.466</v>
      </c>
      <c r="R117" s="19">
        <v>1.002</v>
      </c>
      <c r="S117" s="19">
        <f t="shared" si="13"/>
        <v>7.468</v>
      </c>
      <c r="T117" s="19">
        <v>1246.6639</v>
      </c>
      <c r="U117" s="19">
        <f t="shared" si="14"/>
        <v>0.368290664697194</v>
      </c>
      <c r="V117" s="19">
        <v>779.86375</v>
      </c>
      <c r="W117" s="19">
        <f t="shared" si="15"/>
        <v>0.230388109305761</v>
      </c>
      <c r="X117" s="19">
        <v>1358.4723</v>
      </c>
      <c r="Y117" s="14">
        <f t="shared" si="16"/>
        <v>0.401321211225997</v>
      </c>
      <c r="Z117" s="14">
        <v>3385</v>
      </c>
      <c r="AA117" s="25">
        <v>10.3</v>
      </c>
      <c r="AB117" s="25">
        <v>6.5</v>
      </c>
      <c r="AC117" s="25">
        <v>186.1</v>
      </c>
      <c r="AD117" s="25">
        <v>16.4</v>
      </c>
      <c r="AE117" s="25">
        <v>140.4</v>
      </c>
      <c r="AF117" s="25">
        <v>35</v>
      </c>
      <c r="AG117" s="25">
        <v>12.3</v>
      </c>
      <c r="AH117" s="25">
        <v>21</v>
      </c>
      <c r="AI117" s="25">
        <v>15.8</v>
      </c>
      <c r="AJ117" s="25">
        <v>10.5</v>
      </c>
      <c r="AK117" s="25">
        <f t="shared" si="17"/>
        <v>94.6</v>
      </c>
      <c r="AL117" s="25">
        <v>39.7</v>
      </c>
      <c r="AM117" s="25">
        <v>9.4</v>
      </c>
      <c r="AN117" s="19">
        <v>1.4</v>
      </c>
      <c r="AO117" s="25">
        <v>6.5</v>
      </c>
      <c r="AP117" s="25">
        <f t="shared" si="18"/>
        <v>57</v>
      </c>
      <c r="AQ117" s="25">
        <v>11.4</v>
      </c>
      <c r="AR117" s="25">
        <v>72.9</v>
      </c>
      <c r="AS117" s="25">
        <v>43.5</v>
      </c>
      <c r="AT117" s="25">
        <v>65.4</v>
      </c>
      <c r="AU117" s="25">
        <f t="shared" si="19"/>
        <v>193.2</v>
      </c>
      <c r="AV117" s="25">
        <v>14.9</v>
      </c>
      <c r="AW117" s="19">
        <v>1355.038</v>
      </c>
      <c r="AX117" s="25">
        <v>2219.731</v>
      </c>
      <c r="AY117" s="19">
        <v>3574.769</v>
      </c>
      <c r="AZ117" s="25">
        <v>960.988</v>
      </c>
      <c r="BA117" s="25">
        <v>1020.799</v>
      </c>
      <c r="BB117" s="25">
        <v>1981.787</v>
      </c>
      <c r="BC117" s="25">
        <f t="shared" si="20"/>
        <v>0.863965932626838</v>
      </c>
    </row>
    <row r="118" ht="14" spans="1:55">
      <c r="A118" s="29">
        <v>2017</v>
      </c>
      <c r="B118" s="29">
        <v>420000</v>
      </c>
      <c r="C118" s="30" t="s">
        <v>62</v>
      </c>
      <c r="D118" s="25">
        <v>0</v>
      </c>
      <c r="E118" s="25">
        <v>0</v>
      </c>
      <c r="F118" s="25">
        <v>1</v>
      </c>
      <c r="G118" s="25">
        <v>0</v>
      </c>
      <c r="H118" s="19">
        <v>54.756</v>
      </c>
      <c r="I118" s="19">
        <v>45.244</v>
      </c>
      <c r="J118" s="25">
        <v>2.678</v>
      </c>
      <c r="K118" s="25">
        <v>17.14</v>
      </c>
      <c r="L118" s="25">
        <f t="shared" si="11"/>
        <v>19.818</v>
      </c>
      <c r="M118" s="25">
        <v>43.3</v>
      </c>
      <c r="N118" s="25">
        <v>13.826</v>
      </c>
      <c r="O118" s="25">
        <v>8.2</v>
      </c>
      <c r="P118" s="25">
        <f t="shared" si="12"/>
        <v>65.326</v>
      </c>
      <c r="Q118" s="25">
        <v>6.502</v>
      </c>
      <c r="R118" s="19">
        <v>1.115</v>
      </c>
      <c r="S118" s="19">
        <f t="shared" si="13"/>
        <v>7.617</v>
      </c>
      <c r="T118" s="19">
        <v>1196.2222</v>
      </c>
      <c r="U118" s="19">
        <f t="shared" si="14"/>
        <v>0.354016632139686</v>
      </c>
      <c r="V118" s="19">
        <v>785.3133</v>
      </c>
      <c r="W118" s="19">
        <f t="shared" si="15"/>
        <v>0.232409973364901</v>
      </c>
      <c r="X118" s="19">
        <v>1397.4645</v>
      </c>
      <c r="Y118" s="14">
        <f t="shared" si="16"/>
        <v>0.413573394495413</v>
      </c>
      <c r="Z118" s="14">
        <v>3379</v>
      </c>
      <c r="AA118" s="25">
        <v>10.3</v>
      </c>
      <c r="AB118" s="25">
        <v>5.5</v>
      </c>
      <c r="AC118" s="25">
        <v>168.4</v>
      </c>
      <c r="AD118" s="25">
        <v>15.7</v>
      </c>
      <c r="AE118" s="25">
        <v>133.8</v>
      </c>
      <c r="AF118" s="25">
        <v>35.4</v>
      </c>
      <c r="AG118" s="25">
        <v>12.7</v>
      </c>
      <c r="AH118" s="25">
        <v>21.5</v>
      </c>
      <c r="AI118" s="25">
        <v>15.4</v>
      </c>
      <c r="AJ118" s="25">
        <v>11</v>
      </c>
      <c r="AK118" s="25">
        <f t="shared" si="17"/>
        <v>96</v>
      </c>
      <c r="AL118" s="25">
        <v>39.1</v>
      </c>
      <c r="AM118" s="25">
        <v>9.4</v>
      </c>
      <c r="AN118" s="19">
        <v>1.5</v>
      </c>
      <c r="AO118" s="25">
        <v>7.2</v>
      </c>
      <c r="AP118" s="25">
        <f t="shared" si="18"/>
        <v>57.2</v>
      </c>
      <c r="AQ118" s="25">
        <v>11.2</v>
      </c>
      <c r="AR118" s="25">
        <v>71.4</v>
      </c>
      <c r="AS118" s="25">
        <v>44.3</v>
      </c>
      <c r="AT118" s="25">
        <v>65.1</v>
      </c>
      <c r="AU118" s="25">
        <f t="shared" si="19"/>
        <v>192</v>
      </c>
      <c r="AV118" s="25">
        <v>16.2</v>
      </c>
      <c r="AW118" s="19">
        <v>1546.619</v>
      </c>
      <c r="AX118" s="25">
        <v>2214.635</v>
      </c>
      <c r="AY118" s="19">
        <v>3761.254</v>
      </c>
      <c r="AZ118" s="25">
        <v>1018.895</v>
      </c>
      <c r="BA118" s="25">
        <v>4603.263</v>
      </c>
      <c r="BB118" s="25">
        <v>5622.158</v>
      </c>
      <c r="BC118" s="25">
        <f t="shared" si="20"/>
        <v>0.592426155175823</v>
      </c>
    </row>
    <row r="119" ht="14" spans="1:55">
      <c r="A119" s="29">
        <v>2018</v>
      </c>
      <c r="B119" s="29">
        <v>420000</v>
      </c>
      <c r="C119" s="30" t="s">
        <v>62</v>
      </c>
      <c r="D119" s="25">
        <v>0</v>
      </c>
      <c r="E119" s="25">
        <v>0</v>
      </c>
      <c r="F119" s="25">
        <v>1</v>
      </c>
      <c r="G119" s="25">
        <v>0</v>
      </c>
      <c r="H119" s="19">
        <v>55.469</v>
      </c>
      <c r="I119" s="19">
        <v>44.531</v>
      </c>
      <c r="J119" s="25">
        <v>2.65</v>
      </c>
      <c r="K119" s="25">
        <v>16.707</v>
      </c>
      <c r="L119" s="25">
        <f t="shared" si="11"/>
        <v>19.357</v>
      </c>
      <c r="M119" s="25">
        <v>42.298</v>
      </c>
      <c r="N119" s="25">
        <v>13.315</v>
      </c>
      <c r="O119" s="25">
        <v>8.734</v>
      </c>
      <c r="P119" s="25">
        <f t="shared" si="12"/>
        <v>64.347</v>
      </c>
      <c r="Q119" s="25">
        <v>7.443</v>
      </c>
      <c r="R119" s="19">
        <v>1.026</v>
      </c>
      <c r="S119" s="19">
        <f t="shared" si="13"/>
        <v>8.469</v>
      </c>
      <c r="T119" s="19">
        <v>1147.048</v>
      </c>
      <c r="U119" s="19">
        <f t="shared" si="14"/>
        <v>0.339664791234824</v>
      </c>
      <c r="V119" s="19">
        <v>792.36872</v>
      </c>
      <c r="W119" s="19">
        <f t="shared" si="15"/>
        <v>0.234636872964169</v>
      </c>
      <c r="X119" s="19">
        <v>1437.5832</v>
      </c>
      <c r="Y119" s="14">
        <f t="shared" si="16"/>
        <v>0.425698312111341</v>
      </c>
      <c r="Z119" s="14">
        <v>3377</v>
      </c>
      <c r="AA119" s="25">
        <v>9.7</v>
      </c>
      <c r="AB119" s="25">
        <v>4.5</v>
      </c>
      <c r="AC119" s="25">
        <v>140.1</v>
      </c>
      <c r="AD119" s="25">
        <v>15.1</v>
      </c>
      <c r="AE119" s="25">
        <v>124.6</v>
      </c>
      <c r="AF119" s="25">
        <v>34.8</v>
      </c>
      <c r="AG119" s="25">
        <v>13.5</v>
      </c>
      <c r="AH119" s="25">
        <v>19.9</v>
      </c>
      <c r="AI119" s="25">
        <v>15.8</v>
      </c>
      <c r="AJ119" s="25">
        <v>13.4</v>
      </c>
      <c r="AK119" s="25">
        <f t="shared" si="17"/>
        <v>97.4</v>
      </c>
      <c r="AL119" s="25">
        <v>36.8</v>
      </c>
      <c r="AM119" s="25">
        <v>8.3</v>
      </c>
      <c r="AN119" s="19">
        <v>1.7</v>
      </c>
      <c r="AO119" s="25">
        <v>6.7</v>
      </c>
      <c r="AP119" s="25">
        <f t="shared" si="18"/>
        <v>53.5</v>
      </c>
      <c r="AQ119" s="25">
        <v>11.5</v>
      </c>
      <c r="AR119" s="25">
        <v>69.3</v>
      </c>
      <c r="AS119" s="25">
        <v>43.8</v>
      </c>
      <c r="AT119" s="25">
        <v>67.4</v>
      </c>
      <c r="AU119" s="25">
        <f t="shared" si="19"/>
        <v>192</v>
      </c>
      <c r="AV119" s="25">
        <v>16.4</v>
      </c>
      <c r="AW119" s="19">
        <v>1601.619</v>
      </c>
      <c r="AX119" s="25">
        <v>2282.775</v>
      </c>
      <c r="AY119" s="19">
        <v>3884.394</v>
      </c>
      <c r="AZ119" s="25">
        <v>1053.952</v>
      </c>
      <c r="BA119" s="25">
        <v>4532.205</v>
      </c>
      <c r="BB119" s="25">
        <v>5586.158</v>
      </c>
      <c r="BC119" s="25">
        <f t="shared" si="20"/>
        <v>0.600993529852822</v>
      </c>
    </row>
    <row r="120" ht="14" spans="1:55">
      <c r="A120" s="29">
        <v>2019</v>
      </c>
      <c r="B120" s="29">
        <v>420000</v>
      </c>
      <c r="C120" s="30" t="s">
        <v>62</v>
      </c>
      <c r="D120" s="25">
        <v>0</v>
      </c>
      <c r="E120" s="25">
        <v>0</v>
      </c>
      <c r="F120" s="25">
        <v>1</v>
      </c>
      <c r="G120" s="25">
        <v>0</v>
      </c>
      <c r="H120" s="19">
        <v>56.4</v>
      </c>
      <c r="I120" s="19">
        <v>43.6</v>
      </c>
      <c r="J120" s="25">
        <v>2.6</v>
      </c>
      <c r="K120" s="25">
        <v>16.4</v>
      </c>
      <c r="L120" s="25">
        <f t="shared" si="11"/>
        <v>19</v>
      </c>
      <c r="M120" s="25">
        <v>39.6</v>
      </c>
      <c r="N120" s="25">
        <v>20.8</v>
      </c>
      <c r="O120" s="25">
        <v>11.3</v>
      </c>
      <c r="P120" s="25">
        <f t="shared" si="12"/>
        <v>71.7</v>
      </c>
      <c r="Q120" s="25">
        <v>8.1</v>
      </c>
      <c r="R120" s="19">
        <v>1.3</v>
      </c>
      <c r="S120" s="19">
        <f t="shared" si="13"/>
        <v>9.4</v>
      </c>
      <c r="T120" s="19">
        <v>1107.2435</v>
      </c>
      <c r="U120" s="19">
        <f t="shared" si="14"/>
        <v>0.328072148148148</v>
      </c>
      <c r="V120" s="19">
        <v>799.99295</v>
      </c>
      <c r="W120" s="19">
        <f t="shared" si="15"/>
        <v>0.237034948148148</v>
      </c>
      <c r="X120" s="19">
        <v>1467.7635</v>
      </c>
      <c r="Y120" s="14">
        <f t="shared" si="16"/>
        <v>0.434892888888889</v>
      </c>
      <c r="Z120" s="14">
        <v>3375</v>
      </c>
      <c r="AA120" s="25">
        <v>9</v>
      </c>
      <c r="AB120" s="25">
        <v>4</v>
      </c>
      <c r="AC120" s="25">
        <v>134.3</v>
      </c>
      <c r="AD120" s="25">
        <v>14.6</v>
      </c>
      <c r="AE120" s="25">
        <v>119.7</v>
      </c>
      <c r="AF120" s="25">
        <v>31</v>
      </c>
      <c r="AG120" s="25">
        <v>18.1</v>
      </c>
      <c r="AH120" s="25">
        <v>20.2</v>
      </c>
      <c r="AI120" s="25">
        <v>17</v>
      </c>
      <c r="AJ120" s="25">
        <v>17.7</v>
      </c>
      <c r="AK120" s="25">
        <f t="shared" si="17"/>
        <v>104</v>
      </c>
      <c r="AL120" s="25">
        <v>36.9</v>
      </c>
      <c r="AM120" s="25">
        <v>8.8</v>
      </c>
      <c r="AN120" s="19">
        <v>2.5</v>
      </c>
      <c r="AO120" s="25">
        <v>5.9</v>
      </c>
      <c r="AP120" s="25">
        <f t="shared" si="18"/>
        <v>54.1</v>
      </c>
      <c r="AQ120" s="25">
        <v>11.8</v>
      </c>
      <c r="AR120" s="25">
        <v>70.6</v>
      </c>
      <c r="AS120" s="25">
        <v>41.7</v>
      </c>
      <c r="AT120" s="25">
        <v>72.3</v>
      </c>
      <c r="AU120" s="25">
        <f t="shared" si="19"/>
        <v>196.4</v>
      </c>
      <c r="AV120" s="25">
        <v>17.7</v>
      </c>
      <c r="AW120" s="19">
        <v>1684.8</v>
      </c>
      <c r="AX120" s="25">
        <v>2345.4</v>
      </c>
      <c r="AY120" s="19">
        <v>4030.2</v>
      </c>
      <c r="AZ120" s="25">
        <v>1093.2</v>
      </c>
      <c r="BA120" s="25">
        <v>4469.4</v>
      </c>
      <c r="BB120" s="25">
        <v>5562.6</v>
      </c>
      <c r="BC120" s="25">
        <f t="shared" si="20"/>
        <v>0.614570573552485</v>
      </c>
    </row>
    <row r="121" ht="14" spans="1:55">
      <c r="A121" s="29">
        <v>2020</v>
      </c>
      <c r="B121" s="29">
        <v>420000</v>
      </c>
      <c r="C121" s="30" t="s">
        <v>62</v>
      </c>
      <c r="D121" s="25">
        <v>0</v>
      </c>
      <c r="E121" s="25">
        <v>0</v>
      </c>
      <c r="F121" s="25">
        <v>1</v>
      </c>
      <c r="G121" s="25">
        <v>0</v>
      </c>
      <c r="H121" s="19">
        <v>55.6</v>
      </c>
      <c r="I121" s="19">
        <v>44.4</v>
      </c>
      <c r="J121" s="25">
        <v>2.6</v>
      </c>
      <c r="K121" s="25">
        <v>17.2</v>
      </c>
      <c r="L121" s="25">
        <f t="shared" si="11"/>
        <v>19.8</v>
      </c>
      <c r="M121" s="25">
        <v>41</v>
      </c>
      <c r="N121" s="25">
        <v>19.4</v>
      </c>
      <c r="O121" s="25">
        <v>10.2</v>
      </c>
      <c r="P121" s="25">
        <f t="shared" si="12"/>
        <v>70.6</v>
      </c>
      <c r="Q121" s="25">
        <v>8.2</v>
      </c>
      <c r="R121" s="19">
        <v>1.3</v>
      </c>
      <c r="S121" s="19">
        <f t="shared" si="13"/>
        <v>9.5</v>
      </c>
      <c r="T121" s="19">
        <v>897</v>
      </c>
      <c r="U121" s="19">
        <f t="shared" si="14"/>
        <v>0.27506899724011</v>
      </c>
      <c r="V121" s="19">
        <v>857</v>
      </c>
      <c r="W121" s="19">
        <f t="shared" si="15"/>
        <v>0.262802821220485</v>
      </c>
      <c r="X121" s="19">
        <v>1507</v>
      </c>
      <c r="Y121" s="14">
        <f t="shared" si="16"/>
        <v>0.462128181539405</v>
      </c>
      <c r="Z121" s="14">
        <v>3261</v>
      </c>
      <c r="AA121" s="25">
        <v>1.9</v>
      </c>
      <c r="AB121" s="25">
        <v>2.7</v>
      </c>
      <c r="AC121" s="25">
        <v>130</v>
      </c>
      <c r="AD121" s="25">
        <v>14.5</v>
      </c>
      <c r="AE121" s="25">
        <v>104.3</v>
      </c>
      <c r="AF121" s="25">
        <v>29.2</v>
      </c>
      <c r="AG121" s="25">
        <v>16.4</v>
      </c>
      <c r="AH121" s="25">
        <v>23.8</v>
      </c>
      <c r="AI121" s="25">
        <v>17.1</v>
      </c>
      <c r="AJ121" s="25">
        <v>19.6</v>
      </c>
      <c r="AK121" s="25">
        <f t="shared" si="17"/>
        <v>106.1</v>
      </c>
      <c r="AL121" s="25">
        <v>31.5</v>
      </c>
      <c r="AM121" s="25">
        <v>9</v>
      </c>
      <c r="AN121" s="19">
        <v>2.1</v>
      </c>
      <c r="AO121" s="25">
        <v>6.1</v>
      </c>
      <c r="AP121" s="25">
        <f t="shared" si="18"/>
        <v>48.7</v>
      </c>
      <c r="AQ121" s="25">
        <v>8.7</v>
      </c>
      <c r="AR121" s="25">
        <v>75.3</v>
      </c>
      <c r="AS121" s="25">
        <v>44.2</v>
      </c>
      <c r="AT121" s="25">
        <v>76.2</v>
      </c>
      <c r="AU121" s="25">
        <f t="shared" si="19"/>
        <v>204.4</v>
      </c>
      <c r="AV121" s="25">
        <v>18.7</v>
      </c>
      <c r="AW121" s="19">
        <v>1744.7</v>
      </c>
      <c r="AX121" s="25">
        <v>2368.6</v>
      </c>
      <c r="AY121" s="19">
        <v>4113.3</v>
      </c>
      <c r="AZ121" s="25">
        <v>1136.9</v>
      </c>
      <c r="BA121" s="25">
        <v>4446</v>
      </c>
      <c r="BB121" s="25">
        <v>5583</v>
      </c>
      <c r="BC121" s="25">
        <f t="shared" si="20"/>
        <v>0.627796687572494</v>
      </c>
    </row>
    <row r="122" ht="14" spans="1:55">
      <c r="A122" s="29">
        <v>2021</v>
      </c>
      <c r="B122" s="29">
        <v>420000</v>
      </c>
      <c r="C122" s="30" t="s">
        <v>62</v>
      </c>
      <c r="D122" s="25">
        <v>0</v>
      </c>
      <c r="E122" s="25">
        <v>0</v>
      </c>
      <c r="F122" s="25">
        <v>1</v>
      </c>
      <c r="G122" s="25">
        <v>0</v>
      </c>
      <c r="H122" s="19">
        <v>56.914</v>
      </c>
      <c r="I122" s="19">
        <v>43.086</v>
      </c>
      <c r="J122" s="25">
        <v>2.344</v>
      </c>
      <c r="K122" s="25">
        <v>16.421</v>
      </c>
      <c r="L122" s="25">
        <f t="shared" si="11"/>
        <v>18.765</v>
      </c>
      <c r="M122" s="25">
        <v>40.093</v>
      </c>
      <c r="N122" s="25">
        <v>19.785</v>
      </c>
      <c r="O122" s="25">
        <v>10.938</v>
      </c>
      <c r="P122" s="25">
        <f t="shared" si="12"/>
        <v>70.816</v>
      </c>
      <c r="Q122" s="25">
        <v>9.173</v>
      </c>
      <c r="R122" s="19">
        <v>1.246</v>
      </c>
      <c r="S122" s="19">
        <f t="shared" si="13"/>
        <v>10.419</v>
      </c>
      <c r="T122" s="19">
        <v>881</v>
      </c>
      <c r="U122" s="19">
        <f t="shared" si="14"/>
        <v>0.268107121119903</v>
      </c>
      <c r="V122" s="19">
        <v>882</v>
      </c>
      <c r="W122" s="19">
        <f t="shared" si="15"/>
        <v>0.268411442483262</v>
      </c>
      <c r="X122" s="19">
        <v>1523</v>
      </c>
      <c r="Y122" s="14">
        <f t="shared" si="16"/>
        <v>0.463481436396835</v>
      </c>
      <c r="Z122" s="14">
        <v>3286</v>
      </c>
      <c r="AA122" s="25">
        <v>2.8</v>
      </c>
      <c r="AB122" s="25">
        <v>3.3</v>
      </c>
      <c r="AC122" s="25">
        <v>132.9</v>
      </c>
      <c r="AD122" s="25">
        <v>14.2</v>
      </c>
      <c r="AE122" s="25">
        <v>100.6</v>
      </c>
      <c r="AF122" s="25">
        <v>28</v>
      </c>
      <c r="AG122" s="25">
        <v>17.3</v>
      </c>
      <c r="AH122" s="25">
        <v>27.6</v>
      </c>
      <c r="AI122" s="25">
        <v>17.3</v>
      </c>
      <c r="AJ122" s="25">
        <v>19.9</v>
      </c>
      <c r="AK122" s="25">
        <f t="shared" si="17"/>
        <v>110.1</v>
      </c>
      <c r="AL122" s="25">
        <v>31.2</v>
      </c>
      <c r="AM122" s="25">
        <v>9.1</v>
      </c>
      <c r="AN122" s="19">
        <v>2.5</v>
      </c>
      <c r="AO122" s="25">
        <v>6.3</v>
      </c>
      <c r="AP122" s="25">
        <f t="shared" si="18"/>
        <v>49.1</v>
      </c>
      <c r="AQ122" s="25">
        <v>9.2</v>
      </c>
      <c r="AR122" s="25">
        <v>77.5</v>
      </c>
      <c r="AS122" s="25">
        <v>47.6</v>
      </c>
      <c r="AT122" s="25">
        <v>76.4</v>
      </c>
      <c r="AU122" s="25">
        <f t="shared" si="19"/>
        <v>210.7</v>
      </c>
      <c r="AV122" s="25">
        <v>19.7</v>
      </c>
      <c r="AW122" s="19">
        <v>1834.677</v>
      </c>
      <c r="AX122" s="25">
        <v>2612.903</v>
      </c>
      <c r="AY122" s="19">
        <v>4447.58</v>
      </c>
      <c r="AZ122" s="25">
        <v>1196.101</v>
      </c>
      <c r="BA122" s="25">
        <v>4423.586</v>
      </c>
      <c r="BB122" s="25">
        <v>5619.686</v>
      </c>
      <c r="BC122" s="25">
        <f t="shared" si="20"/>
        <v>0.625352549551822</v>
      </c>
    </row>
    <row r="123" ht="14" spans="1:55">
      <c r="A123" s="29">
        <v>2022</v>
      </c>
      <c r="B123" s="29">
        <v>420000</v>
      </c>
      <c r="C123" s="30" t="s">
        <v>62</v>
      </c>
      <c r="D123" s="25">
        <v>0</v>
      </c>
      <c r="E123" s="25">
        <v>0</v>
      </c>
      <c r="F123" s="25">
        <v>1</v>
      </c>
      <c r="G123" s="25">
        <v>0</v>
      </c>
      <c r="H123" s="19">
        <v>56.889</v>
      </c>
      <c r="I123" s="19">
        <v>43.111</v>
      </c>
      <c r="J123" s="25">
        <v>2.546</v>
      </c>
      <c r="K123" s="25">
        <v>20.277</v>
      </c>
      <c r="L123" s="25">
        <f t="shared" si="11"/>
        <v>22.823</v>
      </c>
      <c r="M123" s="25">
        <v>37.32</v>
      </c>
      <c r="N123" s="25">
        <v>17.917</v>
      </c>
      <c r="O123" s="25">
        <v>11.247</v>
      </c>
      <c r="P123" s="25">
        <f t="shared" si="12"/>
        <v>66.484</v>
      </c>
      <c r="Q123" s="25">
        <v>9.534</v>
      </c>
      <c r="R123" s="19">
        <v>1.16</v>
      </c>
      <c r="S123" s="19">
        <f t="shared" si="13"/>
        <v>10.694</v>
      </c>
      <c r="T123" s="19">
        <v>928</v>
      </c>
      <c r="U123" s="19">
        <f t="shared" si="14"/>
        <v>0.286154794942954</v>
      </c>
      <c r="V123" s="19">
        <v>846</v>
      </c>
      <c r="W123" s="19">
        <f t="shared" si="15"/>
        <v>0.260869565217391</v>
      </c>
      <c r="X123" s="19">
        <v>1469</v>
      </c>
      <c r="Y123" s="14">
        <f t="shared" si="16"/>
        <v>0.452975639839655</v>
      </c>
      <c r="Z123" s="14">
        <v>3243</v>
      </c>
      <c r="AA123" s="25">
        <v>1.8</v>
      </c>
      <c r="AB123" s="25">
        <v>3.4</v>
      </c>
      <c r="AC123" s="25">
        <v>133.1</v>
      </c>
      <c r="AD123" s="25">
        <v>13.7</v>
      </c>
      <c r="AE123" s="25">
        <v>100.1</v>
      </c>
      <c r="AF123" s="25">
        <v>27.5</v>
      </c>
      <c r="AG123" s="25">
        <v>16.7</v>
      </c>
      <c r="AH123" s="25">
        <v>21.2</v>
      </c>
      <c r="AI123" s="25">
        <v>17.5</v>
      </c>
      <c r="AJ123" s="25">
        <v>25.6</v>
      </c>
      <c r="AK123" s="25">
        <f t="shared" si="17"/>
        <v>108.5</v>
      </c>
      <c r="AL123" s="25">
        <v>32.1</v>
      </c>
      <c r="AM123" s="25">
        <v>8.6</v>
      </c>
      <c r="AN123" s="19">
        <v>2.7</v>
      </c>
      <c r="AO123" s="25">
        <v>6.1</v>
      </c>
      <c r="AP123" s="25">
        <f t="shared" si="18"/>
        <v>49.5</v>
      </c>
      <c r="AQ123" s="25">
        <v>9.4</v>
      </c>
      <c r="AR123" s="25">
        <v>75.7</v>
      </c>
      <c r="AS123" s="25">
        <v>48</v>
      </c>
      <c r="AT123" s="25">
        <v>77.2</v>
      </c>
      <c r="AU123" s="25">
        <f t="shared" si="19"/>
        <v>210.3</v>
      </c>
      <c r="AV123" s="25">
        <v>19.7</v>
      </c>
      <c r="AW123" s="19">
        <v>1959.662</v>
      </c>
      <c r="AX123" s="25">
        <v>2600.473</v>
      </c>
      <c r="AY123" s="19">
        <v>4560.134</v>
      </c>
      <c r="AZ123" s="25">
        <v>1240.43</v>
      </c>
      <c r="BA123" s="25">
        <v>4352.611</v>
      </c>
      <c r="BB123" s="25">
        <v>5593.041</v>
      </c>
      <c r="BC123" s="25">
        <f t="shared" si="20"/>
        <v>0.651518769925164</v>
      </c>
    </row>
    <row r="124" ht="14" spans="1:55">
      <c r="A124" s="29">
        <v>2013</v>
      </c>
      <c r="B124" s="29">
        <v>430000</v>
      </c>
      <c r="C124" s="30" t="s">
        <v>63</v>
      </c>
      <c r="D124" s="25">
        <v>0</v>
      </c>
      <c r="E124" s="25">
        <v>0</v>
      </c>
      <c r="F124" s="25">
        <v>1</v>
      </c>
      <c r="G124" s="25">
        <v>0</v>
      </c>
      <c r="H124" s="19">
        <v>52</v>
      </c>
      <c r="I124" s="19">
        <v>48</v>
      </c>
      <c r="J124" s="25">
        <v>0.821</v>
      </c>
      <c r="K124" s="25">
        <v>15.015</v>
      </c>
      <c r="L124" s="25">
        <f t="shared" si="11"/>
        <v>15.836</v>
      </c>
      <c r="M124" s="25">
        <v>45.522</v>
      </c>
      <c r="N124" s="25">
        <v>23.841</v>
      </c>
      <c r="O124" s="25">
        <v>10.03</v>
      </c>
      <c r="P124" s="25">
        <f t="shared" si="12"/>
        <v>79.393</v>
      </c>
      <c r="Q124" s="25">
        <v>4.504</v>
      </c>
      <c r="R124" s="19">
        <v>0.267</v>
      </c>
      <c r="S124" s="19">
        <f t="shared" si="13"/>
        <v>4.771</v>
      </c>
      <c r="T124" s="19">
        <v>1656.01</v>
      </c>
      <c r="U124" s="19">
        <f t="shared" si="14"/>
        <v>0.410263969577228</v>
      </c>
      <c r="V124" s="19">
        <v>964.54</v>
      </c>
      <c r="W124" s="19">
        <f t="shared" si="15"/>
        <v>0.238957499783225</v>
      </c>
      <c r="X124" s="19">
        <v>1415.9</v>
      </c>
      <c r="Y124" s="14">
        <f t="shared" si="16"/>
        <v>0.350778530639547</v>
      </c>
      <c r="Z124" s="14">
        <v>4036.45</v>
      </c>
      <c r="AA124" s="25">
        <v>2.3</v>
      </c>
      <c r="AB124" s="25">
        <v>15.5</v>
      </c>
      <c r="AC124" s="25">
        <v>134.2</v>
      </c>
      <c r="AD124" s="25">
        <v>16.6</v>
      </c>
      <c r="AE124" s="25">
        <v>107.4</v>
      </c>
      <c r="AF124" s="25">
        <v>24.5</v>
      </c>
      <c r="AG124" s="25">
        <v>7.3</v>
      </c>
      <c r="AH124" s="25">
        <v>21.2</v>
      </c>
      <c r="AI124" s="25">
        <v>12.4</v>
      </c>
      <c r="AJ124" s="25">
        <v>9</v>
      </c>
      <c r="AK124" s="25">
        <f t="shared" si="17"/>
        <v>74.4</v>
      </c>
      <c r="AL124" s="25">
        <v>23.3</v>
      </c>
      <c r="AM124" s="25">
        <v>9.5</v>
      </c>
      <c r="AN124" s="19">
        <v>1.9</v>
      </c>
      <c r="AO124" s="25">
        <v>5.1</v>
      </c>
      <c r="AP124" s="25">
        <f t="shared" si="18"/>
        <v>39.8</v>
      </c>
      <c r="AQ124" s="25">
        <v>9.6</v>
      </c>
      <c r="AR124" s="25">
        <v>72.2</v>
      </c>
      <c r="AS124" s="25">
        <v>36.4</v>
      </c>
      <c r="AT124" s="25">
        <v>81.5</v>
      </c>
      <c r="AU124" s="25">
        <f t="shared" si="19"/>
        <v>199.7</v>
      </c>
      <c r="AV124" s="25">
        <v>11.2</v>
      </c>
      <c r="AW124" s="19">
        <v>1091.732</v>
      </c>
      <c r="AX124" s="25">
        <v>3316.044</v>
      </c>
      <c r="AY124" s="19">
        <v>4407.776</v>
      </c>
      <c r="AZ124" s="25">
        <v>799.253</v>
      </c>
      <c r="BA124" s="25">
        <v>1516.935</v>
      </c>
      <c r="BB124" s="25">
        <v>2316.188</v>
      </c>
      <c r="BC124" s="25">
        <f t="shared" si="20"/>
        <v>0.592755778768856</v>
      </c>
    </row>
    <row r="125" ht="14" spans="1:55">
      <c r="A125" s="29">
        <v>2014</v>
      </c>
      <c r="B125" s="29">
        <v>430000</v>
      </c>
      <c r="C125" s="30" t="s">
        <v>63</v>
      </c>
      <c r="D125" s="25">
        <v>0</v>
      </c>
      <c r="E125" s="25">
        <v>0</v>
      </c>
      <c r="F125" s="25">
        <v>1</v>
      </c>
      <c r="G125" s="25">
        <v>0</v>
      </c>
      <c r="H125" s="19">
        <v>55.3</v>
      </c>
      <c r="I125" s="19">
        <v>44.7</v>
      </c>
      <c r="J125" s="25">
        <v>1</v>
      </c>
      <c r="K125" s="25">
        <v>15.6</v>
      </c>
      <c r="L125" s="25">
        <f t="shared" si="11"/>
        <v>16.6</v>
      </c>
      <c r="M125" s="25">
        <v>44.3</v>
      </c>
      <c r="N125" s="25">
        <v>23.4</v>
      </c>
      <c r="O125" s="25">
        <v>10.1</v>
      </c>
      <c r="P125" s="25">
        <f t="shared" si="12"/>
        <v>77.8</v>
      </c>
      <c r="Q125" s="25">
        <v>5.1</v>
      </c>
      <c r="R125" s="19">
        <v>0.4</v>
      </c>
      <c r="S125" s="19">
        <f t="shared" si="13"/>
        <v>5.5</v>
      </c>
      <c r="T125" s="19">
        <v>1651.37</v>
      </c>
      <c r="U125" s="19">
        <f t="shared" si="14"/>
        <v>0.408337516350859</v>
      </c>
      <c r="V125" s="19">
        <v>957.77</v>
      </c>
      <c r="W125" s="19">
        <f t="shared" si="15"/>
        <v>0.236829676592988</v>
      </c>
      <c r="X125" s="19">
        <v>1434.99</v>
      </c>
      <c r="Y125" s="14">
        <f t="shared" si="16"/>
        <v>0.354832807056153</v>
      </c>
      <c r="Z125" s="14">
        <v>4044.13</v>
      </c>
      <c r="AA125" s="25">
        <v>2.2</v>
      </c>
      <c r="AB125" s="25">
        <v>12.6</v>
      </c>
      <c r="AC125" s="25">
        <v>130.7</v>
      </c>
      <c r="AD125" s="25">
        <v>16.5</v>
      </c>
      <c r="AE125" s="25">
        <v>107.9</v>
      </c>
      <c r="AF125" s="25">
        <v>25.2</v>
      </c>
      <c r="AG125" s="25">
        <v>7.6</v>
      </c>
      <c r="AH125" s="25">
        <v>22.4</v>
      </c>
      <c r="AI125" s="25">
        <v>12.9</v>
      </c>
      <c r="AJ125" s="25">
        <v>9.1</v>
      </c>
      <c r="AK125" s="25">
        <f t="shared" si="17"/>
        <v>77.2</v>
      </c>
      <c r="AL125" s="25">
        <v>20.7</v>
      </c>
      <c r="AM125" s="25">
        <v>8.5</v>
      </c>
      <c r="AN125" s="19">
        <v>1.8</v>
      </c>
      <c r="AO125" s="25">
        <v>5.3</v>
      </c>
      <c r="AP125" s="25">
        <f t="shared" si="18"/>
        <v>36.3</v>
      </c>
      <c r="AQ125" s="25">
        <v>9.5</v>
      </c>
      <c r="AR125" s="25">
        <v>73.7</v>
      </c>
      <c r="AS125" s="25">
        <v>38.1</v>
      </c>
      <c r="AT125" s="25">
        <v>81.3</v>
      </c>
      <c r="AU125" s="25">
        <f t="shared" si="19"/>
        <v>202.6</v>
      </c>
      <c r="AV125" s="25">
        <v>12</v>
      </c>
      <c r="AW125" s="19">
        <v>1118.9</v>
      </c>
      <c r="AX125" s="25">
        <v>3298.3</v>
      </c>
      <c r="AY125" s="19">
        <v>4417.2</v>
      </c>
      <c r="AZ125" s="25">
        <v>807.9</v>
      </c>
      <c r="BA125" s="25">
        <v>1492.8</v>
      </c>
      <c r="BB125" s="25">
        <v>2300.7</v>
      </c>
      <c r="BC125" s="25">
        <f t="shared" si="20"/>
        <v>0.604459257861199</v>
      </c>
    </row>
    <row r="126" ht="14" spans="1:55">
      <c r="A126" s="29">
        <v>2015</v>
      </c>
      <c r="B126" s="29">
        <v>430000</v>
      </c>
      <c r="C126" s="30" t="s">
        <v>63</v>
      </c>
      <c r="D126" s="25">
        <v>0</v>
      </c>
      <c r="E126" s="25">
        <v>0</v>
      </c>
      <c r="F126" s="25">
        <v>1</v>
      </c>
      <c r="G126" s="25">
        <v>0</v>
      </c>
      <c r="H126" s="19">
        <v>58.6</v>
      </c>
      <c r="I126" s="19">
        <v>41.4</v>
      </c>
      <c r="J126" s="25">
        <v>2.231</v>
      </c>
      <c r="K126" s="25">
        <v>17.942</v>
      </c>
      <c r="L126" s="25">
        <f t="shared" si="11"/>
        <v>20.173</v>
      </c>
      <c r="M126" s="25">
        <v>44.69</v>
      </c>
      <c r="N126" s="25">
        <v>15.219</v>
      </c>
      <c r="O126" s="25">
        <v>8.232</v>
      </c>
      <c r="P126" s="25">
        <f t="shared" si="12"/>
        <v>68.141</v>
      </c>
      <c r="Q126" s="25">
        <v>6.227</v>
      </c>
      <c r="R126" s="19">
        <v>0.446</v>
      </c>
      <c r="S126" s="19">
        <f t="shared" si="13"/>
        <v>6.673</v>
      </c>
      <c r="T126" s="19">
        <v>1618.71</v>
      </c>
      <c r="U126" s="19">
        <f t="shared" si="14"/>
        <v>0.406680400974801</v>
      </c>
      <c r="V126" s="19">
        <v>935.84</v>
      </c>
      <c r="W126" s="19">
        <f t="shared" si="15"/>
        <v>0.23511795593297</v>
      </c>
      <c r="X126" s="19">
        <v>1425.75</v>
      </c>
      <c r="Y126" s="14">
        <f t="shared" si="16"/>
        <v>0.358201643092229</v>
      </c>
      <c r="Z126" s="14">
        <v>3980.3</v>
      </c>
      <c r="AA126" s="25">
        <v>2.4</v>
      </c>
      <c r="AB126" s="25">
        <v>10.3</v>
      </c>
      <c r="AC126" s="25">
        <v>121.8</v>
      </c>
      <c r="AD126" s="25">
        <v>17.3</v>
      </c>
      <c r="AE126" s="25">
        <v>106.3</v>
      </c>
      <c r="AF126" s="25">
        <v>24.4</v>
      </c>
      <c r="AG126" s="25">
        <v>7.2</v>
      </c>
      <c r="AH126" s="25">
        <v>24</v>
      </c>
      <c r="AI126" s="25">
        <v>11.5</v>
      </c>
      <c r="AJ126" s="25">
        <v>9.8</v>
      </c>
      <c r="AK126" s="25">
        <f t="shared" si="17"/>
        <v>76.9</v>
      </c>
      <c r="AL126" s="25">
        <v>21.3</v>
      </c>
      <c r="AM126" s="25">
        <v>8.3</v>
      </c>
      <c r="AN126" s="19">
        <v>1.7</v>
      </c>
      <c r="AO126" s="25">
        <v>5.5</v>
      </c>
      <c r="AP126" s="25">
        <f t="shared" si="18"/>
        <v>36.8</v>
      </c>
      <c r="AQ126" s="25">
        <v>8.4</v>
      </c>
      <c r="AR126" s="25">
        <v>67.2</v>
      </c>
      <c r="AS126" s="25">
        <v>37.5</v>
      </c>
      <c r="AT126" s="25">
        <v>81.8</v>
      </c>
      <c r="AU126" s="25">
        <f t="shared" si="19"/>
        <v>194.9</v>
      </c>
      <c r="AV126" s="25">
        <v>12.4</v>
      </c>
      <c r="AW126" s="19">
        <v>1160.069</v>
      </c>
      <c r="AX126" s="25">
        <v>3280.1</v>
      </c>
      <c r="AY126" s="19">
        <v>4440.169</v>
      </c>
      <c r="AZ126" s="25">
        <v>818.776</v>
      </c>
      <c r="BA126" s="25">
        <v>1843.555</v>
      </c>
      <c r="BB126" s="25">
        <v>2662.331</v>
      </c>
      <c r="BC126" s="25">
        <f t="shared" si="20"/>
        <v>0.568807880446135</v>
      </c>
    </row>
    <row r="127" ht="14" spans="1:55">
      <c r="A127" s="29">
        <v>2016</v>
      </c>
      <c r="B127" s="29">
        <v>430000</v>
      </c>
      <c r="C127" s="30" t="s">
        <v>63</v>
      </c>
      <c r="D127" s="25">
        <v>0</v>
      </c>
      <c r="E127" s="25">
        <v>0</v>
      </c>
      <c r="F127" s="25">
        <v>1</v>
      </c>
      <c r="G127" s="25">
        <v>0</v>
      </c>
      <c r="H127" s="19">
        <v>58.643</v>
      </c>
      <c r="I127" s="19">
        <v>41.357</v>
      </c>
      <c r="J127" s="25">
        <v>1.62</v>
      </c>
      <c r="K127" s="25">
        <v>16.871</v>
      </c>
      <c r="L127" s="25">
        <f t="shared" si="11"/>
        <v>18.491</v>
      </c>
      <c r="M127" s="25">
        <v>44.224</v>
      </c>
      <c r="N127" s="25">
        <v>16.276</v>
      </c>
      <c r="O127" s="25">
        <v>8.613</v>
      </c>
      <c r="P127" s="25">
        <f t="shared" si="12"/>
        <v>69.113</v>
      </c>
      <c r="Q127" s="25">
        <v>6.42</v>
      </c>
      <c r="R127" s="19">
        <v>0.564</v>
      </c>
      <c r="S127" s="19">
        <f t="shared" si="13"/>
        <v>6.984</v>
      </c>
      <c r="T127" s="19">
        <v>1587.32</v>
      </c>
      <c r="U127" s="19">
        <f t="shared" si="14"/>
        <v>0.404886223634773</v>
      </c>
      <c r="V127" s="19">
        <v>912.16</v>
      </c>
      <c r="W127" s="19">
        <f t="shared" si="15"/>
        <v>0.232669542216248</v>
      </c>
      <c r="X127" s="19">
        <v>1420.93</v>
      </c>
      <c r="Y127" s="14">
        <f t="shared" si="16"/>
        <v>0.362444234148979</v>
      </c>
      <c r="Z127" s="14">
        <v>3920.41</v>
      </c>
      <c r="AA127" s="25">
        <v>2.1</v>
      </c>
      <c r="AB127" s="25">
        <v>8.1</v>
      </c>
      <c r="AC127" s="25">
        <v>109.3</v>
      </c>
      <c r="AD127" s="25">
        <v>16.6</v>
      </c>
      <c r="AE127" s="25">
        <v>108.7</v>
      </c>
      <c r="AF127" s="25">
        <v>24</v>
      </c>
      <c r="AG127" s="25">
        <v>7.4</v>
      </c>
      <c r="AH127" s="25">
        <v>25.3</v>
      </c>
      <c r="AI127" s="25">
        <v>11.7</v>
      </c>
      <c r="AJ127" s="25">
        <v>9.9</v>
      </c>
      <c r="AK127" s="25">
        <f t="shared" si="17"/>
        <v>78.3</v>
      </c>
      <c r="AL127" s="25">
        <v>20.2</v>
      </c>
      <c r="AM127" s="25">
        <v>7.4</v>
      </c>
      <c r="AN127" s="19">
        <v>1.7</v>
      </c>
      <c r="AO127" s="25">
        <v>5.7</v>
      </c>
      <c r="AP127" s="25">
        <f t="shared" si="18"/>
        <v>35</v>
      </c>
      <c r="AQ127" s="25">
        <v>8.2</v>
      </c>
      <c r="AR127" s="25">
        <v>67.7</v>
      </c>
      <c r="AS127" s="25">
        <v>39.4</v>
      </c>
      <c r="AT127" s="25">
        <v>82.7</v>
      </c>
      <c r="AU127" s="25">
        <f t="shared" si="19"/>
        <v>198</v>
      </c>
      <c r="AV127" s="25">
        <v>12.2</v>
      </c>
      <c r="AW127" s="19">
        <v>1186.654</v>
      </c>
      <c r="AX127" s="25">
        <v>3320.462</v>
      </c>
      <c r="AY127" s="19">
        <v>4507.116</v>
      </c>
      <c r="AZ127" s="25">
        <v>829.558</v>
      </c>
      <c r="BA127" s="25">
        <v>1816.589</v>
      </c>
      <c r="BB127" s="25">
        <v>2646.146</v>
      </c>
      <c r="BC127" s="25">
        <f t="shared" si="20"/>
        <v>0.576781233624658</v>
      </c>
    </row>
    <row r="128" ht="14" spans="1:55">
      <c r="A128" s="29">
        <v>2017</v>
      </c>
      <c r="B128" s="29">
        <v>430000</v>
      </c>
      <c r="C128" s="30" t="s">
        <v>63</v>
      </c>
      <c r="D128" s="25">
        <v>0</v>
      </c>
      <c r="E128" s="25">
        <v>0</v>
      </c>
      <c r="F128" s="25">
        <v>1</v>
      </c>
      <c r="G128" s="25">
        <v>0</v>
      </c>
      <c r="H128" s="19">
        <v>58.382</v>
      </c>
      <c r="I128" s="19">
        <v>41.618</v>
      </c>
      <c r="J128" s="25">
        <v>1.176</v>
      </c>
      <c r="K128" s="25">
        <v>15.47</v>
      </c>
      <c r="L128" s="25">
        <f t="shared" si="11"/>
        <v>16.646</v>
      </c>
      <c r="M128" s="25">
        <v>43.645</v>
      </c>
      <c r="N128" s="25">
        <v>17.492</v>
      </c>
      <c r="O128" s="25">
        <v>9.117</v>
      </c>
      <c r="P128" s="25">
        <f t="shared" si="12"/>
        <v>70.254</v>
      </c>
      <c r="Q128" s="25">
        <v>6.517</v>
      </c>
      <c r="R128" s="19">
        <v>0.622</v>
      </c>
      <c r="S128" s="19">
        <f t="shared" si="13"/>
        <v>7.139</v>
      </c>
      <c r="T128" s="19">
        <v>1515.16</v>
      </c>
      <c r="U128" s="19">
        <f t="shared" si="14"/>
        <v>0.396927607001954</v>
      </c>
      <c r="V128" s="19">
        <v>871.17</v>
      </c>
      <c r="W128" s="19">
        <f t="shared" si="15"/>
        <v>0.228221061400705</v>
      </c>
      <c r="X128" s="19">
        <v>1430.89</v>
      </c>
      <c r="Y128" s="14">
        <f t="shared" si="16"/>
        <v>0.374851331597341</v>
      </c>
      <c r="Z128" s="14">
        <v>3817.22</v>
      </c>
      <c r="AA128" s="25">
        <v>2.5</v>
      </c>
      <c r="AB128" s="25">
        <v>7.1</v>
      </c>
      <c r="AC128" s="25">
        <v>109</v>
      </c>
      <c r="AD128" s="25">
        <v>15.7</v>
      </c>
      <c r="AE128" s="25">
        <v>110.2</v>
      </c>
      <c r="AF128" s="25">
        <v>23.4</v>
      </c>
      <c r="AG128" s="25">
        <v>6.9</v>
      </c>
      <c r="AH128" s="25">
        <v>26.7</v>
      </c>
      <c r="AI128" s="25">
        <v>11.4</v>
      </c>
      <c r="AJ128" s="25">
        <v>10.3</v>
      </c>
      <c r="AK128" s="25">
        <f t="shared" si="17"/>
        <v>78.7</v>
      </c>
      <c r="AL128" s="25">
        <v>19.3</v>
      </c>
      <c r="AM128" s="25">
        <v>6.8</v>
      </c>
      <c r="AN128" s="19">
        <v>1.5</v>
      </c>
      <c r="AO128" s="25">
        <v>5.7</v>
      </c>
      <c r="AP128" s="25">
        <f t="shared" si="18"/>
        <v>33.3</v>
      </c>
      <c r="AQ128" s="25">
        <v>7.3</v>
      </c>
      <c r="AR128" s="25">
        <v>66.9</v>
      </c>
      <c r="AS128" s="25">
        <v>40.3</v>
      </c>
      <c r="AT128" s="25">
        <v>81.7</v>
      </c>
      <c r="AU128" s="25">
        <f t="shared" si="19"/>
        <v>196.2</v>
      </c>
      <c r="AV128" s="25">
        <v>12.7</v>
      </c>
      <c r="AW128" s="19">
        <v>1279.331</v>
      </c>
      <c r="AX128" s="25">
        <v>3322.016</v>
      </c>
      <c r="AY128" s="19">
        <v>4601.347</v>
      </c>
      <c r="AZ128" s="25">
        <v>867.146</v>
      </c>
      <c r="BA128" s="25">
        <v>6039.125</v>
      </c>
      <c r="BB128" s="25">
        <v>6906.271</v>
      </c>
      <c r="BC128" s="25">
        <f t="shared" si="20"/>
        <v>0.403593239187758</v>
      </c>
    </row>
    <row r="129" ht="14" spans="1:55">
      <c r="A129" s="29">
        <v>2018</v>
      </c>
      <c r="B129" s="29">
        <v>430000</v>
      </c>
      <c r="C129" s="30" t="s">
        <v>63</v>
      </c>
      <c r="D129" s="25">
        <v>0</v>
      </c>
      <c r="E129" s="25">
        <v>0</v>
      </c>
      <c r="F129" s="25">
        <v>1</v>
      </c>
      <c r="G129" s="25">
        <v>0</v>
      </c>
      <c r="H129" s="19">
        <v>58.631</v>
      </c>
      <c r="I129" s="19">
        <v>41.369</v>
      </c>
      <c r="J129" s="25">
        <v>1.192</v>
      </c>
      <c r="K129" s="25">
        <v>14.938</v>
      </c>
      <c r="L129" s="25">
        <f t="shared" si="11"/>
        <v>16.13</v>
      </c>
      <c r="M129" s="25">
        <v>44.176</v>
      </c>
      <c r="N129" s="25">
        <v>17.168</v>
      </c>
      <c r="O129" s="25">
        <v>9.195</v>
      </c>
      <c r="P129" s="25">
        <f t="shared" si="12"/>
        <v>70.539</v>
      </c>
      <c r="Q129" s="25">
        <v>6.751</v>
      </c>
      <c r="R129" s="19">
        <v>0.585</v>
      </c>
      <c r="S129" s="19">
        <f t="shared" si="13"/>
        <v>7.336</v>
      </c>
      <c r="T129" s="19">
        <v>1462.38</v>
      </c>
      <c r="U129" s="19">
        <f t="shared" si="14"/>
        <v>0.391159210181406</v>
      </c>
      <c r="V129" s="19">
        <v>836.44</v>
      </c>
      <c r="W129" s="19">
        <f t="shared" si="15"/>
        <v>0.223732005199835</v>
      </c>
      <c r="X129" s="19">
        <v>1439.76</v>
      </c>
      <c r="Y129" s="14">
        <f t="shared" si="16"/>
        <v>0.385108784618759</v>
      </c>
      <c r="Z129" s="14">
        <v>3738.58</v>
      </c>
      <c r="AA129" s="25">
        <v>2.2</v>
      </c>
      <c r="AB129" s="25">
        <v>5.3</v>
      </c>
      <c r="AC129" s="25">
        <v>95.3</v>
      </c>
      <c r="AD129" s="25">
        <v>14.9</v>
      </c>
      <c r="AE129" s="25">
        <v>106.8</v>
      </c>
      <c r="AF129" s="25">
        <v>21.9</v>
      </c>
      <c r="AG129" s="25">
        <v>6.8</v>
      </c>
      <c r="AH129" s="25">
        <v>27.6</v>
      </c>
      <c r="AI129" s="25">
        <v>11.2</v>
      </c>
      <c r="AJ129" s="25">
        <v>9.8</v>
      </c>
      <c r="AK129" s="25">
        <f t="shared" si="17"/>
        <v>77.3</v>
      </c>
      <c r="AL129" s="25">
        <v>20.2</v>
      </c>
      <c r="AM129" s="25">
        <v>6.3</v>
      </c>
      <c r="AN129" s="19">
        <v>1.5</v>
      </c>
      <c r="AO129" s="25">
        <v>5.5</v>
      </c>
      <c r="AP129" s="25">
        <f t="shared" si="18"/>
        <v>33.5</v>
      </c>
      <c r="AQ129" s="25">
        <v>8.3</v>
      </c>
      <c r="AR129" s="25">
        <v>67.6</v>
      </c>
      <c r="AS129" s="25">
        <v>41.1</v>
      </c>
      <c r="AT129" s="25">
        <v>81.6</v>
      </c>
      <c r="AU129" s="25">
        <f t="shared" si="19"/>
        <v>198.6</v>
      </c>
      <c r="AV129" s="25">
        <v>12.5</v>
      </c>
      <c r="AW129" s="19">
        <v>1402.392</v>
      </c>
      <c r="AX129" s="25">
        <v>3404.971</v>
      </c>
      <c r="AY129" s="19">
        <v>4807.363</v>
      </c>
      <c r="AZ129" s="25">
        <v>898.479</v>
      </c>
      <c r="BA129" s="25">
        <v>5939.546</v>
      </c>
      <c r="BB129" s="25">
        <v>6838.025</v>
      </c>
      <c r="BC129" s="25">
        <f t="shared" si="20"/>
        <v>0.423112035637077</v>
      </c>
    </row>
    <row r="130" ht="14" spans="1:55">
      <c r="A130" s="29">
        <v>2019</v>
      </c>
      <c r="B130" s="29">
        <v>430000</v>
      </c>
      <c r="C130" s="30" t="s">
        <v>63</v>
      </c>
      <c r="D130" s="25">
        <v>0</v>
      </c>
      <c r="E130" s="25">
        <v>0</v>
      </c>
      <c r="F130" s="25">
        <v>1</v>
      </c>
      <c r="G130" s="25">
        <v>0</v>
      </c>
      <c r="H130" s="19">
        <v>56.2</v>
      </c>
      <c r="I130" s="19">
        <v>43.8</v>
      </c>
      <c r="J130" s="25">
        <v>1.1</v>
      </c>
      <c r="K130" s="25">
        <v>12.2</v>
      </c>
      <c r="L130" s="25">
        <f t="shared" si="11"/>
        <v>13.3</v>
      </c>
      <c r="M130" s="25">
        <v>41</v>
      </c>
      <c r="N130" s="25">
        <v>23.7</v>
      </c>
      <c r="O130" s="25">
        <v>12.7</v>
      </c>
      <c r="P130" s="25">
        <f t="shared" si="12"/>
        <v>77.4</v>
      </c>
      <c r="Q130" s="25">
        <v>8.5</v>
      </c>
      <c r="R130" s="19">
        <v>0.7</v>
      </c>
      <c r="S130" s="19">
        <f t="shared" si="13"/>
        <v>9.2</v>
      </c>
      <c r="T130" s="19">
        <v>1409.24</v>
      </c>
      <c r="U130" s="19">
        <f t="shared" si="14"/>
        <v>0.384357749121773</v>
      </c>
      <c r="V130" s="19">
        <v>810.04</v>
      </c>
      <c r="W130" s="19">
        <f t="shared" si="15"/>
        <v>0.220931247408959</v>
      </c>
      <c r="X130" s="19">
        <v>1447.2</v>
      </c>
      <c r="Y130" s="14">
        <f t="shared" si="16"/>
        <v>0.394711003469268</v>
      </c>
      <c r="Z130" s="14">
        <v>3666.48</v>
      </c>
      <c r="AA130" s="25">
        <v>1.4</v>
      </c>
      <c r="AB130" s="25">
        <v>5</v>
      </c>
      <c r="AC130" s="25">
        <v>94.3</v>
      </c>
      <c r="AD130" s="25">
        <v>15.1</v>
      </c>
      <c r="AE130" s="25">
        <v>105</v>
      </c>
      <c r="AF130" s="25">
        <v>25.9</v>
      </c>
      <c r="AG130" s="25">
        <v>8.1</v>
      </c>
      <c r="AH130" s="25">
        <v>35.7</v>
      </c>
      <c r="AI130" s="25">
        <v>13.4</v>
      </c>
      <c r="AJ130" s="25">
        <v>13.9</v>
      </c>
      <c r="AK130" s="25">
        <f t="shared" si="17"/>
        <v>97</v>
      </c>
      <c r="AL130" s="25">
        <v>21.7</v>
      </c>
      <c r="AM130" s="25">
        <v>6.3</v>
      </c>
      <c r="AN130" s="19">
        <v>2.3</v>
      </c>
      <c r="AO130" s="25">
        <v>6.2</v>
      </c>
      <c r="AP130" s="25">
        <f t="shared" si="18"/>
        <v>36.5</v>
      </c>
      <c r="AQ130" s="25">
        <v>9.5</v>
      </c>
      <c r="AR130" s="25">
        <v>84.1</v>
      </c>
      <c r="AS130" s="25">
        <v>45.9</v>
      </c>
      <c r="AT130" s="25">
        <v>88.8</v>
      </c>
      <c r="AU130" s="25">
        <f t="shared" si="19"/>
        <v>228.3</v>
      </c>
      <c r="AV130" s="25">
        <v>14.1</v>
      </c>
      <c r="AW130" s="19">
        <v>1557.8</v>
      </c>
      <c r="AX130" s="25">
        <v>3413.6</v>
      </c>
      <c r="AY130" s="19">
        <v>4971.4</v>
      </c>
      <c r="AZ130" s="25">
        <v>930.6</v>
      </c>
      <c r="BA130" s="25">
        <v>5785.4</v>
      </c>
      <c r="BB130" s="25">
        <v>6716.1</v>
      </c>
      <c r="BC130" s="25">
        <f t="shared" si="20"/>
        <v>0.451914934216141</v>
      </c>
    </row>
    <row r="131" ht="14" spans="1:55">
      <c r="A131" s="29">
        <v>2020</v>
      </c>
      <c r="B131" s="29">
        <v>430000</v>
      </c>
      <c r="C131" s="30" t="s">
        <v>63</v>
      </c>
      <c r="D131" s="25">
        <v>0</v>
      </c>
      <c r="E131" s="25">
        <v>0</v>
      </c>
      <c r="F131" s="25">
        <v>1</v>
      </c>
      <c r="G131" s="25">
        <v>0</v>
      </c>
      <c r="H131" s="19">
        <v>56.3</v>
      </c>
      <c r="I131" s="19">
        <v>43.7</v>
      </c>
      <c r="J131" s="25">
        <v>0.8</v>
      </c>
      <c r="K131" s="25">
        <v>12.8</v>
      </c>
      <c r="L131" s="25">
        <f t="shared" si="11"/>
        <v>13.6</v>
      </c>
      <c r="M131" s="25">
        <v>42.5</v>
      </c>
      <c r="N131" s="25">
        <v>23</v>
      </c>
      <c r="O131" s="25">
        <v>11.6</v>
      </c>
      <c r="P131" s="25">
        <f t="shared" si="12"/>
        <v>77.1</v>
      </c>
      <c r="Q131" s="25">
        <v>8.6</v>
      </c>
      <c r="R131" s="19">
        <v>0.7</v>
      </c>
      <c r="S131" s="19">
        <f t="shared" si="13"/>
        <v>9.3</v>
      </c>
      <c r="T131" s="19">
        <v>836</v>
      </c>
      <c r="U131" s="19">
        <f t="shared" si="14"/>
        <v>0.254878048780488</v>
      </c>
      <c r="V131" s="19">
        <v>884</v>
      </c>
      <c r="W131" s="19">
        <f t="shared" si="15"/>
        <v>0.269512195121951</v>
      </c>
      <c r="X131" s="19">
        <v>1560</v>
      </c>
      <c r="Y131" s="14">
        <f t="shared" si="16"/>
        <v>0.475609756097561</v>
      </c>
      <c r="Z131" s="14">
        <v>3280</v>
      </c>
      <c r="AA131" s="25">
        <v>1.8</v>
      </c>
      <c r="AB131" s="25">
        <v>4.5</v>
      </c>
      <c r="AC131" s="25">
        <v>96.7</v>
      </c>
      <c r="AD131" s="25">
        <v>15.4</v>
      </c>
      <c r="AE131" s="25">
        <v>103.6</v>
      </c>
      <c r="AF131" s="25">
        <v>25.6</v>
      </c>
      <c r="AG131" s="25">
        <v>8.5</v>
      </c>
      <c r="AH131" s="25">
        <v>31.2</v>
      </c>
      <c r="AI131" s="25">
        <v>13.3</v>
      </c>
      <c r="AJ131" s="25">
        <v>12.8</v>
      </c>
      <c r="AK131" s="25">
        <f t="shared" si="17"/>
        <v>91.4</v>
      </c>
      <c r="AL131" s="25">
        <v>23.2</v>
      </c>
      <c r="AM131" s="25">
        <v>6.3</v>
      </c>
      <c r="AN131" s="19">
        <v>2.5</v>
      </c>
      <c r="AO131" s="25">
        <v>6.2</v>
      </c>
      <c r="AP131" s="25">
        <f t="shared" si="18"/>
        <v>38.2</v>
      </c>
      <c r="AQ131" s="25">
        <v>9.6</v>
      </c>
      <c r="AR131" s="25">
        <v>91.7</v>
      </c>
      <c r="AS131" s="25">
        <v>46.5</v>
      </c>
      <c r="AT131" s="25">
        <v>89.3</v>
      </c>
      <c r="AU131" s="25">
        <f t="shared" si="19"/>
        <v>237.1</v>
      </c>
      <c r="AV131" s="25">
        <v>16.2</v>
      </c>
      <c r="AW131" s="19">
        <v>1724.8</v>
      </c>
      <c r="AX131" s="25">
        <v>3471.1</v>
      </c>
      <c r="AY131" s="19">
        <v>5195.9</v>
      </c>
      <c r="AZ131" s="25">
        <v>989.8</v>
      </c>
      <c r="BA131" s="25">
        <v>5742</v>
      </c>
      <c r="BB131" s="25">
        <v>6731.8</v>
      </c>
      <c r="BC131" s="25">
        <f t="shared" si="20"/>
        <v>0.478987523558263</v>
      </c>
    </row>
    <row r="132" ht="14" spans="1:55">
      <c r="A132" s="29">
        <v>2021</v>
      </c>
      <c r="B132" s="29">
        <v>430000</v>
      </c>
      <c r="C132" s="30" t="s">
        <v>63</v>
      </c>
      <c r="D132" s="25">
        <v>0</v>
      </c>
      <c r="E132" s="25">
        <v>0</v>
      </c>
      <c r="F132" s="25">
        <v>1</v>
      </c>
      <c r="G132" s="25">
        <v>0</v>
      </c>
      <c r="H132" s="19">
        <v>57.413</v>
      </c>
      <c r="I132" s="19">
        <v>42.587</v>
      </c>
      <c r="J132" s="25">
        <v>0.879</v>
      </c>
      <c r="K132" s="25">
        <v>13.689</v>
      </c>
      <c r="L132" s="25">
        <f t="shared" si="11"/>
        <v>14.568</v>
      </c>
      <c r="M132" s="25">
        <v>41.336</v>
      </c>
      <c r="N132" s="25">
        <v>23.288</v>
      </c>
      <c r="O132" s="25">
        <v>11.288</v>
      </c>
      <c r="P132" s="25">
        <f t="shared" si="12"/>
        <v>75.912</v>
      </c>
      <c r="Q132" s="25">
        <v>8.526</v>
      </c>
      <c r="R132" s="19">
        <v>0.994</v>
      </c>
      <c r="S132" s="19">
        <f t="shared" si="13"/>
        <v>9.52</v>
      </c>
      <c r="T132" s="19">
        <v>801</v>
      </c>
      <c r="U132" s="19">
        <f t="shared" si="14"/>
        <v>0.24585635359116</v>
      </c>
      <c r="V132" s="19">
        <v>893</v>
      </c>
      <c r="W132" s="19">
        <f t="shared" si="15"/>
        <v>0.274094536525476</v>
      </c>
      <c r="X132" s="19">
        <v>1564</v>
      </c>
      <c r="Y132" s="14">
        <f t="shared" si="16"/>
        <v>0.480049109883364</v>
      </c>
      <c r="Z132" s="14">
        <v>3258</v>
      </c>
      <c r="AA132" s="25">
        <v>1.8</v>
      </c>
      <c r="AB132" s="25">
        <v>4.3</v>
      </c>
      <c r="AC132" s="25">
        <v>100.7</v>
      </c>
      <c r="AD132" s="25">
        <v>15.2</v>
      </c>
      <c r="AE132" s="25">
        <v>99.7</v>
      </c>
      <c r="AF132" s="25">
        <v>24.8</v>
      </c>
      <c r="AG132" s="25">
        <v>8.9</v>
      </c>
      <c r="AH132" s="25">
        <v>30.5</v>
      </c>
      <c r="AI132" s="25">
        <v>13.4</v>
      </c>
      <c r="AJ132" s="25">
        <v>15.9</v>
      </c>
      <c r="AK132" s="25">
        <f t="shared" si="17"/>
        <v>93.5</v>
      </c>
      <c r="AL132" s="25">
        <v>23</v>
      </c>
      <c r="AM132" s="25">
        <v>6.4</v>
      </c>
      <c r="AN132" s="19">
        <v>2.7</v>
      </c>
      <c r="AO132" s="25">
        <v>6.1</v>
      </c>
      <c r="AP132" s="25">
        <f t="shared" si="18"/>
        <v>38.2</v>
      </c>
      <c r="AQ132" s="25">
        <v>9.4</v>
      </c>
      <c r="AR132" s="25">
        <v>91.1</v>
      </c>
      <c r="AS132" s="25">
        <v>47.6</v>
      </c>
      <c r="AT132" s="25">
        <v>89</v>
      </c>
      <c r="AU132" s="25">
        <f t="shared" si="19"/>
        <v>237.1</v>
      </c>
      <c r="AV132" s="25">
        <v>15.5</v>
      </c>
      <c r="AW132" s="19">
        <v>1849.519</v>
      </c>
      <c r="AX132" s="25">
        <v>3435.068</v>
      </c>
      <c r="AY132" s="19">
        <v>5284.588</v>
      </c>
      <c r="AZ132" s="25">
        <v>1025.196</v>
      </c>
      <c r="BA132" s="25">
        <v>5723.464</v>
      </c>
      <c r="BB132" s="25">
        <v>6748.66</v>
      </c>
      <c r="BC132" s="25">
        <f t="shared" si="20"/>
        <v>0.501894620923192</v>
      </c>
    </row>
    <row r="133" ht="14" spans="1:55">
      <c r="A133" s="29">
        <v>2022</v>
      </c>
      <c r="B133" s="29">
        <v>430000</v>
      </c>
      <c r="C133" s="30" t="s">
        <v>63</v>
      </c>
      <c r="D133" s="25">
        <v>0</v>
      </c>
      <c r="E133" s="25">
        <v>0</v>
      </c>
      <c r="F133" s="25">
        <v>1</v>
      </c>
      <c r="G133" s="25">
        <v>0</v>
      </c>
      <c r="H133" s="19">
        <v>57.665</v>
      </c>
      <c r="I133" s="19">
        <v>42.335</v>
      </c>
      <c r="J133" s="25">
        <v>0.823</v>
      </c>
      <c r="K133" s="25">
        <v>16.127</v>
      </c>
      <c r="L133" s="25">
        <f t="shared" ref="L133:L196" si="21">J133+K133</f>
        <v>16.95</v>
      </c>
      <c r="M133" s="25">
        <v>39.638</v>
      </c>
      <c r="N133" s="25">
        <v>21.389</v>
      </c>
      <c r="O133" s="25">
        <v>11.563</v>
      </c>
      <c r="P133" s="25">
        <f t="shared" ref="P133:P196" si="22">M133+N133+O133</f>
        <v>72.59</v>
      </c>
      <c r="Q133" s="25">
        <v>9.389</v>
      </c>
      <c r="R133" s="19">
        <v>1.071</v>
      </c>
      <c r="S133" s="19">
        <f t="shared" ref="S133:S196" si="23">Q133+R133</f>
        <v>10.46</v>
      </c>
      <c r="T133" s="19">
        <v>785</v>
      </c>
      <c r="U133" s="19">
        <f t="shared" ref="U133:U196" si="24">T133/Z133</f>
        <v>0.243864554209382</v>
      </c>
      <c r="V133" s="19">
        <v>875</v>
      </c>
      <c r="W133" s="19">
        <f t="shared" ref="W133:W196" si="25">V133/Z133</f>
        <v>0.271823547685617</v>
      </c>
      <c r="X133" s="19">
        <v>1559</v>
      </c>
      <c r="Y133" s="14">
        <f t="shared" ref="Y133:Y196" si="26">X133/Z133</f>
        <v>0.484311898105002</v>
      </c>
      <c r="Z133" s="14">
        <v>3219</v>
      </c>
      <c r="AA133" s="25">
        <v>1.8</v>
      </c>
      <c r="AB133" s="25">
        <v>4.1</v>
      </c>
      <c r="AC133" s="25">
        <v>102.5</v>
      </c>
      <c r="AD133" s="25">
        <v>15.8</v>
      </c>
      <c r="AE133" s="25">
        <v>93.6</v>
      </c>
      <c r="AF133" s="25">
        <v>23.5</v>
      </c>
      <c r="AG133" s="25">
        <v>8.9</v>
      </c>
      <c r="AH133" s="25">
        <v>27.2</v>
      </c>
      <c r="AI133" s="25">
        <v>12.9</v>
      </c>
      <c r="AJ133" s="25">
        <v>14.3</v>
      </c>
      <c r="AK133" s="25">
        <f t="shared" ref="AK133:AK196" si="27">AF133+AG133+AH133+AI133+AJ133</f>
        <v>86.8</v>
      </c>
      <c r="AL133" s="25">
        <v>22.8</v>
      </c>
      <c r="AM133" s="25">
        <v>6.2</v>
      </c>
      <c r="AN133" s="19">
        <v>2.6</v>
      </c>
      <c r="AO133" s="25">
        <v>6.1</v>
      </c>
      <c r="AP133" s="25">
        <f t="shared" ref="AP133:AP196" si="28">AL133+AM133+AN133+AO133</f>
        <v>37.7</v>
      </c>
      <c r="AQ133" s="25">
        <v>9.4</v>
      </c>
      <c r="AR133" s="25">
        <v>88.8</v>
      </c>
      <c r="AS133" s="25">
        <v>48</v>
      </c>
      <c r="AT133" s="25">
        <v>87.1</v>
      </c>
      <c r="AU133" s="25">
        <f t="shared" ref="AU133:AU196" si="29">AQ133+AR133+AS133+AT133</f>
        <v>233.3</v>
      </c>
      <c r="AV133" s="25">
        <v>14.2</v>
      </c>
      <c r="AW133" s="19">
        <v>1892.865</v>
      </c>
      <c r="AX133" s="25">
        <v>3421.472</v>
      </c>
      <c r="AY133" s="19">
        <v>5314.338</v>
      </c>
      <c r="AZ133" s="25">
        <v>1052.644</v>
      </c>
      <c r="BA133" s="25">
        <v>5470.604</v>
      </c>
      <c r="BB133" s="25">
        <v>6523.249</v>
      </c>
      <c r="BC133" s="25">
        <f t="shared" si="20"/>
        <v>0.517548824311509</v>
      </c>
    </row>
    <row r="134" ht="14" spans="1:55">
      <c r="A134" s="29">
        <v>2013</v>
      </c>
      <c r="B134" s="29">
        <v>220000</v>
      </c>
      <c r="C134" s="30" t="s">
        <v>64</v>
      </c>
      <c r="D134" s="25">
        <v>0</v>
      </c>
      <c r="E134" s="25">
        <v>0</v>
      </c>
      <c r="F134" s="25">
        <v>0</v>
      </c>
      <c r="G134" s="25">
        <v>1</v>
      </c>
      <c r="H134" s="19">
        <v>54.2739999999999</v>
      </c>
      <c r="I134" s="19">
        <v>45.7260000000001</v>
      </c>
      <c r="J134" s="25">
        <v>1.201</v>
      </c>
      <c r="K134" s="25">
        <v>18.536</v>
      </c>
      <c r="L134" s="25">
        <f t="shared" si="21"/>
        <v>19.737</v>
      </c>
      <c r="M134" s="25">
        <v>51.229</v>
      </c>
      <c r="N134" s="25">
        <v>15.159</v>
      </c>
      <c r="O134" s="25">
        <v>7.152</v>
      </c>
      <c r="P134" s="25">
        <f t="shared" si="22"/>
        <v>73.54</v>
      </c>
      <c r="Q134" s="25">
        <v>6.244</v>
      </c>
      <c r="R134" s="19">
        <v>0.48</v>
      </c>
      <c r="S134" s="19">
        <f t="shared" si="23"/>
        <v>6.724</v>
      </c>
      <c r="T134" s="19">
        <v>607.09</v>
      </c>
      <c r="U134" s="19">
        <f t="shared" si="24"/>
        <v>0.416671242278655</v>
      </c>
      <c r="V134" s="19">
        <v>267.14</v>
      </c>
      <c r="W134" s="19">
        <f t="shared" si="25"/>
        <v>0.183349347975292</v>
      </c>
      <c r="X134" s="19">
        <v>582.77</v>
      </c>
      <c r="Y134" s="14">
        <f t="shared" si="26"/>
        <v>0.399979409746054</v>
      </c>
      <c r="Z134" s="14">
        <v>1457</v>
      </c>
      <c r="AA134" s="25">
        <v>13.7</v>
      </c>
      <c r="AB134" s="25">
        <v>15.4</v>
      </c>
      <c r="AC134" s="25">
        <v>88.4</v>
      </c>
      <c r="AD134" s="25">
        <v>14</v>
      </c>
      <c r="AE134" s="25">
        <v>33.9</v>
      </c>
      <c r="AF134" s="25">
        <v>17.2</v>
      </c>
      <c r="AG134" s="25">
        <v>6.7</v>
      </c>
      <c r="AH134" s="25">
        <v>11</v>
      </c>
      <c r="AI134" s="25">
        <v>8</v>
      </c>
      <c r="AJ134" s="25">
        <v>5.5</v>
      </c>
      <c r="AK134" s="25">
        <f t="shared" si="27"/>
        <v>48.4</v>
      </c>
      <c r="AL134" s="25">
        <v>12.9</v>
      </c>
      <c r="AM134" s="25">
        <v>3.3</v>
      </c>
      <c r="AN134" s="19">
        <v>1.3</v>
      </c>
      <c r="AO134" s="25">
        <v>3.6</v>
      </c>
      <c r="AP134" s="25">
        <f t="shared" si="28"/>
        <v>21.1</v>
      </c>
      <c r="AQ134" s="25">
        <v>8.3</v>
      </c>
      <c r="AR134" s="25">
        <v>37.1</v>
      </c>
      <c r="AS134" s="25">
        <v>17.4</v>
      </c>
      <c r="AT134" s="25">
        <v>35.1</v>
      </c>
      <c r="AU134" s="25">
        <f t="shared" si="29"/>
        <v>97.9</v>
      </c>
      <c r="AV134" s="25">
        <v>5.7</v>
      </c>
      <c r="AW134" s="19">
        <v>655.192</v>
      </c>
      <c r="AX134" s="25">
        <v>643.115</v>
      </c>
      <c r="AY134" s="19">
        <v>1298.307</v>
      </c>
      <c r="AZ134" s="25">
        <v>574.872</v>
      </c>
      <c r="BA134" s="25">
        <v>803.681</v>
      </c>
      <c r="BB134" s="25">
        <v>1378.553</v>
      </c>
      <c r="BC134" s="25">
        <f t="shared" si="20"/>
        <v>0.92166222751584</v>
      </c>
    </row>
    <row r="135" ht="14" spans="1:55">
      <c r="A135" s="29">
        <v>2014</v>
      </c>
      <c r="B135" s="29">
        <v>220000</v>
      </c>
      <c r="C135" s="30" t="s">
        <v>64</v>
      </c>
      <c r="D135" s="25">
        <v>0</v>
      </c>
      <c r="E135" s="25">
        <v>0</v>
      </c>
      <c r="F135" s="25">
        <v>0</v>
      </c>
      <c r="G135" s="25">
        <v>1</v>
      </c>
      <c r="H135" s="19">
        <v>55.7</v>
      </c>
      <c r="I135" s="19">
        <v>44.3</v>
      </c>
      <c r="J135" s="25">
        <v>0.7</v>
      </c>
      <c r="K135" s="25">
        <v>17.7</v>
      </c>
      <c r="L135" s="25">
        <f t="shared" si="21"/>
        <v>18.4</v>
      </c>
      <c r="M135" s="25">
        <v>52.7</v>
      </c>
      <c r="N135" s="25">
        <v>14</v>
      </c>
      <c r="O135" s="25">
        <v>7.6</v>
      </c>
      <c r="P135" s="25">
        <f t="shared" si="22"/>
        <v>74.3</v>
      </c>
      <c r="Q135" s="25">
        <v>6.9</v>
      </c>
      <c r="R135" s="19">
        <v>0.4</v>
      </c>
      <c r="S135" s="19">
        <f t="shared" si="23"/>
        <v>7.3</v>
      </c>
      <c r="T135" s="19">
        <v>586.53</v>
      </c>
      <c r="U135" s="19">
        <f t="shared" si="24"/>
        <v>0.411020245127925</v>
      </c>
      <c r="V135" s="19">
        <v>253.68</v>
      </c>
      <c r="W135" s="19">
        <f t="shared" si="25"/>
        <v>0.177770302941115</v>
      </c>
      <c r="X135" s="19">
        <v>586.8</v>
      </c>
      <c r="Y135" s="14">
        <f t="shared" si="26"/>
        <v>0.411209451930961</v>
      </c>
      <c r="Z135" s="14">
        <v>1427.01</v>
      </c>
      <c r="AA135" s="25">
        <v>13.3</v>
      </c>
      <c r="AB135" s="25">
        <v>14.3</v>
      </c>
      <c r="AC135" s="25">
        <v>86.7</v>
      </c>
      <c r="AD135" s="25">
        <v>13.5</v>
      </c>
      <c r="AE135" s="25">
        <v>33.2</v>
      </c>
      <c r="AF135" s="25">
        <v>16.4</v>
      </c>
      <c r="AG135" s="25">
        <v>6.6</v>
      </c>
      <c r="AH135" s="25">
        <v>11.5</v>
      </c>
      <c r="AI135" s="25">
        <v>7.9</v>
      </c>
      <c r="AJ135" s="25">
        <v>5.8</v>
      </c>
      <c r="AK135" s="25">
        <f t="shared" si="27"/>
        <v>48.2</v>
      </c>
      <c r="AL135" s="25">
        <v>12.5</v>
      </c>
      <c r="AM135" s="25">
        <v>3</v>
      </c>
      <c r="AN135" s="19">
        <v>1.7</v>
      </c>
      <c r="AO135" s="25">
        <v>3.5</v>
      </c>
      <c r="AP135" s="25">
        <f t="shared" si="28"/>
        <v>20.7</v>
      </c>
      <c r="AQ135" s="25">
        <v>8.2</v>
      </c>
      <c r="AR135" s="25">
        <v>36.6</v>
      </c>
      <c r="AS135" s="25">
        <v>17.9</v>
      </c>
      <c r="AT135" s="25">
        <v>35.6</v>
      </c>
      <c r="AU135" s="25">
        <f t="shared" si="29"/>
        <v>98.3</v>
      </c>
      <c r="AV135" s="25">
        <v>6.3</v>
      </c>
      <c r="AW135" s="19">
        <v>676.7</v>
      </c>
      <c r="AX135" s="25">
        <v>654.8</v>
      </c>
      <c r="AY135" s="19">
        <v>1331.5</v>
      </c>
      <c r="AZ135" s="25">
        <v>575.6</v>
      </c>
      <c r="BA135" s="25">
        <v>804.4</v>
      </c>
      <c r="BB135" s="25">
        <v>1380</v>
      </c>
      <c r="BC135" s="25">
        <f t="shared" si="20"/>
        <v>0.925325257010999</v>
      </c>
    </row>
    <row r="136" ht="14" spans="1:55">
      <c r="A136" s="29">
        <v>2015</v>
      </c>
      <c r="B136" s="29">
        <v>220000</v>
      </c>
      <c r="C136" s="30" t="s">
        <v>64</v>
      </c>
      <c r="D136" s="25">
        <v>0</v>
      </c>
      <c r="E136" s="25">
        <v>0</v>
      </c>
      <c r="F136" s="25">
        <v>0</v>
      </c>
      <c r="G136" s="25">
        <v>1</v>
      </c>
      <c r="H136" s="19">
        <v>57.126</v>
      </c>
      <c r="I136" s="19">
        <v>42.874</v>
      </c>
      <c r="J136" s="25">
        <v>1.151</v>
      </c>
      <c r="K136" s="25">
        <v>20.928</v>
      </c>
      <c r="L136" s="25">
        <f t="shared" si="21"/>
        <v>22.079</v>
      </c>
      <c r="M136" s="25">
        <v>43.121</v>
      </c>
      <c r="N136" s="25">
        <v>13.92</v>
      </c>
      <c r="O136" s="25">
        <v>7.604</v>
      </c>
      <c r="P136" s="25">
        <f t="shared" si="22"/>
        <v>64.645</v>
      </c>
      <c r="Q136" s="25">
        <v>7.759</v>
      </c>
      <c r="R136" s="19">
        <v>0.379</v>
      </c>
      <c r="S136" s="19">
        <f t="shared" si="23"/>
        <v>8.138</v>
      </c>
      <c r="T136" s="19">
        <v>566.9</v>
      </c>
      <c r="U136" s="19">
        <f t="shared" si="24"/>
        <v>0.405218012866333</v>
      </c>
      <c r="V136" s="19">
        <v>241</v>
      </c>
      <c r="W136" s="19">
        <f t="shared" si="25"/>
        <v>0.172265904217298</v>
      </c>
      <c r="X136" s="19">
        <v>591.1</v>
      </c>
      <c r="Y136" s="14">
        <f t="shared" si="26"/>
        <v>0.422516082916369</v>
      </c>
      <c r="Z136" s="14">
        <v>1399</v>
      </c>
      <c r="AA136" s="25">
        <v>12.8</v>
      </c>
      <c r="AB136" s="25">
        <v>14.1</v>
      </c>
      <c r="AC136" s="25">
        <v>84.2</v>
      </c>
      <c r="AD136" s="25">
        <v>13</v>
      </c>
      <c r="AE136" s="25">
        <v>29.3</v>
      </c>
      <c r="AF136" s="25">
        <v>16.6</v>
      </c>
      <c r="AG136" s="25">
        <v>6.6</v>
      </c>
      <c r="AH136" s="25">
        <v>11.8</v>
      </c>
      <c r="AI136" s="25">
        <v>7.5</v>
      </c>
      <c r="AJ136" s="25">
        <v>5</v>
      </c>
      <c r="AK136" s="25">
        <f t="shared" si="27"/>
        <v>47.5</v>
      </c>
      <c r="AL136" s="25">
        <v>11.4</v>
      </c>
      <c r="AM136" s="25">
        <v>3</v>
      </c>
      <c r="AN136" s="19">
        <v>2.2</v>
      </c>
      <c r="AO136" s="25">
        <v>3.6</v>
      </c>
      <c r="AP136" s="25">
        <f t="shared" si="28"/>
        <v>20.2</v>
      </c>
      <c r="AQ136" s="25">
        <v>8.3</v>
      </c>
      <c r="AR136" s="25">
        <v>36.1</v>
      </c>
      <c r="AS136" s="25">
        <v>18.1</v>
      </c>
      <c r="AT136" s="25">
        <v>35.5</v>
      </c>
      <c r="AU136" s="25">
        <f t="shared" si="29"/>
        <v>98</v>
      </c>
      <c r="AV136" s="25">
        <v>6</v>
      </c>
      <c r="AW136" s="19">
        <v>693.629</v>
      </c>
      <c r="AX136" s="25">
        <v>662.69</v>
      </c>
      <c r="AY136" s="19">
        <v>1356.319</v>
      </c>
      <c r="AZ136" s="25">
        <v>575.875</v>
      </c>
      <c r="BA136" s="25">
        <v>804.701</v>
      </c>
      <c r="BB136" s="25">
        <v>1380.576</v>
      </c>
      <c r="BC136" s="25">
        <f t="shared" si="20"/>
        <v>0.928532122301632</v>
      </c>
    </row>
    <row r="137" ht="14" spans="1:55">
      <c r="A137" s="29">
        <v>2016</v>
      </c>
      <c r="B137" s="29">
        <v>220000</v>
      </c>
      <c r="C137" s="30" t="s">
        <v>64</v>
      </c>
      <c r="D137" s="25">
        <v>0</v>
      </c>
      <c r="E137" s="25">
        <v>0</v>
      </c>
      <c r="F137" s="25">
        <v>0</v>
      </c>
      <c r="G137" s="25">
        <v>1</v>
      </c>
      <c r="H137" s="19">
        <v>55.545</v>
      </c>
      <c r="I137" s="19">
        <v>44.455</v>
      </c>
      <c r="J137" s="25">
        <v>0.915</v>
      </c>
      <c r="K137" s="25">
        <v>17.719</v>
      </c>
      <c r="L137" s="25">
        <f t="shared" si="21"/>
        <v>18.634</v>
      </c>
      <c r="M137" s="25">
        <v>46.646</v>
      </c>
      <c r="N137" s="25">
        <v>13.994</v>
      </c>
      <c r="O137" s="25">
        <v>7.685</v>
      </c>
      <c r="P137" s="25">
        <f t="shared" si="22"/>
        <v>68.325</v>
      </c>
      <c r="Q137" s="25">
        <v>7.507</v>
      </c>
      <c r="R137" s="19">
        <v>0.537</v>
      </c>
      <c r="S137" s="19">
        <f t="shared" si="23"/>
        <v>8.044</v>
      </c>
      <c r="T137" s="19">
        <v>546.24</v>
      </c>
      <c r="U137" s="19">
        <f t="shared" si="24"/>
        <v>0.399301164482196</v>
      </c>
      <c r="V137" s="19">
        <v>228.22</v>
      </c>
      <c r="W137" s="19">
        <f t="shared" si="25"/>
        <v>0.166828704888194</v>
      </c>
      <c r="X137" s="19">
        <v>593.53</v>
      </c>
      <c r="Y137" s="14">
        <f t="shared" si="26"/>
        <v>0.43387013062961</v>
      </c>
      <c r="Z137" s="14">
        <v>1367.99</v>
      </c>
      <c r="AA137" s="25">
        <v>12.5</v>
      </c>
      <c r="AB137" s="25">
        <v>13.1</v>
      </c>
      <c r="AC137" s="25">
        <v>81.9</v>
      </c>
      <c r="AD137" s="25">
        <v>12.3</v>
      </c>
      <c r="AE137" s="25">
        <v>27.3</v>
      </c>
      <c r="AF137" s="25">
        <v>16.1</v>
      </c>
      <c r="AG137" s="25">
        <v>6.4</v>
      </c>
      <c r="AH137" s="25">
        <v>12.1</v>
      </c>
      <c r="AI137" s="25">
        <v>7.6</v>
      </c>
      <c r="AJ137" s="25">
        <v>5.8</v>
      </c>
      <c r="AK137" s="25">
        <f t="shared" si="27"/>
        <v>48</v>
      </c>
      <c r="AL137" s="25">
        <v>11.6</v>
      </c>
      <c r="AM137" s="25">
        <v>2.8</v>
      </c>
      <c r="AN137" s="19">
        <v>2.5</v>
      </c>
      <c r="AO137" s="25">
        <v>3.5</v>
      </c>
      <c r="AP137" s="25">
        <f t="shared" si="28"/>
        <v>20.4</v>
      </c>
      <c r="AQ137" s="25">
        <v>8.5</v>
      </c>
      <c r="AR137" s="25">
        <v>36.2</v>
      </c>
      <c r="AS137" s="25">
        <v>18.7</v>
      </c>
      <c r="AT137" s="25">
        <v>36.3</v>
      </c>
      <c r="AU137" s="25">
        <f t="shared" si="29"/>
        <v>99.7</v>
      </c>
      <c r="AV137" s="25">
        <v>6.8</v>
      </c>
      <c r="AW137" s="19">
        <v>706.833</v>
      </c>
      <c r="AX137" s="25">
        <v>667.163</v>
      </c>
      <c r="AY137" s="19">
        <v>1373.996</v>
      </c>
      <c r="AZ137" s="25">
        <v>575.992</v>
      </c>
      <c r="BA137" s="25">
        <v>804.884</v>
      </c>
      <c r="BB137" s="25">
        <v>1380.876</v>
      </c>
      <c r="BC137" s="25">
        <f t="shared" si="20"/>
        <v>0.931556721710475</v>
      </c>
    </row>
    <row r="138" ht="14" spans="1:55">
      <c r="A138" s="29">
        <v>2017</v>
      </c>
      <c r="B138" s="29">
        <v>220000</v>
      </c>
      <c r="C138" s="30" t="s">
        <v>64</v>
      </c>
      <c r="D138" s="25">
        <v>0</v>
      </c>
      <c r="E138" s="25">
        <v>0</v>
      </c>
      <c r="F138" s="25">
        <v>0</v>
      </c>
      <c r="G138" s="25">
        <v>1</v>
      </c>
      <c r="H138" s="19">
        <v>56.092</v>
      </c>
      <c r="I138" s="19">
        <v>43.908</v>
      </c>
      <c r="J138" s="25">
        <v>0.696</v>
      </c>
      <c r="K138" s="25">
        <v>16.389</v>
      </c>
      <c r="L138" s="25">
        <f t="shared" si="21"/>
        <v>17.085</v>
      </c>
      <c r="M138" s="25">
        <v>46.857</v>
      </c>
      <c r="N138" s="25">
        <v>13.687</v>
      </c>
      <c r="O138" s="25">
        <v>8.366</v>
      </c>
      <c r="P138" s="25">
        <f t="shared" si="22"/>
        <v>68.91</v>
      </c>
      <c r="Q138" s="25">
        <v>8.307</v>
      </c>
      <c r="R138" s="19">
        <v>0.535</v>
      </c>
      <c r="S138" s="19">
        <f t="shared" si="23"/>
        <v>8.842</v>
      </c>
      <c r="T138" s="19">
        <v>526.54</v>
      </c>
      <c r="U138" s="19">
        <f t="shared" si="24"/>
        <v>0.393233756534727</v>
      </c>
      <c r="V138" s="19">
        <v>216.2</v>
      </c>
      <c r="W138" s="19">
        <f t="shared" si="25"/>
        <v>0.161463778939507</v>
      </c>
      <c r="X138" s="19">
        <v>596.26</v>
      </c>
      <c r="Y138" s="14">
        <f t="shared" si="26"/>
        <v>0.445302464525765</v>
      </c>
      <c r="Z138" s="14">
        <v>1339</v>
      </c>
      <c r="AA138" s="25">
        <v>11.4</v>
      </c>
      <c r="AB138" s="25">
        <v>12.2</v>
      </c>
      <c r="AC138" s="25">
        <v>70.9</v>
      </c>
      <c r="AD138" s="25">
        <v>11.9</v>
      </c>
      <c r="AE138" s="25">
        <v>23.7</v>
      </c>
      <c r="AF138" s="25">
        <v>16.2</v>
      </c>
      <c r="AG138" s="25">
        <v>6.3</v>
      </c>
      <c r="AH138" s="25">
        <v>12.2</v>
      </c>
      <c r="AI138" s="25">
        <v>7.7</v>
      </c>
      <c r="AJ138" s="25">
        <v>6.8</v>
      </c>
      <c r="AK138" s="25">
        <f t="shared" si="27"/>
        <v>49.2</v>
      </c>
      <c r="AL138" s="25">
        <v>11.4</v>
      </c>
      <c r="AM138" s="25">
        <v>2.8</v>
      </c>
      <c r="AN138" s="19">
        <v>2.6</v>
      </c>
      <c r="AO138" s="25">
        <v>3.7</v>
      </c>
      <c r="AP138" s="25">
        <f t="shared" si="28"/>
        <v>20.5</v>
      </c>
      <c r="AQ138" s="25">
        <v>8.5</v>
      </c>
      <c r="AR138" s="25">
        <v>36.1</v>
      </c>
      <c r="AS138" s="25">
        <v>19.6</v>
      </c>
      <c r="AT138" s="25">
        <v>36.2</v>
      </c>
      <c r="AU138" s="25">
        <f t="shared" si="29"/>
        <v>100.4</v>
      </c>
      <c r="AV138" s="25">
        <v>6.9</v>
      </c>
      <c r="AW138" s="19">
        <v>814.539</v>
      </c>
      <c r="AX138" s="25">
        <v>668.366</v>
      </c>
      <c r="AY138" s="19">
        <v>1482.904</v>
      </c>
      <c r="AZ138" s="25">
        <v>575.967</v>
      </c>
      <c r="BA138" s="25">
        <v>804.917</v>
      </c>
      <c r="BB138" s="25">
        <v>1380.884</v>
      </c>
      <c r="BC138" s="25">
        <f t="shared" si="20"/>
        <v>0.966386605574216</v>
      </c>
    </row>
    <row r="139" ht="14" spans="1:55">
      <c r="A139" s="29">
        <v>2018</v>
      </c>
      <c r="B139" s="29">
        <v>220000</v>
      </c>
      <c r="C139" s="30" t="s">
        <v>64</v>
      </c>
      <c r="D139" s="25">
        <v>0</v>
      </c>
      <c r="E139" s="25">
        <v>0</v>
      </c>
      <c r="F139" s="25">
        <v>0</v>
      </c>
      <c r="G139" s="25">
        <v>1</v>
      </c>
      <c r="H139" s="19">
        <v>55.39</v>
      </c>
      <c r="I139" s="19">
        <v>44.61</v>
      </c>
      <c r="J139" s="25">
        <v>0.529</v>
      </c>
      <c r="K139" s="25">
        <v>17.209</v>
      </c>
      <c r="L139" s="25">
        <f t="shared" si="21"/>
        <v>17.738</v>
      </c>
      <c r="M139" s="25">
        <v>46.011</v>
      </c>
      <c r="N139" s="25">
        <v>13.415</v>
      </c>
      <c r="O139" s="25">
        <v>8.546</v>
      </c>
      <c r="P139" s="25">
        <f t="shared" si="22"/>
        <v>67.972</v>
      </c>
      <c r="Q139" s="25">
        <v>8.633</v>
      </c>
      <c r="R139" s="19">
        <v>0.623</v>
      </c>
      <c r="S139" s="19">
        <f t="shared" si="23"/>
        <v>9.256</v>
      </c>
      <c r="T139" s="19">
        <v>508.58</v>
      </c>
      <c r="U139" s="19">
        <f t="shared" si="24"/>
        <v>0.387044238628321</v>
      </c>
      <c r="V139" s="19">
        <v>205.24</v>
      </c>
      <c r="W139" s="19">
        <f t="shared" si="25"/>
        <v>0.156193636273697</v>
      </c>
      <c r="X139" s="19">
        <v>600.19</v>
      </c>
      <c r="Y139" s="14">
        <f t="shared" si="26"/>
        <v>0.456762125097983</v>
      </c>
      <c r="Z139" s="14">
        <v>1314.01</v>
      </c>
      <c r="AA139" s="25">
        <v>9.7</v>
      </c>
      <c r="AB139" s="25">
        <v>9.4</v>
      </c>
      <c r="AC139" s="25">
        <v>56.9</v>
      </c>
      <c r="AD139" s="25">
        <v>10.2</v>
      </c>
      <c r="AE139" s="25">
        <v>18.5</v>
      </c>
      <c r="AF139" s="25">
        <v>14.9</v>
      </c>
      <c r="AG139" s="25">
        <v>5.8</v>
      </c>
      <c r="AH139" s="25">
        <v>13.4</v>
      </c>
      <c r="AI139" s="25">
        <v>7.3</v>
      </c>
      <c r="AJ139" s="25">
        <v>6.6</v>
      </c>
      <c r="AK139" s="25">
        <f t="shared" si="27"/>
        <v>48</v>
      </c>
      <c r="AL139" s="25">
        <v>11.2</v>
      </c>
      <c r="AM139" s="25">
        <v>2.3</v>
      </c>
      <c r="AN139" s="19">
        <v>2</v>
      </c>
      <c r="AO139" s="25">
        <v>3.7</v>
      </c>
      <c r="AP139" s="25">
        <f t="shared" si="28"/>
        <v>19.2</v>
      </c>
      <c r="AQ139" s="25">
        <v>7.2</v>
      </c>
      <c r="AR139" s="25">
        <v>35.9</v>
      </c>
      <c r="AS139" s="25">
        <v>19.9</v>
      </c>
      <c r="AT139" s="25">
        <v>38.2</v>
      </c>
      <c r="AU139" s="25">
        <f t="shared" si="29"/>
        <v>101.2</v>
      </c>
      <c r="AV139" s="25">
        <v>6.1</v>
      </c>
      <c r="AW139" s="19">
        <v>862.389</v>
      </c>
      <c r="AX139" s="25">
        <v>684.33</v>
      </c>
      <c r="AY139" s="19">
        <v>1546.719</v>
      </c>
      <c r="AZ139" s="25">
        <v>575.979</v>
      </c>
      <c r="BA139" s="25">
        <v>2031.367</v>
      </c>
      <c r="BB139" s="25">
        <v>2607.346</v>
      </c>
      <c r="BC139" s="25">
        <f t="shared" si="20"/>
        <v>0.778466468629106</v>
      </c>
    </row>
    <row r="140" ht="14" spans="1:55">
      <c r="A140" s="29">
        <v>2019</v>
      </c>
      <c r="B140" s="29">
        <v>220000</v>
      </c>
      <c r="C140" s="30" t="s">
        <v>64</v>
      </c>
      <c r="D140" s="25">
        <v>0</v>
      </c>
      <c r="E140" s="25">
        <v>0</v>
      </c>
      <c r="F140" s="25">
        <v>0</v>
      </c>
      <c r="G140" s="25">
        <v>1</v>
      </c>
      <c r="H140" s="19">
        <v>55.3</v>
      </c>
      <c r="I140" s="19">
        <v>44.7</v>
      </c>
      <c r="J140" s="25">
        <v>0.5</v>
      </c>
      <c r="K140" s="25">
        <v>16.7</v>
      </c>
      <c r="L140" s="25">
        <f t="shared" si="21"/>
        <v>17.2</v>
      </c>
      <c r="M140" s="25">
        <v>44.9</v>
      </c>
      <c r="N140" s="25">
        <v>17</v>
      </c>
      <c r="O140" s="25">
        <v>10</v>
      </c>
      <c r="P140" s="25">
        <f t="shared" si="22"/>
        <v>71.9</v>
      </c>
      <c r="Q140" s="25">
        <v>10</v>
      </c>
      <c r="R140" s="19">
        <v>0.8</v>
      </c>
      <c r="S140" s="19">
        <f t="shared" si="23"/>
        <v>10.8</v>
      </c>
      <c r="T140" s="19">
        <v>489.61</v>
      </c>
      <c r="U140" s="19">
        <f t="shared" si="24"/>
        <v>0.380723172628305</v>
      </c>
      <c r="V140" s="19">
        <v>194.18</v>
      </c>
      <c r="W140" s="19">
        <f t="shared" si="25"/>
        <v>0.15099533437014</v>
      </c>
      <c r="X140" s="19">
        <v>602.21</v>
      </c>
      <c r="Y140" s="14">
        <f t="shared" si="26"/>
        <v>0.468281493001555</v>
      </c>
      <c r="Z140" s="14">
        <v>1286</v>
      </c>
      <c r="AA140" s="25">
        <v>7</v>
      </c>
      <c r="AB140" s="25">
        <v>8.6</v>
      </c>
      <c r="AC140" s="25">
        <v>50.8</v>
      </c>
      <c r="AD140" s="25">
        <v>10.4</v>
      </c>
      <c r="AE140" s="25">
        <v>14.9</v>
      </c>
      <c r="AF140" s="25">
        <v>16.3</v>
      </c>
      <c r="AG140" s="25">
        <v>5.6</v>
      </c>
      <c r="AH140" s="25">
        <v>17.5</v>
      </c>
      <c r="AI140" s="25">
        <v>7.8</v>
      </c>
      <c r="AJ140" s="25">
        <v>6.4</v>
      </c>
      <c r="AK140" s="25">
        <f t="shared" si="27"/>
        <v>53.6</v>
      </c>
      <c r="AL140" s="25">
        <v>10.4</v>
      </c>
      <c r="AM140" s="25">
        <v>2.3</v>
      </c>
      <c r="AN140" s="19">
        <v>1.8</v>
      </c>
      <c r="AO140" s="25">
        <v>3.3</v>
      </c>
      <c r="AP140" s="25">
        <f t="shared" si="28"/>
        <v>17.8</v>
      </c>
      <c r="AQ140" s="25">
        <v>6.8</v>
      </c>
      <c r="AR140" s="25">
        <v>37.2</v>
      </c>
      <c r="AS140" s="25">
        <v>21.2</v>
      </c>
      <c r="AT140" s="25">
        <v>42.8</v>
      </c>
      <c r="AU140" s="25">
        <f t="shared" si="29"/>
        <v>108</v>
      </c>
      <c r="AV140" s="25">
        <v>6.1</v>
      </c>
      <c r="AW140" s="19">
        <v>882.1</v>
      </c>
      <c r="AX140" s="25">
        <v>702.1</v>
      </c>
      <c r="AY140" s="19">
        <v>1584.2</v>
      </c>
      <c r="AZ140" s="25">
        <v>525.9</v>
      </c>
      <c r="BA140" s="25">
        <v>2022.2</v>
      </c>
      <c r="BB140" s="25">
        <v>2548.1</v>
      </c>
      <c r="BC140" s="25">
        <f t="shared" si="20"/>
        <v>0.763200082923179</v>
      </c>
    </row>
    <row r="141" ht="14" spans="1:55">
      <c r="A141" s="29">
        <v>2020</v>
      </c>
      <c r="B141" s="29">
        <v>220000</v>
      </c>
      <c r="C141" s="30" t="s">
        <v>64</v>
      </c>
      <c r="D141" s="25">
        <v>0</v>
      </c>
      <c r="E141" s="25">
        <v>0</v>
      </c>
      <c r="F141" s="25">
        <v>0</v>
      </c>
      <c r="G141" s="25">
        <v>1</v>
      </c>
      <c r="H141" s="19">
        <v>55.5</v>
      </c>
      <c r="I141" s="19">
        <v>44.5</v>
      </c>
      <c r="J141" s="25">
        <v>0.7</v>
      </c>
      <c r="K141" s="25">
        <v>18.9</v>
      </c>
      <c r="L141" s="25">
        <f t="shared" si="21"/>
        <v>19.6</v>
      </c>
      <c r="M141" s="25">
        <v>45.3</v>
      </c>
      <c r="N141" s="25">
        <v>15.3</v>
      </c>
      <c r="O141" s="25">
        <v>9.2</v>
      </c>
      <c r="P141" s="25">
        <f t="shared" si="22"/>
        <v>69.8</v>
      </c>
      <c r="Q141" s="25">
        <v>9.7</v>
      </c>
      <c r="R141" s="19">
        <v>0.9</v>
      </c>
      <c r="S141" s="19">
        <f t="shared" si="23"/>
        <v>10.6</v>
      </c>
      <c r="T141" s="19">
        <v>472</v>
      </c>
      <c r="U141" s="19">
        <f t="shared" si="24"/>
        <v>0.374306106264869</v>
      </c>
      <c r="V141" s="19">
        <v>184</v>
      </c>
      <c r="W141" s="19">
        <f t="shared" si="25"/>
        <v>0.145915939730373</v>
      </c>
      <c r="X141" s="19">
        <v>605</v>
      </c>
      <c r="Y141" s="14">
        <f t="shared" si="26"/>
        <v>0.479777954004758</v>
      </c>
      <c r="Z141" s="14">
        <v>1261</v>
      </c>
      <c r="AA141" s="25">
        <v>5.1</v>
      </c>
      <c r="AB141" s="25">
        <v>7.4</v>
      </c>
      <c r="AC141" s="25">
        <v>45.4</v>
      </c>
      <c r="AD141" s="25">
        <v>9.5</v>
      </c>
      <c r="AE141" s="25">
        <v>13.3</v>
      </c>
      <c r="AF141" s="25">
        <v>16.5</v>
      </c>
      <c r="AG141" s="25">
        <v>4.4</v>
      </c>
      <c r="AH141" s="25">
        <v>21.1</v>
      </c>
      <c r="AI141" s="25">
        <v>7.3</v>
      </c>
      <c r="AJ141" s="25">
        <v>5.1</v>
      </c>
      <c r="AK141" s="25">
        <f t="shared" si="27"/>
        <v>54.4</v>
      </c>
      <c r="AL141" s="25">
        <v>9.3</v>
      </c>
      <c r="AM141" s="25">
        <v>1.9</v>
      </c>
      <c r="AN141" s="19">
        <v>1.8</v>
      </c>
      <c r="AO141" s="25">
        <v>3</v>
      </c>
      <c r="AP141" s="25">
        <f t="shared" si="28"/>
        <v>16</v>
      </c>
      <c r="AQ141" s="25">
        <v>5.7</v>
      </c>
      <c r="AR141" s="25">
        <v>35.9</v>
      </c>
      <c r="AS141" s="25">
        <v>21.2</v>
      </c>
      <c r="AT141" s="25">
        <v>38.4</v>
      </c>
      <c r="AU141" s="25">
        <f t="shared" si="29"/>
        <v>101.2</v>
      </c>
      <c r="AV141" s="25">
        <v>5.4</v>
      </c>
      <c r="AW141" s="19">
        <v>898.2</v>
      </c>
      <c r="AX141" s="25">
        <v>723.8</v>
      </c>
      <c r="AY141" s="19">
        <v>1622</v>
      </c>
      <c r="AZ141" s="25">
        <v>529.8</v>
      </c>
      <c r="BA141" s="25">
        <v>1932.1</v>
      </c>
      <c r="BB141" s="25">
        <v>2461.9</v>
      </c>
      <c r="BC141" s="25">
        <f t="shared" si="20"/>
        <v>0.768960431701699</v>
      </c>
    </row>
    <row r="142" ht="14" spans="1:55">
      <c r="A142" s="29">
        <v>2021</v>
      </c>
      <c r="B142" s="29">
        <v>220000</v>
      </c>
      <c r="C142" s="30" t="s">
        <v>64</v>
      </c>
      <c r="D142" s="25">
        <v>0</v>
      </c>
      <c r="E142" s="25">
        <v>0</v>
      </c>
      <c r="F142" s="25">
        <v>0</v>
      </c>
      <c r="G142" s="25">
        <v>1</v>
      </c>
      <c r="H142" s="19">
        <v>55.592</v>
      </c>
      <c r="I142" s="19">
        <v>44.408</v>
      </c>
      <c r="J142" s="25">
        <v>0.788</v>
      </c>
      <c r="K142" s="25">
        <v>17.367</v>
      </c>
      <c r="L142" s="25">
        <f t="shared" si="21"/>
        <v>18.155</v>
      </c>
      <c r="M142" s="25">
        <v>44.43</v>
      </c>
      <c r="N142" s="25">
        <v>15.476</v>
      </c>
      <c r="O142" s="25">
        <v>9.855</v>
      </c>
      <c r="P142" s="25">
        <f t="shared" si="22"/>
        <v>69.761</v>
      </c>
      <c r="Q142" s="25">
        <v>10.918</v>
      </c>
      <c r="R142" s="19">
        <v>1.166</v>
      </c>
      <c r="S142" s="19">
        <f t="shared" si="23"/>
        <v>12.084</v>
      </c>
      <c r="T142" s="19">
        <v>454</v>
      </c>
      <c r="U142" s="19">
        <f t="shared" si="24"/>
        <v>0.369706840390879</v>
      </c>
      <c r="V142" s="19">
        <v>181</v>
      </c>
      <c r="W142" s="19">
        <f t="shared" si="25"/>
        <v>0.147394136807818</v>
      </c>
      <c r="X142" s="19">
        <v>593</v>
      </c>
      <c r="Y142" s="14">
        <f t="shared" si="26"/>
        <v>0.482899022801303</v>
      </c>
      <c r="Z142" s="14">
        <v>1228</v>
      </c>
      <c r="AA142" s="25">
        <v>5.8</v>
      </c>
      <c r="AB142" s="25">
        <v>6</v>
      </c>
      <c r="AC142" s="25">
        <v>44.9</v>
      </c>
      <c r="AD142" s="25">
        <v>9.5</v>
      </c>
      <c r="AE142" s="25">
        <v>13</v>
      </c>
      <c r="AF142" s="25">
        <v>15.8</v>
      </c>
      <c r="AG142" s="25">
        <v>4.5</v>
      </c>
      <c r="AH142" s="25">
        <v>20.3</v>
      </c>
      <c r="AI142" s="25">
        <v>6.9</v>
      </c>
      <c r="AJ142" s="25">
        <v>4.5</v>
      </c>
      <c r="AK142" s="25">
        <f t="shared" si="27"/>
        <v>52</v>
      </c>
      <c r="AL142" s="25">
        <v>8.5</v>
      </c>
      <c r="AM142" s="25">
        <v>1.9</v>
      </c>
      <c r="AN142" s="19">
        <v>1.5</v>
      </c>
      <c r="AO142" s="25">
        <v>3</v>
      </c>
      <c r="AP142" s="25">
        <f t="shared" si="28"/>
        <v>14.9</v>
      </c>
      <c r="AQ142" s="25">
        <v>6</v>
      </c>
      <c r="AR142" s="25">
        <v>36.2</v>
      </c>
      <c r="AS142" s="25">
        <v>22.1</v>
      </c>
      <c r="AT142" s="25">
        <v>39.5</v>
      </c>
      <c r="AU142" s="25">
        <f t="shared" si="29"/>
        <v>103.8</v>
      </c>
      <c r="AV142" s="25">
        <v>5</v>
      </c>
      <c r="AW142" s="19">
        <v>921.977</v>
      </c>
      <c r="AX142" s="25">
        <v>933.72</v>
      </c>
      <c r="AY142" s="19">
        <v>1855.697</v>
      </c>
      <c r="AZ142" s="25">
        <v>537.507</v>
      </c>
      <c r="BA142" s="25">
        <v>1752.836</v>
      </c>
      <c r="BB142" s="25">
        <v>2290.343</v>
      </c>
      <c r="BC142" s="25">
        <f t="shared" si="20"/>
        <v>0.731520022355365</v>
      </c>
    </row>
    <row r="143" ht="14" spans="1:55">
      <c r="A143" s="29">
        <v>2022</v>
      </c>
      <c r="B143" s="29">
        <v>220000</v>
      </c>
      <c r="C143" s="30" t="s">
        <v>64</v>
      </c>
      <c r="D143" s="25">
        <v>0</v>
      </c>
      <c r="E143" s="25">
        <v>0</v>
      </c>
      <c r="F143" s="25">
        <v>0</v>
      </c>
      <c r="G143" s="25">
        <v>1</v>
      </c>
      <c r="H143" s="19">
        <v>56.534</v>
      </c>
      <c r="I143" s="19">
        <v>43.466</v>
      </c>
      <c r="J143" s="25">
        <v>0.608</v>
      </c>
      <c r="K143" s="25">
        <v>18.457</v>
      </c>
      <c r="L143" s="25">
        <f t="shared" si="21"/>
        <v>19.065</v>
      </c>
      <c r="M143" s="25">
        <v>42.104</v>
      </c>
      <c r="N143" s="25">
        <v>14.107</v>
      </c>
      <c r="O143" s="25">
        <v>10.761</v>
      </c>
      <c r="P143" s="25">
        <f t="shared" si="22"/>
        <v>66.972</v>
      </c>
      <c r="Q143" s="25">
        <v>12.91</v>
      </c>
      <c r="R143" s="19">
        <v>1.052</v>
      </c>
      <c r="S143" s="19">
        <f t="shared" si="23"/>
        <v>13.962</v>
      </c>
      <c r="T143" s="19">
        <v>479</v>
      </c>
      <c r="U143" s="19">
        <f t="shared" si="24"/>
        <v>0.4042194092827</v>
      </c>
      <c r="V143" s="19">
        <v>171</v>
      </c>
      <c r="W143" s="19">
        <f t="shared" si="25"/>
        <v>0.144303797468354</v>
      </c>
      <c r="X143" s="19">
        <v>535</v>
      </c>
      <c r="Y143" s="14">
        <f t="shared" si="26"/>
        <v>0.451476793248945</v>
      </c>
      <c r="Z143" s="14">
        <v>1185</v>
      </c>
      <c r="AA143" s="25">
        <v>5.2</v>
      </c>
      <c r="AB143" s="25">
        <v>5.4</v>
      </c>
      <c r="AC143" s="25">
        <v>41.2</v>
      </c>
      <c r="AD143" s="25">
        <v>9.6</v>
      </c>
      <c r="AE143" s="25">
        <v>11.9</v>
      </c>
      <c r="AF143" s="25">
        <v>15.1</v>
      </c>
      <c r="AG143" s="25">
        <v>4.9</v>
      </c>
      <c r="AH143" s="25">
        <v>17</v>
      </c>
      <c r="AI143" s="25">
        <v>6.3</v>
      </c>
      <c r="AJ143" s="25">
        <v>4.2</v>
      </c>
      <c r="AK143" s="25">
        <f t="shared" si="27"/>
        <v>47.5</v>
      </c>
      <c r="AL143" s="25">
        <v>8.2</v>
      </c>
      <c r="AM143" s="25">
        <v>1.7</v>
      </c>
      <c r="AN143" s="19">
        <v>1.5</v>
      </c>
      <c r="AO143" s="25">
        <v>3</v>
      </c>
      <c r="AP143" s="25">
        <f t="shared" si="28"/>
        <v>14.4</v>
      </c>
      <c r="AQ143" s="25">
        <v>5.9</v>
      </c>
      <c r="AR143" s="25">
        <v>35</v>
      </c>
      <c r="AS143" s="25">
        <v>21.9</v>
      </c>
      <c r="AT143" s="25">
        <v>39.8</v>
      </c>
      <c r="AU143" s="25">
        <f t="shared" si="29"/>
        <v>102.6</v>
      </c>
      <c r="AV143" s="25">
        <v>4.5</v>
      </c>
      <c r="AW143" s="19">
        <v>941.084</v>
      </c>
      <c r="AX143" s="25">
        <v>946.718</v>
      </c>
      <c r="AY143" s="19">
        <v>1887.802</v>
      </c>
      <c r="AZ143" s="25">
        <v>545.17</v>
      </c>
      <c r="BA143" s="25">
        <v>1717.459</v>
      </c>
      <c r="BB143" s="25">
        <v>2262.628</v>
      </c>
      <c r="BC143" s="25">
        <f t="shared" ref="BC143:BC206" si="30">AW143/AY143+AZ143/BB143</f>
        <v>0.739453273053872</v>
      </c>
    </row>
    <row r="144" ht="14" spans="1:55">
      <c r="A144" s="29">
        <v>2013</v>
      </c>
      <c r="B144" s="29">
        <v>320000</v>
      </c>
      <c r="C144" s="30" t="s">
        <v>65</v>
      </c>
      <c r="D144" s="25">
        <v>0</v>
      </c>
      <c r="E144" s="25">
        <v>1</v>
      </c>
      <c r="F144" s="25">
        <v>0</v>
      </c>
      <c r="G144" s="25">
        <v>0</v>
      </c>
      <c r="H144" s="19">
        <v>48.9719999999998</v>
      </c>
      <c r="I144" s="19">
        <v>51.0280000000002</v>
      </c>
      <c r="J144" s="25">
        <v>1.787</v>
      </c>
      <c r="K144" s="25">
        <v>15.906</v>
      </c>
      <c r="L144" s="25">
        <f t="shared" si="21"/>
        <v>17.693</v>
      </c>
      <c r="M144" s="25">
        <v>46.107</v>
      </c>
      <c r="N144" s="25">
        <v>19.259</v>
      </c>
      <c r="O144" s="25">
        <v>10.267</v>
      </c>
      <c r="P144" s="25">
        <f t="shared" si="22"/>
        <v>75.633</v>
      </c>
      <c r="Q144" s="25">
        <v>6.086</v>
      </c>
      <c r="R144" s="19">
        <v>0.587</v>
      </c>
      <c r="S144" s="19">
        <f t="shared" si="23"/>
        <v>6.673</v>
      </c>
      <c r="T144" s="19">
        <v>929.63</v>
      </c>
      <c r="U144" s="19">
        <f t="shared" si="24"/>
        <v>0.194000292159686</v>
      </c>
      <c r="V144" s="19">
        <v>2041.35</v>
      </c>
      <c r="W144" s="19">
        <f t="shared" si="25"/>
        <v>0.426000125211294</v>
      </c>
      <c r="X144" s="19">
        <v>1820.92</v>
      </c>
      <c r="Y144" s="14">
        <f t="shared" si="26"/>
        <v>0.37999958262902</v>
      </c>
      <c r="Z144" s="14">
        <v>4791.9</v>
      </c>
      <c r="AA144" s="25">
        <v>6.6</v>
      </c>
      <c r="AB144" s="25">
        <v>13.6</v>
      </c>
      <c r="AC144" s="25">
        <v>555.4</v>
      </c>
      <c r="AD144" s="25">
        <v>18.1</v>
      </c>
      <c r="AE144" s="25">
        <v>420.5</v>
      </c>
      <c r="AF144" s="25">
        <v>48.4</v>
      </c>
      <c r="AG144" s="25">
        <v>30.5</v>
      </c>
      <c r="AH144" s="25">
        <v>30.8</v>
      </c>
      <c r="AI144" s="25">
        <v>19.2</v>
      </c>
      <c r="AJ144" s="25">
        <v>31.9</v>
      </c>
      <c r="AK144" s="25">
        <f t="shared" si="27"/>
        <v>160.8</v>
      </c>
      <c r="AL144" s="25">
        <v>61.4</v>
      </c>
      <c r="AM144" s="25">
        <v>19.2</v>
      </c>
      <c r="AN144" s="19">
        <v>3.6</v>
      </c>
      <c r="AO144" s="25">
        <v>7.7</v>
      </c>
      <c r="AP144" s="25">
        <f t="shared" si="28"/>
        <v>91.9</v>
      </c>
      <c r="AQ144" s="25">
        <v>14</v>
      </c>
      <c r="AR144" s="25">
        <v>89.5</v>
      </c>
      <c r="AS144" s="25">
        <v>43.9</v>
      </c>
      <c r="AT144" s="25">
        <v>67.7</v>
      </c>
      <c r="AU144" s="25">
        <f t="shared" si="29"/>
        <v>215.1</v>
      </c>
      <c r="AV144" s="25">
        <v>21.2</v>
      </c>
      <c r="AW144" s="19">
        <v>2582.112</v>
      </c>
      <c r="AX144" s="25">
        <v>2384.029</v>
      </c>
      <c r="AY144" s="19">
        <v>4966.141</v>
      </c>
      <c r="AZ144" s="25">
        <v>2274.726</v>
      </c>
      <c r="BA144" s="25">
        <v>1152.87</v>
      </c>
      <c r="BB144" s="25">
        <v>3427.596</v>
      </c>
      <c r="BC144" s="25">
        <f t="shared" si="30"/>
        <v>1.18359391097766</v>
      </c>
    </row>
    <row r="145" ht="14" spans="1:55">
      <c r="A145" s="29">
        <v>2014</v>
      </c>
      <c r="B145" s="29">
        <v>320000</v>
      </c>
      <c r="C145" s="30" t="s">
        <v>65</v>
      </c>
      <c r="D145" s="25">
        <v>0</v>
      </c>
      <c r="E145" s="25">
        <v>1</v>
      </c>
      <c r="F145" s="25">
        <v>0</v>
      </c>
      <c r="G145" s="25">
        <v>0</v>
      </c>
      <c r="H145" s="19">
        <v>52.9</v>
      </c>
      <c r="I145" s="19">
        <v>47.1</v>
      </c>
      <c r="J145" s="25">
        <v>2</v>
      </c>
      <c r="K145" s="25">
        <v>15.8</v>
      </c>
      <c r="L145" s="25">
        <f t="shared" si="21"/>
        <v>17.8</v>
      </c>
      <c r="M145" s="25">
        <v>45.2</v>
      </c>
      <c r="N145" s="25">
        <v>18.7</v>
      </c>
      <c r="O145" s="25">
        <v>11.2</v>
      </c>
      <c r="P145" s="25">
        <f t="shared" si="22"/>
        <v>75.1</v>
      </c>
      <c r="Q145" s="25">
        <v>6.5</v>
      </c>
      <c r="R145" s="19">
        <v>0.6</v>
      </c>
      <c r="S145" s="19">
        <f t="shared" si="23"/>
        <v>7.1</v>
      </c>
      <c r="T145" s="19">
        <v>890.37</v>
      </c>
      <c r="U145" s="19">
        <f t="shared" si="24"/>
        <v>0.184999646776734</v>
      </c>
      <c r="V145" s="19">
        <v>2045.45</v>
      </c>
      <c r="W145" s="19">
        <f t="shared" si="25"/>
        <v>0.425000311667588</v>
      </c>
      <c r="X145" s="19">
        <v>1877</v>
      </c>
      <c r="Y145" s="14">
        <f t="shared" si="26"/>
        <v>0.390000041555678</v>
      </c>
      <c r="Z145" s="14">
        <v>4812.82</v>
      </c>
      <c r="AA145" s="25">
        <v>6.3</v>
      </c>
      <c r="AB145" s="25">
        <v>11.8</v>
      </c>
      <c r="AC145" s="25">
        <v>612.3</v>
      </c>
      <c r="AD145" s="25">
        <v>18.1</v>
      </c>
      <c r="AE145" s="25">
        <v>450.2</v>
      </c>
      <c r="AF145" s="25">
        <v>49.8</v>
      </c>
      <c r="AG145" s="25">
        <v>29</v>
      </c>
      <c r="AH145" s="25">
        <v>33.3</v>
      </c>
      <c r="AI145" s="25">
        <v>21.5</v>
      </c>
      <c r="AJ145" s="25">
        <v>31.2</v>
      </c>
      <c r="AK145" s="25">
        <f t="shared" si="27"/>
        <v>164.8</v>
      </c>
      <c r="AL145" s="25">
        <v>59.4</v>
      </c>
      <c r="AM145" s="25">
        <v>19.8</v>
      </c>
      <c r="AN145" s="19">
        <v>3.8</v>
      </c>
      <c r="AO145" s="25">
        <v>7.8</v>
      </c>
      <c r="AP145" s="25">
        <f t="shared" si="28"/>
        <v>90.8</v>
      </c>
      <c r="AQ145" s="25">
        <v>15</v>
      </c>
      <c r="AR145" s="25">
        <v>94.6</v>
      </c>
      <c r="AS145" s="25">
        <v>46.7</v>
      </c>
      <c r="AT145" s="25">
        <v>69.8</v>
      </c>
      <c r="AU145" s="25">
        <f t="shared" si="29"/>
        <v>226.1</v>
      </c>
      <c r="AV145" s="25">
        <v>22.1</v>
      </c>
      <c r="AW145" s="19">
        <v>2691.9</v>
      </c>
      <c r="AX145" s="25">
        <v>2347.9</v>
      </c>
      <c r="AY145" s="19">
        <v>5039.8</v>
      </c>
      <c r="AZ145" s="25">
        <v>2361.8</v>
      </c>
      <c r="BA145" s="25">
        <v>1435.7</v>
      </c>
      <c r="BB145" s="25">
        <v>3797.5</v>
      </c>
      <c r="BC145" s="25">
        <f t="shared" si="30"/>
        <v>1.1560638222971</v>
      </c>
    </row>
    <row r="146" ht="14" spans="1:55">
      <c r="A146" s="29">
        <v>2015</v>
      </c>
      <c r="B146" s="29">
        <v>320000</v>
      </c>
      <c r="C146" s="30" t="s">
        <v>65</v>
      </c>
      <c r="D146" s="25">
        <v>0</v>
      </c>
      <c r="E146" s="25">
        <v>1</v>
      </c>
      <c r="F146" s="25">
        <v>0</v>
      </c>
      <c r="G146" s="25">
        <v>0</v>
      </c>
      <c r="H146" s="19">
        <v>56.828</v>
      </c>
      <c r="I146" s="19">
        <v>43.172</v>
      </c>
      <c r="J146" s="25">
        <v>2.046</v>
      </c>
      <c r="K146" s="25">
        <v>13.15</v>
      </c>
      <c r="L146" s="25">
        <f t="shared" si="21"/>
        <v>15.196</v>
      </c>
      <c r="M146" s="25">
        <v>40.643</v>
      </c>
      <c r="N146" s="25">
        <v>13.557</v>
      </c>
      <c r="O146" s="25">
        <v>11.99</v>
      </c>
      <c r="P146" s="25">
        <f t="shared" si="22"/>
        <v>66.19</v>
      </c>
      <c r="Q146" s="25">
        <v>9.98</v>
      </c>
      <c r="R146" s="19">
        <v>0.946</v>
      </c>
      <c r="S146" s="19">
        <f t="shared" si="23"/>
        <v>10.926</v>
      </c>
      <c r="T146" s="19">
        <v>845.69</v>
      </c>
      <c r="U146" s="19">
        <f t="shared" si="24"/>
        <v>0.175000517330574</v>
      </c>
      <c r="V146" s="19">
        <v>2034.48</v>
      </c>
      <c r="W146" s="19">
        <f t="shared" si="25"/>
        <v>0.420999482669426</v>
      </c>
      <c r="X146" s="19">
        <v>1952.33</v>
      </c>
      <c r="Y146" s="14">
        <f t="shared" si="26"/>
        <v>0.404</v>
      </c>
      <c r="Z146" s="14">
        <v>4832.5</v>
      </c>
      <c r="AA146" s="25">
        <v>5.8</v>
      </c>
      <c r="AB146" s="25">
        <v>10.6</v>
      </c>
      <c r="AC146" s="25">
        <v>595.2</v>
      </c>
      <c r="AD146" s="25">
        <v>17.4</v>
      </c>
      <c r="AE146" s="25">
        <v>417.3</v>
      </c>
      <c r="AF146" s="25">
        <v>49.2</v>
      </c>
      <c r="AG146" s="25">
        <v>28.3</v>
      </c>
      <c r="AH146" s="25">
        <v>35.1</v>
      </c>
      <c r="AI146" s="25">
        <v>21.8</v>
      </c>
      <c r="AJ146" s="25">
        <v>31.3</v>
      </c>
      <c r="AK146" s="25">
        <f t="shared" si="27"/>
        <v>165.7</v>
      </c>
      <c r="AL146" s="25">
        <v>58.6</v>
      </c>
      <c r="AM146" s="25">
        <v>17.3</v>
      </c>
      <c r="AN146" s="19">
        <v>3.3</v>
      </c>
      <c r="AO146" s="25">
        <v>7.8</v>
      </c>
      <c r="AP146" s="25">
        <f t="shared" si="28"/>
        <v>87</v>
      </c>
      <c r="AQ146" s="25">
        <v>15.5</v>
      </c>
      <c r="AR146" s="25">
        <v>96</v>
      </c>
      <c r="AS146" s="25">
        <v>47.9</v>
      </c>
      <c r="AT146" s="25">
        <v>71</v>
      </c>
      <c r="AU146" s="25">
        <f t="shared" si="29"/>
        <v>230.4</v>
      </c>
      <c r="AV146" s="25">
        <v>22.6</v>
      </c>
      <c r="AW146" s="19">
        <v>2779.895</v>
      </c>
      <c r="AX146" s="25">
        <v>2339.046</v>
      </c>
      <c r="AY146" s="19">
        <v>5118.941</v>
      </c>
      <c r="AZ146" s="25">
        <v>2428.999</v>
      </c>
      <c r="BA146" s="25">
        <v>1585.294</v>
      </c>
      <c r="BB146" s="25">
        <v>4014.293</v>
      </c>
      <c r="BC146" s="25">
        <f t="shared" si="30"/>
        <v>1.1481481872884</v>
      </c>
    </row>
    <row r="147" ht="14" spans="1:55">
      <c r="A147" s="29">
        <v>2016</v>
      </c>
      <c r="B147" s="29">
        <v>320000</v>
      </c>
      <c r="C147" s="30" t="s">
        <v>65</v>
      </c>
      <c r="D147" s="25">
        <v>0</v>
      </c>
      <c r="E147" s="25">
        <v>1</v>
      </c>
      <c r="F147" s="25">
        <v>0</v>
      </c>
      <c r="G147" s="25">
        <v>0</v>
      </c>
      <c r="H147" s="19">
        <v>55.509</v>
      </c>
      <c r="I147" s="19">
        <v>44.491</v>
      </c>
      <c r="J147" s="25">
        <v>2.146</v>
      </c>
      <c r="K147" s="25">
        <v>13.087</v>
      </c>
      <c r="L147" s="25">
        <f t="shared" si="21"/>
        <v>15.233</v>
      </c>
      <c r="M147" s="25">
        <v>38.376</v>
      </c>
      <c r="N147" s="25">
        <v>13.507</v>
      </c>
      <c r="O147" s="25">
        <v>13.305</v>
      </c>
      <c r="P147" s="25">
        <f t="shared" si="22"/>
        <v>65.188</v>
      </c>
      <c r="Q147" s="25">
        <v>10.318</v>
      </c>
      <c r="R147" s="19">
        <v>1.002</v>
      </c>
      <c r="S147" s="19">
        <f t="shared" si="23"/>
        <v>11.32</v>
      </c>
      <c r="T147" s="19">
        <v>814.84</v>
      </c>
      <c r="U147" s="19">
        <f t="shared" si="24"/>
        <v>0.168000626775693</v>
      </c>
      <c r="V147" s="19">
        <v>2027.39</v>
      </c>
      <c r="W147" s="19">
        <f t="shared" si="25"/>
        <v>0.417999595894619</v>
      </c>
      <c r="X147" s="19">
        <v>2007.99</v>
      </c>
      <c r="Y147" s="14">
        <f t="shared" si="26"/>
        <v>0.413999777329688</v>
      </c>
      <c r="Z147" s="14">
        <v>4850.22</v>
      </c>
      <c r="AA147" s="25">
        <v>5.6</v>
      </c>
      <c r="AB147" s="25">
        <v>8.5</v>
      </c>
      <c r="AC147" s="25">
        <v>567.4</v>
      </c>
      <c r="AD147" s="25">
        <v>14.5</v>
      </c>
      <c r="AE147" s="25">
        <v>396.8</v>
      </c>
      <c r="AF147" s="25">
        <v>49.6</v>
      </c>
      <c r="AG147" s="25">
        <v>27.3</v>
      </c>
      <c r="AH147" s="25">
        <v>38.1</v>
      </c>
      <c r="AI147" s="25">
        <v>21.8</v>
      </c>
      <c r="AJ147" s="25">
        <v>29.4</v>
      </c>
      <c r="AK147" s="25">
        <f t="shared" si="27"/>
        <v>166.2</v>
      </c>
      <c r="AL147" s="25">
        <v>56.1</v>
      </c>
      <c r="AM147" s="25">
        <v>16.9</v>
      </c>
      <c r="AN147" s="19">
        <v>3.2</v>
      </c>
      <c r="AO147" s="25">
        <v>7.9</v>
      </c>
      <c r="AP147" s="25">
        <f t="shared" si="28"/>
        <v>84.1</v>
      </c>
      <c r="AQ147" s="25">
        <v>15.4</v>
      </c>
      <c r="AR147" s="25">
        <v>95</v>
      </c>
      <c r="AS147" s="25">
        <v>49.5</v>
      </c>
      <c r="AT147" s="25">
        <v>72</v>
      </c>
      <c r="AU147" s="25">
        <f t="shared" si="29"/>
        <v>231.9</v>
      </c>
      <c r="AV147" s="25">
        <v>22.2</v>
      </c>
      <c r="AW147" s="19">
        <v>2861.534</v>
      </c>
      <c r="AX147" s="25">
        <v>2335.349</v>
      </c>
      <c r="AY147" s="19">
        <v>5196.883</v>
      </c>
      <c r="AZ147" s="25">
        <v>2490.527</v>
      </c>
      <c r="BA147" s="25">
        <v>1493.86</v>
      </c>
      <c r="BB147" s="25">
        <v>3984.387</v>
      </c>
      <c r="BC147" s="25">
        <f t="shared" si="30"/>
        <v>1.17569661793491</v>
      </c>
    </row>
    <row r="148" ht="14" spans="1:55">
      <c r="A148" s="29">
        <v>2017</v>
      </c>
      <c r="B148" s="29">
        <v>320000</v>
      </c>
      <c r="C148" s="30" t="s">
        <v>65</v>
      </c>
      <c r="D148" s="25">
        <v>0</v>
      </c>
      <c r="E148" s="25">
        <v>1</v>
      </c>
      <c r="F148" s="25">
        <v>0</v>
      </c>
      <c r="G148" s="25">
        <v>0</v>
      </c>
      <c r="H148" s="19">
        <v>54.759</v>
      </c>
      <c r="I148" s="19">
        <v>45.241</v>
      </c>
      <c r="J148" s="25">
        <v>2.006</v>
      </c>
      <c r="K148" s="25">
        <v>13.361</v>
      </c>
      <c r="L148" s="25">
        <f t="shared" si="21"/>
        <v>15.367</v>
      </c>
      <c r="M148" s="25">
        <v>37.81</v>
      </c>
      <c r="N148" s="25">
        <v>13.063</v>
      </c>
      <c r="O148" s="25">
        <v>13.451</v>
      </c>
      <c r="P148" s="25">
        <f t="shared" si="22"/>
        <v>64.324</v>
      </c>
      <c r="Q148" s="25">
        <v>10.777</v>
      </c>
      <c r="R148" s="19">
        <v>0.927</v>
      </c>
      <c r="S148" s="19">
        <f t="shared" si="23"/>
        <v>11.704</v>
      </c>
      <c r="T148" s="19">
        <v>769.9</v>
      </c>
      <c r="U148" s="19">
        <f t="shared" si="24"/>
        <v>0.157999507470038</v>
      </c>
      <c r="V148" s="19">
        <v>2012.47</v>
      </c>
      <c r="W148" s="19">
        <f t="shared" si="25"/>
        <v>0.413000738794943</v>
      </c>
      <c r="X148" s="19">
        <v>2090.43</v>
      </c>
      <c r="Y148" s="14">
        <f t="shared" si="26"/>
        <v>0.428999753735019</v>
      </c>
      <c r="Z148" s="14">
        <v>4872.8</v>
      </c>
      <c r="AA148" s="25">
        <v>5.1</v>
      </c>
      <c r="AB148" s="25">
        <v>7.3</v>
      </c>
      <c r="AC148" s="25">
        <v>543.2</v>
      </c>
      <c r="AD148" s="25">
        <v>14.8</v>
      </c>
      <c r="AE148" s="25">
        <v>407</v>
      </c>
      <c r="AF148" s="25">
        <v>48.1</v>
      </c>
      <c r="AG148" s="25">
        <v>27.9</v>
      </c>
      <c r="AH148" s="25">
        <v>40.3</v>
      </c>
      <c r="AI148" s="25">
        <v>22</v>
      </c>
      <c r="AJ148" s="25">
        <v>30.2</v>
      </c>
      <c r="AK148" s="25">
        <f t="shared" si="27"/>
        <v>168.5</v>
      </c>
      <c r="AL148" s="25">
        <v>53.9</v>
      </c>
      <c r="AM148" s="25">
        <v>16.6</v>
      </c>
      <c r="AN148" s="19">
        <v>3.5</v>
      </c>
      <c r="AO148" s="25">
        <v>8</v>
      </c>
      <c r="AP148" s="25">
        <f t="shared" si="28"/>
        <v>82</v>
      </c>
      <c r="AQ148" s="25">
        <v>14.9</v>
      </c>
      <c r="AR148" s="25">
        <v>94</v>
      </c>
      <c r="AS148" s="25">
        <v>51.2</v>
      </c>
      <c r="AT148" s="25">
        <v>73.6</v>
      </c>
      <c r="AU148" s="25">
        <f t="shared" si="29"/>
        <v>233.7</v>
      </c>
      <c r="AV148" s="25">
        <v>23</v>
      </c>
      <c r="AW148" s="19">
        <v>3034.526</v>
      </c>
      <c r="AX148" s="25">
        <v>2338.205</v>
      </c>
      <c r="AY148" s="19">
        <v>5372.731</v>
      </c>
      <c r="AZ148" s="25">
        <v>2601.127</v>
      </c>
      <c r="BA148" s="25">
        <v>5017.974</v>
      </c>
      <c r="BB148" s="25">
        <v>7619.101</v>
      </c>
      <c r="BC148" s="25">
        <f t="shared" si="30"/>
        <v>0.90619692859281</v>
      </c>
    </row>
    <row r="149" ht="14" spans="1:55">
      <c r="A149" s="29">
        <v>2018</v>
      </c>
      <c r="B149" s="29">
        <v>320000</v>
      </c>
      <c r="C149" s="30" t="s">
        <v>65</v>
      </c>
      <c r="D149" s="25">
        <v>0</v>
      </c>
      <c r="E149" s="25">
        <v>1</v>
      </c>
      <c r="F149" s="25">
        <v>0</v>
      </c>
      <c r="G149" s="25">
        <v>0</v>
      </c>
      <c r="H149" s="19">
        <v>54.313</v>
      </c>
      <c r="I149" s="19">
        <v>45.687</v>
      </c>
      <c r="J149" s="25">
        <v>2.18</v>
      </c>
      <c r="K149" s="25">
        <v>12.754</v>
      </c>
      <c r="L149" s="25">
        <f t="shared" si="21"/>
        <v>14.934</v>
      </c>
      <c r="M149" s="25">
        <v>37.694</v>
      </c>
      <c r="N149" s="25">
        <v>13.548</v>
      </c>
      <c r="O149" s="25">
        <v>13.018</v>
      </c>
      <c r="P149" s="25">
        <f t="shared" si="22"/>
        <v>64.26</v>
      </c>
      <c r="Q149" s="25">
        <v>11.424</v>
      </c>
      <c r="R149" s="19">
        <v>1.138</v>
      </c>
      <c r="S149" s="19">
        <f t="shared" si="23"/>
        <v>12.562</v>
      </c>
      <c r="T149" s="19">
        <v>737.92</v>
      </c>
      <c r="U149" s="19">
        <f t="shared" si="24"/>
        <v>0.150999611205468</v>
      </c>
      <c r="V149" s="19">
        <v>1993.86</v>
      </c>
      <c r="W149" s="19">
        <f t="shared" si="25"/>
        <v>0.408000982217766</v>
      </c>
      <c r="X149" s="19">
        <v>2155.12</v>
      </c>
      <c r="Y149" s="14">
        <f t="shared" si="26"/>
        <v>0.440999406576766</v>
      </c>
      <c r="Z149" s="14">
        <v>4886.9</v>
      </c>
      <c r="AA149" s="25">
        <v>3.9</v>
      </c>
      <c r="AB149" s="25">
        <v>6.5</v>
      </c>
      <c r="AC149" s="25">
        <v>497.5</v>
      </c>
      <c r="AD149" s="25">
        <v>14.2</v>
      </c>
      <c r="AE149" s="25">
        <v>434</v>
      </c>
      <c r="AF149" s="25">
        <v>46</v>
      </c>
      <c r="AG149" s="25">
        <v>32</v>
      </c>
      <c r="AH149" s="25">
        <v>39.4</v>
      </c>
      <c r="AI149" s="25">
        <v>21.8</v>
      </c>
      <c r="AJ149" s="25">
        <v>33.5</v>
      </c>
      <c r="AK149" s="25">
        <f t="shared" si="27"/>
        <v>172.7</v>
      </c>
      <c r="AL149" s="25">
        <v>55.6</v>
      </c>
      <c r="AM149" s="25">
        <v>18</v>
      </c>
      <c r="AN149" s="19">
        <v>3.7</v>
      </c>
      <c r="AO149" s="25">
        <v>7.9</v>
      </c>
      <c r="AP149" s="25">
        <f t="shared" si="28"/>
        <v>85.2</v>
      </c>
      <c r="AQ149" s="25">
        <v>12.2</v>
      </c>
      <c r="AR149" s="25">
        <v>92.1</v>
      </c>
      <c r="AS149" s="25">
        <v>50</v>
      </c>
      <c r="AT149" s="25">
        <v>78.8</v>
      </c>
      <c r="AU149" s="25">
        <f t="shared" si="29"/>
        <v>233.1</v>
      </c>
      <c r="AV149" s="25">
        <v>25.4</v>
      </c>
      <c r="AW149" s="19">
        <v>3225.612</v>
      </c>
      <c r="AX149" s="25">
        <v>2325.39</v>
      </c>
      <c r="AY149" s="19">
        <v>5551.002</v>
      </c>
      <c r="AZ149" s="25">
        <v>2752.635</v>
      </c>
      <c r="BA149" s="25">
        <v>4969.111</v>
      </c>
      <c r="BB149" s="25">
        <v>7721.746</v>
      </c>
      <c r="BC149" s="25">
        <f t="shared" si="30"/>
        <v>0.937564756310585</v>
      </c>
    </row>
    <row r="150" ht="14" spans="1:55">
      <c r="A150" s="29">
        <v>2019</v>
      </c>
      <c r="B150" s="29">
        <v>320000</v>
      </c>
      <c r="C150" s="30" t="s">
        <v>65</v>
      </c>
      <c r="D150" s="25">
        <v>0</v>
      </c>
      <c r="E150" s="25">
        <v>1</v>
      </c>
      <c r="F150" s="25">
        <v>0</v>
      </c>
      <c r="G150" s="25">
        <v>0</v>
      </c>
      <c r="H150" s="19">
        <v>56.8</v>
      </c>
      <c r="I150" s="19">
        <v>43.2</v>
      </c>
      <c r="J150" s="25">
        <v>2.2</v>
      </c>
      <c r="K150" s="25">
        <v>13.6</v>
      </c>
      <c r="L150" s="25">
        <f t="shared" si="21"/>
        <v>15.8</v>
      </c>
      <c r="M150" s="25">
        <v>36.9</v>
      </c>
      <c r="N150" s="25">
        <v>19.6</v>
      </c>
      <c r="O150" s="25">
        <v>14.7</v>
      </c>
      <c r="P150" s="25">
        <f t="shared" si="22"/>
        <v>71.2</v>
      </c>
      <c r="Q150" s="25">
        <v>11.7</v>
      </c>
      <c r="R150" s="19">
        <v>1.3</v>
      </c>
      <c r="S150" s="19">
        <f t="shared" si="23"/>
        <v>13</v>
      </c>
      <c r="T150" s="19">
        <v>706.06</v>
      </c>
      <c r="U150" s="19">
        <f t="shared" si="24"/>
        <v>0.143999836841247</v>
      </c>
      <c r="V150" s="19">
        <v>1961.28</v>
      </c>
      <c r="W150" s="19">
        <f t="shared" si="25"/>
        <v>0.4</v>
      </c>
      <c r="X150" s="19">
        <v>2235.86</v>
      </c>
      <c r="Y150" s="14">
        <f t="shared" si="26"/>
        <v>0.456000163158754</v>
      </c>
      <c r="Z150" s="14">
        <v>4903.2</v>
      </c>
      <c r="AA150" s="25">
        <v>2.7</v>
      </c>
      <c r="AB150" s="25">
        <v>4</v>
      </c>
      <c r="AC150" s="25">
        <v>453.7</v>
      </c>
      <c r="AD150" s="25">
        <v>14.3</v>
      </c>
      <c r="AE150" s="25">
        <v>270.1</v>
      </c>
      <c r="AF150" s="25">
        <v>48.3</v>
      </c>
      <c r="AG150" s="25">
        <v>32.4</v>
      </c>
      <c r="AH150" s="25">
        <v>38.9</v>
      </c>
      <c r="AI150" s="25">
        <v>27.3</v>
      </c>
      <c r="AJ150" s="25">
        <v>46.1</v>
      </c>
      <c r="AK150" s="25">
        <f t="shared" si="27"/>
        <v>193</v>
      </c>
      <c r="AL150" s="25">
        <v>60.5</v>
      </c>
      <c r="AM150" s="25">
        <v>19.2</v>
      </c>
      <c r="AN150" s="19">
        <v>4.9</v>
      </c>
      <c r="AO150" s="25">
        <v>9.2</v>
      </c>
      <c r="AP150" s="25">
        <f t="shared" si="28"/>
        <v>93.8</v>
      </c>
      <c r="AQ150" s="25">
        <v>13.2</v>
      </c>
      <c r="AR150" s="25">
        <v>110.3</v>
      </c>
      <c r="AS150" s="25">
        <v>59.4</v>
      </c>
      <c r="AT150" s="25">
        <v>88.5</v>
      </c>
      <c r="AU150" s="25">
        <f t="shared" si="29"/>
        <v>271.4</v>
      </c>
      <c r="AV150" s="25">
        <v>29.1</v>
      </c>
      <c r="AW150" s="19">
        <v>3417.4</v>
      </c>
      <c r="AX150" s="25">
        <v>2336.9</v>
      </c>
      <c r="AY150" s="19">
        <v>5754.3</v>
      </c>
      <c r="AZ150" s="25">
        <v>2954.1</v>
      </c>
      <c r="BA150" s="25">
        <v>4894.8</v>
      </c>
      <c r="BB150" s="25">
        <v>7848.8</v>
      </c>
      <c r="BC150" s="25">
        <f t="shared" si="30"/>
        <v>0.970262317629767</v>
      </c>
    </row>
    <row r="151" ht="14" spans="1:55">
      <c r="A151" s="29">
        <v>2020</v>
      </c>
      <c r="B151" s="29">
        <v>320000</v>
      </c>
      <c r="C151" s="30" t="s">
        <v>65</v>
      </c>
      <c r="D151" s="25">
        <v>0</v>
      </c>
      <c r="E151" s="25">
        <v>1</v>
      </c>
      <c r="F151" s="25">
        <v>0</v>
      </c>
      <c r="G151" s="25">
        <v>0</v>
      </c>
      <c r="H151" s="19">
        <v>56.3</v>
      </c>
      <c r="I151" s="19">
        <v>43.7</v>
      </c>
      <c r="J151" s="25">
        <v>2.3</v>
      </c>
      <c r="K151" s="25">
        <v>13.6</v>
      </c>
      <c r="L151" s="25">
        <f t="shared" si="21"/>
        <v>15.9</v>
      </c>
      <c r="M151" s="25">
        <v>38.5</v>
      </c>
      <c r="N151" s="25">
        <v>18.8</v>
      </c>
      <c r="O151" s="25">
        <v>13.7</v>
      </c>
      <c r="P151" s="25">
        <f t="shared" si="22"/>
        <v>71</v>
      </c>
      <c r="Q151" s="25">
        <v>11.7</v>
      </c>
      <c r="R151" s="19">
        <v>1.4</v>
      </c>
      <c r="S151" s="19">
        <f t="shared" si="23"/>
        <v>13.1</v>
      </c>
      <c r="T151" s="19">
        <v>675</v>
      </c>
      <c r="U151" s="19">
        <f t="shared" si="24"/>
        <v>0.137952176578786</v>
      </c>
      <c r="V151" s="19">
        <v>1944</v>
      </c>
      <c r="W151" s="19">
        <f t="shared" si="25"/>
        <v>0.397302268546904</v>
      </c>
      <c r="X151" s="19">
        <v>2274</v>
      </c>
      <c r="Y151" s="14">
        <f t="shared" si="26"/>
        <v>0.46474555487431</v>
      </c>
      <c r="Z151" s="14">
        <v>4893</v>
      </c>
      <c r="AA151" s="25">
        <v>2.3</v>
      </c>
      <c r="AB151" s="25">
        <v>5.3</v>
      </c>
      <c r="AC151" s="25">
        <v>454.1</v>
      </c>
      <c r="AD151" s="25">
        <v>14.3</v>
      </c>
      <c r="AE151" s="25">
        <v>282.5</v>
      </c>
      <c r="AF151" s="25">
        <v>45.5</v>
      </c>
      <c r="AG151" s="25">
        <v>32.8</v>
      </c>
      <c r="AH151" s="25">
        <v>40.4</v>
      </c>
      <c r="AI151" s="25">
        <v>26.6</v>
      </c>
      <c r="AJ151" s="25">
        <v>45.7</v>
      </c>
      <c r="AK151" s="25">
        <f t="shared" si="27"/>
        <v>191</v>
      </c>
      <c r="AL151" s="25">
        <v>57.8</v>
      </c>
      <c r="AM151" s="25">
        <v>19.7</v>
      </c>
      <c r="AN151" s="19">
        <v>5.2</v>
      </c>
      <c r="AO151" s="25">
        <v>8.9</v>
      </c>
      <c r="AP151" s="25">
        <f t="shared" si="28"/>
        <v>91.6</v>
      </c>
      <c r="AQ151" s="25">
        <v>13.7</v>
      </c>
      <c r="AR151" s="25">
        <v>108.8</v>
      </c>
      <c r="AS151" s="25">
        <v>59.9</v>
      </c>
      <c r="AT151" s="25">
        <v>89</v>
      </c>
      <c r="AU151" s="25">
        <f t="shared" si="29"/>
        <v>271.4</v>
      </c>
      <c r="AV151" s="25">
        <v>29.8</v>
      </c>
      <c r="AW151" s="19">
        <v>3557.9</v>
      </c>
      <c r="AX151" s="25">
        <v>2400.4</v>
      </c>
      <c r="AY151" s="19">
        <v>5958.3</v>
      </c>
      <c r="AZ151" s="25">
        <v>3102.3</v>
      </c>
      <c r="BA151" s="25">
        <v>4865.5</v>
      </c>
      <c r="BB151" s="25">
        <v>7967.7</v>
      </c>
      <c r="BC151" s="25">
        <f t="shared" si="30"/>
        <v>0.986492949675837</v>
      </c>
    </row>
    <row r="152" ht="14" spans="1:55">
      <c r="A152" s="29">
        <v>2021</v>
      </c>
      <c r="B152" s="29">
        <v>320000</v>
      </c>
      <c r="C152" s="30" t="s">
        <v>65</v>
      </c>
      <c r="D152" s="25">
        <v>0</v>
      </c>
      <c r="E152" s="25">
        <v>1</v>
      </c>
      <c r="F152" s="25">
        <v>0</v>
      </c>
      <c r="G152" s="25">
        <v>0</v>
      </c>
      <c r="H152" s="19">
        <v>57.111</v>
      </c>
      <c r="I152" s="19">
        <v>42.889</v>
      </c>
      <c r="J152" s="25">
        <v>1.808</v>
      </c>
      <c r="K152" s="25">
        <v>11.907</v>
      </c>
      <c r="L152" s="25">
        <f t="shared" si="21"/>
        <v>13.715</v>
      </c>
      <c r="M152" s="25">
        <v>38.226</v>
      </c>
      <c r="N152" s="25">
        <v>20.338</v>
      </c>
      <c r="O152" s="25">
        <v>14.106</v>
      </c>
      <c r="P152" s="25">
        <f t="shared" si="22"/>
        <v>72.67</v>
      </c>
      <c r="Q152" s="25">
        <v>12.314</v>
      </c>
      <c r="R152" s="19">
        <v>1.301</v>
      </c>
      <c r="S152" s="19">
        <f t="shared" si="23"/>
        <v>13.615</v>
      </c>
      <c r="T152" s="19">
        <v>630</v>
      </c>
      <c r="U152" s="19">
        <f t="shared" si="24"/>
        <v>0.12954966070327</v>
      </c>
      <c r="V152" s="19">
        <v>1957</v>
      </c>
      <c r="W152" s="19">
        <f t="shared" si="25"/>
        <v>0.40242648570841</v>
      </c>
      <c r="X152" s="19">
        <v>2276</v>
      </c>
      <c r="Y152" s="14">
        <f t="shared" si="26"/>
        <v>0.46802385358832</v>
      </c>
      <c r="Z152" s="14">
        <v>4863</v>
      </c>
      <c r="AA152" s="25">
        <v>2.5</v>
      </c>
      <c r="AB152" s="25">
        <v>5.4</v>
      </c>
      <c r="AC152" s="25">
        <v>461.2</v>
      </c>
      <c r="AD152" s="25">
        <v>15</v>
      </c>
      <c r="AE152" s="25">
        <v>230.5</v>
      </c>
      <c r="AF152" s="25">
        <v>44.9</v>
      </c>
      <c r="AG152" s="25">
        <v>34.6</v>
      </c>
      <c r="AH152" s="25">
        <v>43.5</v>
      </c>
      <c r="AI152" s="25">
        <v>27.2</v>
      </c>
      <c r="AJ152" s="25">
        <v>46</v>
      </c>
      <c r="AK152" s="25">
        <f t="shared" si="27"/>
        <v>196.2</v>
      </c>
      <c r="AL152" s="25">
        <v>54.4</v>
      </c>
      <c r="AM152" s="25">
        <v>20.6</v>
      </c>
      <c r="AN152" s="19">
        <v>5.3</v>
      </c>
      <c r="AO152" s="25">
        <v>8.9</v>
      </c>
      <c r="AP152" s="25">
        <f t="shared" si="28"/>
        <v>89.2</v>
      </c>
      <c r="AQ152" s="25">
        <v>14</v>
      </c>
      <c r="AR152" s="25">
        <v>112.8</v>
      </c>
      <c r="AS152" s="25">
        <v>63.2</v>
      </c>
      <c r="AT152" s="25">
        <v>93.2</v>
      </c>
      <c r="AU152" s="25">
        <f t="shared" si="29"/>
        <v>283.2</v>
      </c>
      <c r="AV152" s="25">
        <v>30.8</v>
      </c>
      <c r="AW152" s="19">
        <v>3609.259</v>
      </c>
      <c r="AX152" s="25">
        <v>2355.65</v>
      </c>
      <c r="AY152" s="19">
        <v>5964.909</v>
      </c>
      <c r="AZ152" s="25">
        <v>3245.968</v>
      </c>
      <c r="BA152" s="25">
        <v>4817.844</v>
      </c>
      <c r="BB152" s="25">
        <v>8063.812</v>
      </c>
      <c r="BC152" s="25">
        <f t="shared" si="30"/>
        <v>1.00761716682892</v>
      </c>
    </row>
    <row r="153" ht="14" spans="1:55">
      <c r="A153" s="29">
        <v>2022</v>
      </c>
      <c r="B153" s="29">
        <v>320000</v>
      </c>
      <c r="C153" s="30" t="s">
        <v>65</v>
      </c>
      <c r="D153" s="25">
        <v>0</v>
      </c>
      <c r="E153" s="25">
        <v>1</v>
      </c>
      <c r="F153" s="25">
        <v>0</v>
      </c>
      <c r="G153" s="25">
        <v>0</v>
      </c>
      <c r="H153" s="19">
        <v>56.79</v>
      </c>
      <c r="I153" s="19">
        <v>43.21</v>
      </c>
      <c r="J153" s="25">
        <v>2.081</v>
      </c>
      <c r="K153" s="25">
        <v>15.035</v>
      </c>
      <c r="L153" s="25">
        <f t="shared" si="21"/>
        <v>17.116</v>
      </c>
      <c r="M153" s="25">
        <v>36.68</v>
      </c>
      <c r="N153" s="25">
        <v>17.869</v>
      </c>
      <c r="O153" s="25">
        <v>13.725</v>
      </c>
      <c r="P153" s="25">
        <f t="shared" si="22"/>
        <v>68.274</v>
      </c>
      <c r="Q153" s="25">
        <v>13.17</v>
      </c>
      <c r="R153" s="19">
        <v>1.44</v>
      </c>
      <c r="S153" s="19">
        <f t="shared" si="23"/>
        <v>14.61</v>
      </c>
      <c r="T153" s="19">
        <v>626</v>
      </c>
      <c r="U153" s="19">
        <f t="shared" si="24"/>
        <v>0.130280957336108</v>
      </c>
      <c r="V153" s="19">
        <v>1951</v>
      </c>
      <c r="W153" s="19">
        <f t="shared" si="25"/>
        <v>0.406035379812695</v>
      </c>
      <c r="X153" s="19">
        <v>2228</v>
      </c>
      <c r="Y153" s="14">
        <f t="shared" si="26"/>
        <v>0.463683662851197</v>
      </c>
      <c r="Z153" s="14">
        <v>4805</v>
      </c>
      <c r="AA153" s="25">
        <v>2.4</v>
      </c>
      <c r="AB153" s="25">
        <v>5.3</v>
      </c>
      <c r="AC153" s="25">
        <v>444.9</v>
      </c>
      <c r="AD153" s="25">
        <v>15.1</v>
      </c>
      <c r="AE153" s="25">
        <v>227.5</v>
      </c>
      <c r="AF153" s="25">
        <v>42</v>
      </c>
      <c r="AG153" s="25">
        <v>35.1</v>
      </c>
      <c r="AH153" s="25">
        <v>40.4</v>
      </c>
      <c r="AI153" s="25">
        <v>28.1</v>
      </c>
      <c r="AJ153" s="25">
        <v>44.2</v>
      </c>
      <c r="AK153" s="25">
        <f t="shared" si="27"/>
        <v>189.8</v>
      </c>
      <c r="AL153" s="25">
        <v>53.4</v>
      </c>
      <c r="AM153" s="25">
        <v>20.1</v>
      </c>
      <c r="AN153" s="19">
        <v>5.6</v>
      </c>
      <c r="AO153" s="25">
        <v>8.7</v>
      </c>
      <c r="AP153" s="25">
        <f t="shared" si="28"/>
        <v>87.8</v>
      </c>
      <c r="AQ153" s="25">
        <v>13.4</v>
      </c>
      <c r="AR153" s="25">
        <v>112</v>
      </c>
      <c r="AS153" s="25">
        <v>62.9</v>
      </c>
      <c r="AT153" s="25">
        <v>93.6</v>
      </c>
      <c r="AU153" s="25">
        <f t="shared" si="29"/>
        <v>281.9</v>
      </c>
      <c r="AV153" s="25">
        <v>28.2</v>
      </c>
      <c r="AW153" s="19">
        <v>3690.274</v>
      </c>
      <c r="AX153" s="25">
        <v>2340.66</v>
      </c>
      <c r="AY153" s="19">
        <v>6030.934</v>
      </c>
      <c r="AZ153" s="25">
        <v>3388.476</v>
      </c>
      <c r="BA153" s="25">
        <v>4730.984</v>
      </c>
      <c r="BB153" s="25">
        <v>8119.46</v>
      </c>
      <c r="BC153" s="25">
        <f t="shared" si="30"/>
        <v>1.02921871415975</v>
      </c>
    </row>
    <row r="154" ht="14" spans="1:55">
      <c r="A154" s="29">
        <v>2013</v>
      </c>
      <c r="B154" s="29">
        <v>360000</v>
      </c>
      <c r="C154" s="30" t="s">
        <v>66</v>
      </c>
      <c r="D154" s="25">
        <v>0</v>
      </c>
      <c r="E154" s="25">
        <v>0</v>
      </c>
      <c r="F154" s="25">
        <v>1</v>
      </c>
      <c r="G154" s="25">
        <v>0</v>
      </c>
      <c r="H154" s="19">
        <v>50.7389999999996</v>
      </c>
      <c r="I154" s="19">
        <v>49.2610000000004</v>
      </c>
      <c r="J154" s="25">
        <v>1.252</v>
      </c>
      <c r="K154" s="25">
        <v>18.552</v>
      </c>
      <c r="L154" s="25">
        <f t="shared" si="21"/>
        <v>19.804</v>
      </c>
      <c r="M154" s="25">
        <v>50.916</v>
      </c>
      <c r="N154" s="25">
        <v>18.518</v>
      </c>
      <c r="O154" s="25">
        <v>6.985</v>
      </c>
      <c r="P154" s="25">
        <f t="shared" si="22"/>
        <v>76.419</v>
      </c>
      <c r="Q154" s="25">
        <v>3.457</v>
      </c>
      <c r="R154" s="19">
        <v>0.32</v>
      </c>
      <c r="S154" s="19">
        <f t="shared" si="23"/>
        <v>3.777</v>
      </c>
      <c r="T154" s="19">
        <v>722.8</v>
      </c>
      <c r="U154" s="19">
        <f t="shared" si="24"/>
        <v>0.306011854360711</v>
      </c>
      <c r="V154" s="19">
        <v>741.6</v>
      </c>
      <c r="W154" s="19">
        <f t="shared" si="25"/>
        <v>0.313971210838273</v>
      </c>
      <c r="X154" s="19">
        <v>897.6</v>
      </c>
      <c r="Y154" s="14">
        <f t="shared" si="26"/>
        <v>0.380016934801016</v>
      </c>
      <c r="Z154" s="14">
        <v>2362</v>
      </c>
      <c r="AA154" s="25">
        <v>5.6</v>
      </c>
      <c r="AB154" s="25">
        <v>8.3</v>
      </c>
      <c r="AC154" s="25">
        <v>125.8</v>
      </c>
      <c r="AD154" s="25">
        <v>13.2</v>
      </c>
      <c r="AE154" s="25">
        <v>91.3</v>
      </c>
      <c r="AF154" s="25">
        <v>21.2</v>
      </c>
      <c r="AG154" s="25">
        <v>6.3</v>
      </c>
      <c r="AH154" s="25">
        <v>11.3</v>
      </c>
      <c r="AI154" s="25">
        <v>5.7</v>
      </c>
      <c r="AJ154" s="25">
        <v>5.5</v>
      </c>
      <c r="AK154" s="25">
        <f t="shared" si="27"/>
        <v>50</v>
      </c>
      <c r="AL154" s="25">
        <v>15.6</v>
      </c>
      <c r="AM154" s="25">
        <v>4.7</v>
      </c>
      <c r="AN154" s="19">
        <v>0.6</v>
      </c>
      <c r="AO154" s="25">
        <v>3.3</v>
      </c>
      <c r="AP154" s="25">
        <f t="shared" si="28"/>
        <v>24.2</v>
      </c>
      <c r="AQ154" s="25">
        <v>7.4</v>
      </c>
      <c r="AR154" s="25">
        <v>45.8</v>
      </c>
      <c r="AS154" s="25">
        <v>19.7</v>
      </c>
      <c r="AT154" s="25">
        <v>48.3</v>
      </c>
      <c r="AU154" s="25">
        <f t="shared" si="29"/>
        <v>121.2</v>
      </c>
      <c r="AV154" s="25">
        <v>5.4</v>
      </c>
      <c r="AW154" s="19">
        <v>754.184</v>
      </c>
      <c r="AX154" s="25">
        <v>1772.455</v>
      </c>
      <c r="AY154" s="19">
        <v>2526.639</v>
      </c>
      <c r="AZ154" s="25">
        <v>569.937</v>
      </c>
      <c r="BA154" s="25">
        <v>906.681</v>
      </c>
      <c r="BB154" s="25">
        <v>1476.618</v>
      </c>
      <c r="BC154" s="25">
        <f t="shared" si="30"/>
        <v>0.684467549843716</v>
      </c>
    </row>
    <row r="155" ht="14" spans="1:55">
      <c r="A155" s="29">
        <v>2014</v>
      </c>
      <c r="B155" s="29">
        <v>360000</v>
      </c>
      <c r="C155" s="30" t="s">
        <v>66</v>
      </c>
      <c r="D155" s="25">
        <v>0</v>
      </c>
      <c r="E155" s="25">
        <v>0</v>
      </c>
      <c r="F155" s="25">
        <v>1</v>
      </c>
      <c r="G155" s="25">
        <v>0</v>
      </c>
      <c r="H155" s="19">
        <v>54.8</v>
      </c>
      <c r="I155" s="19">
        <v>45.2</v>
      </c>
      <c r="J155" s="25">
        <v>1.3</v>
      </c>
      <c r="K155" s="25">
        <v>19.6</v>
      </c>
      <c r="L155" s="25">
        <f t="shared" si="21"/>
        <v>20.9</v>
      </c>
      <c r="M155" s="25">
        <v>51.2</v>
      </c>
      <c r="N155" s="25">
        <v>17</v>
      </c>
      <c r="O155" s="25">
        <v>6.8</v>
      </c>
      <c r="P155" s="25">
        <f t="shared" si="22"/>
        <v>75</v>
      </c>
      <c r="Q155" s="25">
        <v>3.9</v>
      </c>
      <c r="R155" s="19">
        <v>0.2</v>
      </c>
      <c r="S155" s="19">
        <f t="shared" si="23"/>
        <v>4.1</v>
      </c>
      <c r="T155" s="19">
        <v>680.9</v>
      </c>
      <c r="U155" s="19">
        <f t="shared" si="24"/>
        <v>0.289991482112436</v>
      </c>
      <c r="V155" s="19">
        <v>749</v>
      </c>
      <c r="W155" s="19">
        <f t="shared" si="25"/>
        <v>0.318994889267462</v>
      </c>
      <c r="X155" s="19">
        <v>918.1</v>
      </c>
      <c r="Y155" s="14">
        <f t="shared" si="26"/>
        <v>0.391013628620102</v>
      </c>
      <c r="Z155" s="14">
        <v>2348</v>
      </c>
      <c r="AA155" s="25">
        <v>5.2</v>
      </c>
      <c r="AB155" s="25">
        <v>7.8</v>
      </c>
      <c r="AC155" s="25">
        <v>133.5</v>
      </c>
      <c r="AD155" s="25">
        <v>14.3</v>
      </c>
      <c r="AE155" s="25">
        <v>94.4</v>
      </c>
      <c r="AF155" s="25">
        <v>20.8</v>
      </c>
      <c r="AG155" s="25">
        <v>7.2</v>
      </c>
      <c r="AH155" s="25">
        <v>12.2</v>
      </c>
      <c r="AI155" s="25">
        <v>5.5</v>
      </c>
      <c r="AJ155" s="25">
        <v>4.7</v>
      </c>
      <c r="AK155" s="25">
        <f t="shared" si="27"/>
        <v>50.4</v>
      </c>
      <c r="AL155" s="25">
        <v>17.6</v>
      </c>
      <c r="AM155" s="25">
        <v>4.1</v>
      </c>
      <c r="AN155" s="19">
        <v>0.8</v>
      </c>
      <c r="AO155" s="25">
        <v>3</v>
      </c>
      <c r="AP155" s="25">
        <f t="shared" si="28"/>
        <v>25.5</v>
      </c>
      <c r="AQ155" s="25">
        <v>7.1</v>
      </c>
      <c r="AR155" s="25">
        <v>50.9</v>
      </c>
      <c r="AS155" s="25">
        <v>21.5</v>
      </c>
      <c r="AT155" s="25">
        <v>49</v>
      </c>
      <c r="AU155" s="25">
        <f t="shared" si="29"/>
        <v>128.5</v>
      </c>
      <c r="AV155" s="25">
        <v>5.7</v>
      </c>
      <c r="AW155" s="19">
        <v>783.9</v>
      </c>
      <c r="AX155" s="25">
        <v>1798.1</v>
      </c>
      <c r="AY155" s="19">
        <v>2582</v>
      </c>
      <c r="AZ155" s="25">
        <v>579.2</v>
      </c>
      <c r="BA155" s="25">
        <v>915</v>
      </c>
      <c r="BB155" s="25">
        <v>1494.2</v>
      </c>
      <c r="BC155" s="25">
        <f t="shared" si="30"/>
        <v>0.691234036777994</v>
      </c>
    </row>
    <row r="156" ht="14" spans="1:55">
      <c r="A156" s="29">
        <v>2015</v>
      </c>
      <c r="B156" s="29">
        <v>360000</v>
      </c>
      <c r="C156" s="30" t="s">
        <v>66</v>
      </c>
      <c r="D156" s="25">
        <v>0</v>
      </c>
      <c r="E156" s="25">
        <v>0</v>
      </c>
      <c r="F156" s="25">
        <v>1</v>
      </c>
      <c r="G156" s="25">
        <v>0</v>
      </c>
      <c r="H156" s="19">
        <v>58.861</v>
      </c>
      <c r="I156" s="19">
        <v>41.139</v>
      </c>
      <c r="J156" s="25">
        <v>2.664</v>
      </c>
      <c r="K156" s="25">
        <v>20.623</v>
      </c>
      <c r="L156" s="25">
        <f t="shared" si="21"/>
        <v>23.287</v>
      </c>
      <c r="M156" s="25">
        <v>44.799</v>
      </c>
      <c r="N156" s="25">
        <v>14.063</v>
      </c>
      <c r="O156" s="25">
        <v>7.186</v>
      </c>
      <c r="P156" s="25">
        <f t="shared" si="22"/>
        <v>66.048</v>
      </c>
      <c r="Q156" s="25">
        <v>4.956</v>
      </c>
      <c r="R156" s="19">
        <v>0.371</v>
      </c>
      <c r="S156" s="19">
        <f t="shared" si="23"/>
        <v>5.327</v>
      </c>
      <c r="T156" s="19">
        <v>645.3</v>
      </c>
      <c r="U156" s="19">
        <f t="shared" si="24"/>
        <v>0.276005132591959</v>
      </c>
      <c r="V156" s="19">
        <v>757.5</v>
      </c>
      <c r="W156" s="19">
        <f t="shared" si="25"/>
        <v>0.323994867408041</v>
      </c>
      <c r="X156" s="19">
        <v>935.2</v>
      </c>
      <c r="Y156" s="14">
        <f t="shared" si="26"/>
        <v>0.4</v>
      </c>
      <c r="Z156" s="14">
        <v>2338</v>
      </c>
      <c r="AA156" s="25">
        <v>4.9</v>
      </c>
      <c r="AB156" s="25">
        <v>7.2</v>
      </c>
      <c r="AC156" s="25">
        <v>138.2</v>
      </c>
      <c r="AD156" s="25">
        <v>14.1</v>
      </c>
      <c r="AE156" s="25">
        <v>91.9</v>
      </c>
      <c r="AF156" s="25">
        <v>21.2</v>
      </c>
      <c r="AG156" s="25">
        <v>6.7</v>
      </c>
      <c r="AH156" s="25">
        <v>12.6</v>
      </c>
      <c r="AI156" s="25">
        <v>5.7</v>
      </c>
      <c r="AJ156" s="25">
        <v>5.2</v>
      </c>
      <c r="AK156" s="25">
        <f t="shared" si="27"/>
        <v>51.4</v>
      </c>
      <c r="AL156" s="25">
        <v>18.1</v>
      </c>
      <c r="AM156" s="25">
        <v>4.4</v>
      </c>
      <c r="AN156" s="19">
        <v>1</v>
      </c>
      <c r="AO156" s="25">
        <v>3.8</v>
      </c>
      <c r="AP156" s="25">
        <f t="shared" si="28"/>
        <v>27.3</v>
      </c>
      <c r="AQ156" s="25">
        <v>7.7</v>
      </c>
      <c r="AR156" s="25">
        <v>55.8</v>
      </c>
      <c r="AS156" s="25">
        <v>24.5</v>
      </c>
      <c r="AT156" s="25">
        <v>51.1</v>
      </c>
      <c r="AU156" s="25">
        <f t="shared" si="29"/>
        <v>139.1</v>
      </c>
      <c r="AV156" s="25">
        <v>6.4</v>
      </c>
      <c r="AW156" s="19">
        <v>823.096</v>
      </c>
      <c r="AX156" s="25">
        <v>1829.945</v>
      </c>
      <c r="AY156" s="19">
        <v>2653.041</v>
      </c>
      <c r="AZ156" s="25">
        <v>584.974</v>
      </c>
      <c r="BA156" s="25">
        <v>945.465</v>
      </c>
      <c r="BB156" s="25">
        <v>1530.439</v>
      </c>
      <c r="BC156" s="25">
        <f t="shared" si="30"/>
        <v>0.692472518205499</v>
      </c>
    </row>
    <row r="157" ht="14" spans="1:55">
      <c r="A157" s="29">
        <v>2016</v>
      </c>
      <c r="B157" s="29">
        <v>360000</v>
      </c>
      <c r="C157" s="30" t="s">
        <v>66</v>
      </c>
      <c r="D157" s="25">
        <v>0</v>
      </c>
      <c r="E157" s="25">
        <v>0</v>
      </c>
      <c r="F157" s="25">
        <v>1</v>
      </c>
      <c r="G157" s="25">
        <v>0</v>
      </c>
      <c r="H157" s="19">
        <v>56.865</v>
      </c>
      <c r="I157" s="19">
        <v>43.135</v>
      </c>
      <c r="J157" s="25">
        <v>2.314</v>
      </c>
      <c r="K157" s="25">
        <v>20.496</v>
      </c>
      <c r="L157" s="25">
        <f t="shared" si="21"/>
        <v>22.81</v>
      </c>
      <c r="M157" s="25">
        <v>46.286</v>
      </c>
      <c r="N157" s="25">
        <v>13.657</v>
      </c>
      <c r="O157" s="25">
        <v>7.135</v>
      </c>
      <c r="P157" s="25">
        <f t="shared" si="22"/>
        <v>67.078</v>
      </c>
      <c r="Q157" s="25">
        <v>4.515</v>
      </c>
      <c r="R157" s="19">
        <v>0.32</v>
      </c>
      <c r="S157" s="19">
        <f t="shared" si="23"/>
        <v>4.835</v>
      </c>
      <c r="T157" s="19">
        <v>608.7</v>
      </c>
      <c r="U157" s="19">
        <f t="shared" si="24"/>
        <v>0.261020583190395</v>
      </c>
      <c r="V157" s="19">
        <v>760.2</v>
      </c>
      <c r="W157" s="19">
        <f t="shared" si="25"/>
        <v>0.32598627787307</v>
      </c>
      <c r="X157" s="19">
        <v>963.1</v>
      </c>
      <c r="Y157" s="14">
        <f t="shared" si="26"/>
        <v>0.412993138936535</v>
      </c>
      <c r="Z157" s="14">
        <v>2332</v>
      </c>
      <c r="AA157" s="25">
        <v>4.5</v>
      </c>
      <c r="AB157" s="25">
        <v>5.8</v>
      </c>
      <c r="AC157" s="25">
        <v>141.8</v>
      </c>
      <c r="AD157" s="25">
        <v>9.3</v>
      </c>
      <c r="AE157" s="25">
        <v>90.4</v>
      </c>
      <c r="AF157" s="25">
        <v>20.3</v>
      </c>
      <c r="AG157" s="25">
        <v>5.6</v>
      </c>
      <c r="AH157" s="25">
        <v>13</v>
      </c>
      <c r="AI157" s="25">
        <v>6.2</v>
      </c>
      <c r="AJ157" s="25">
        <v>5.4</v>
      </c>
      <c r="AK157" s="25">
        <f t="shared" si="27"/>
        <v>50.5</v>
      </c>
      <c r="AL157" s="25">
        <v>17.3</v>
      </c>
      <c r="AM157" s="25">
        <v>4.3</v>
      </c>
      <c r="AN157" s="19">
        <v>1</v>
      </c>
      <c r="AO157" s="25">
        <v>4.2</v>
      </c>
      <c r="AP157" s="25">
        <f t="shared" si="28"/>
        <v>26.8</v>
      </c>
      <c r="AQ157" s="25">
        <v>7.1</v>
      </c>
      <c r="AR157" s="25">
        <v>52</v>
      </c>
      <c r="AS157" s="25">
        <v>24.8</v>
      </c>
      <c r="AT157" s="25">
        <v>52</v>
      </c>
      <c r="AU157" s="25">
        <f t="shared" si="29"/>
        <v>135.9</v>
      </c>
      <c r="AV157" s="25">
        <v>6.7</v>
      </c>
      <c r="AW157" s="19">
        <v>957.304</v>
      </c>
      <c r="AX157" s="25">
        <v>1844.133</v>
      </c>
      <c r="AY157" s="19">
        <v>2801.437</v>
      </c>
      <c r="AZ157" s="25">
        <v>591.618</v>
      </c>
      <c r="BA157" s="25">
        <v>1215.422</v>
      </c>
      <c r="BB157" s="25">
        <v>1807.04</v>
      </c>
      <c r="BC157" s="25">
        <f t="shared" si="30"/>
        <v>0.669115094502037</v>
      </c>
    </row>
    <row r="158" ht="14" spans="1:55">
      <c r="A158" s="29">
        <v>2017</v>
      </c>
      <c r="B158" s="29">
        <v>360000</v>
      </c>
      <c r="C158" s="30" t="s">
        <v>66</v>
      </c>
      <c r="D158" s="25">
        <v>0</v>
      </c>
      <c r="E158" s="25">
        <v>0</v>
      </c>
      <c r="F158" s="25">
        <v>1</v>
      </c>
      <c r="G158" s="25">
        <v>0</v>
      </c>
      <c r="H158" s="19">
        <v>56.362</v>
      </c>
      <c r="I158" s="19">
        <v>43.638</v>
      </c>
      <c r="J158" s="25">
        <v>1.948</v>
      </c>
      <c r="K158" s="25">
        <v>19.865</v>
      </c>
      <c r="L158" s="25">
        <f t="shared" si="21"/>
        <v>21.813</v>
      </c>
      <c r="M158" s="25">
        <v>47.656</v>
      </c>
      <c r="N158" s="25">
        <v>14.044</v>
      </c>
      <c r="O158" s="25">
        <v>6.373</v>
      </c>
      <c r="P158" s="25">
        <f t="shared" si="22"/>
        <v>68.073</v>
      </c>
      <c r="Q158" s="25">
        <v>4.723</v>
      </c>
      <c r="R158" s="19">
        <v>0.26</v>
      </c>
      <c r="S158" s="19">
        <f t="shared" si="23"/>
        <v>4.983</v>
      </c>
      <c r="T158" s="19">
        <v>572.3</v>
      </c>
      <c r="U158" s="19">
        <f t="shared" si="24"/>
        <v>0.247000431592577</v>
      </c>
      <c r="V158" s="19">
        <v>762.3</v>
      </c>
      <c r="W158" s="19">
        <f t="shared" si="25"/>
        <v>0.329003021148036</v>
      </c>
      <c r="X158" s="19">
        <v>982.4</v>
      </c>
      <c r="Y158" s="14">
        <f t="shared" si="26"/>
        <v>0.423996547259387</v>
      </c>
      <c r="Z158" s="14">
        <v>2317</v>
      </c>
      <c r="AA158" s="25">
        <v>4.3</v>
      </c>
      <c r="AB158" s="25">
        <v>4.6</v>
      </c>
      <c r="AC158" s="25">
        <v>131</v>
      </c>
      <c r="AD158" s="25">
        <v>9.2</v>
      </c>
      <c r="AE158" s="25">
        <v>87.7</v>
      </c>
      <c r="AF158" s="25">
        <v>20.5</v>
      </c>
      <c r="AG158" s="25">
        <v>6.3</v>
      </c>
      <c r="AH158" s="25">
        <v>13.3</v>
      </c>
      <c r="AI158" s="25">
        <v>6.2</v>
      </c>
      <c r="AJ158" s="25">
        <v>6.5</v>
      </c>
      <c r="AK158" s="25">
        <f t="shared" si="27"/>
        <v>52.8</v>
      </c>
      <c r="AL158" s="25">
        <v>17.8</v>
      </c>
      <c r="AM158" s="25">
        <v>4.2</v>
      </c>
      <c r="AN158" s="19">
        <v>1.1</v>
      </c>
      <c r="AO158" s="25">
        <v>3.4</v>
      </c>
      <c r="AP158" s="25">
        <f t="shared" si="28"/>
        <v>26.5</v>
      </c>
      <c r="AQ158" s="25">
        <v>7.7</v>
      </c>
      <c r="AR158" s="25">
        <v>53.4</v>
      </c>
      <c r="AS158" s="25">
        <v>25.9</v>
      </c>
      <c r="AT158" s="25">
        <v>53.4</v>
      </c>
      <c r="AU158" s="25">
        <f t="shared" si="29"/>
        <v>140.4</v>
      </c>
      <c r="AV158" s="25">
        <v>7.1</v>
      </c>
      <c r="AW158" s="19">
        <v>1005.245</v>
      </c>
      <c r="AX158" s="25">
        <v>1870.049</v>
      </c>
      <c r="AY158" s="19">
        <v>2875.294</v>
      </c>
      <c r="AZ158" s="25">
        <v>558.701</v>
      </c>
      <c r="BA158" s="25">
        <v>4203.686</v>
      </c>
      <c r="BB158" s="25">
        <v>4762.387</v>
      </c>
      <c r="BC158" s="25">
        <f t="shared" si="30"/>
        <v>0.466930012357708</v>
      </c>
    </row>
    <row r="159" ht="14" spans="1:55">
      <c r="A159" s="29">
        <v>2018</v>
      </c>
      <c r="B159" s="29">
        <v>360000</v>
      </c>
      <c r="C159" s="30" t="s">
        <v>66</v>
      </c>
      <c r="D159" s="25">
        <v>0</v>
      </c>
      <c r="E159" s="25">
        <v>0</v>
      </c>
      <c r="F159" s="25">
        <v>1</v>
      </c>
      <c r="G159" s="25">
        <v>0</v>
      </c>
      <c r="H159" s="19">
        <v>56.115</v>
      </c>
      <c r="I159" s="19">
        <v>43.885</v>
      </c>
      <c r="J159" s="25">
        <v>1.941</v>
      </c>
      <c r="K159" s="25">
        <v>18.825</v>
      </c>
      <c r="L159" s="25">
        <f t="shared" si="21"/>
        <v>20.766</v>
      </c>
      <c r="M159" s="25">
        <v>46.94</v>
      </c>
      <c r="N159" s="25">
        <v>14.267</v>
      </c>
      <c r="O159" s="25">
        <v>6.906</v>
      </c>
      <c r="P159" s="25">
        <f t="shared" si="22"/>
        <v>68.113</v>
      </c>
      <c r="Q159" s="25">
        <v>5.385</v>
      </c>
      <c r="R159" s="19">
        <v>0.392</v>
      </c>
      <c r="S159" s="19">
        <f t="shared" si="23"/>
        <v>5.777</v>
      </c>
      <c r="T159" s="19">
        <v>527.9</v>
      </c>
      <c r="U159" s="19">
        <f t="shared" si="24"/>
        <v>0.230021786492375</v>
      </c>
      <c r="V159" s="19">
        <v>764.2</v>
      </c>
      <c r="W159" s="19">
        <f t="shared" si="25"/>
        <v>0.332984749455338</v>
      </c>
      <c r="X159" s="19">
        <v>1002.9</v>
      </c>
      <c r="Y159" s="14">
        <f t="shared" si="26"/>
        <v>0.436993464052288</v>
      </c>
      <c r="Z159" s="14">
        <v>2295</v>
      </c>
      <c r="AA159" s="25">
        <v>3.8</v>
      </c>
      <c r="AB159" s="25">
        <v>3.1</v>
      </c>
      <c r="AC159" s="25">
        <v>106.5</v>
      </c>
      <c r="AD159" s="25">
        <v>9</v>
      </c>
      <c r="AE159" s="25">
        <v>87</v>
      </c>
      <c r="AF159" s="25">
        <v>19</v>
      </c>
      <c r="AG159" s="25">
        <v>5.5</v>
      </c>
      <c r="AH159" s="25">
        <v>14.4</v>
      </c>
      <c r="AI159" s="25">
        <v>6.1</v>
      </c>
      <c r="AJ159" s="25">
        <v>5.8</v>
      </c>
      <c r="AK159" s="25">
        <f t="shared" si="27"/>
        <v>50.8</v>
      </c>
      <c r="AL159" s="25">
        <v>15.2</v>
      </c>
      <c r="AM159" s="25">
        <v>3.3</v>
      </c>
      <c r="AN159" s="19">
        <v>0.7</v>
      </c>
      <c r="AO159" s="25">
        <v>2.9</v>
      </c>
      <c r="AP159" s="25">
        <f t="shared" si="28"/>
        <v>22.1</v>
      </c>
      <c r="AQ159" s="25">
        <v>5.8</v>
      </c>
      <c r="AR159" s="25">
        <v>55.6</v>
      </c>
      <c r="AS159" s="25">
        <v>26.1</v>
      </c>
      <c r="AT159" s="25">
        <v>57.9</v>
      </c>
      <c r="AU159" s="25">
        <f t="shared" si="29"/>
        <v>145.4</v>
      </c>
      <c r="AV159" s="25">
        <v>8</v>
      </c>
      <c r="AW159" s="19">
        <v>1052.821</v>
      </c>
      <c r="AX159" s="25">
        <v>1884.127</v>
      </c>
      <c r="AY159" s="19">
        <v>2936.948</v>
      </c>
      <c r="AZ159" s="25">
        <v>573.731</v>
      </c>
      <c r="BA159" s="25">
        <v>4223.742</v>
      </c>
      <c r="BB159" s="25">
        <v>4797.473</v>
      </c>
      <c r="BC159" s="25">
        <f t="shared" si="30"/>
        <v>0.478064762586754</v>
      </c>
    </row>
    <row r="160" ht="14" spans="1:55">
      <c r="A160" s="29">
        <v>2019</v>
      </c>
      <c r="B160" s="29">
        <v>360000</v>
      </c>
      <c r="C160" s="30" t="s">
        <v>66</v>
      </c>
      <c r="D160" s="25">
        <v>0</v>
      </c>
      <c r="E160" s="25">
        <v>0</v>
      </c>
      <c r="F160" s="25">
        <v>1</v>
      </c>
      <c r="G160" s="25">
        <v>0</v>
      </c>
      <c r="H160" s="19">
        <v>56.8</v>
      </c>
      <c r="I160" s="19">
        <v>43.2</v>
      </c>
      <c r="J160" s="25">
        <v>1.9</v>
      </c>
      <c r="K160" s="25">
        <v>18.6</v>
      </c>
      <c r="L160" s="25">
        <f t="shared" si="21"/>
        <v>20.5</v>
      </c>
      <c r="M160" s="25">
        <v>45.2</v>
      </c>
      <c r="N160" s="25">
        <v>18</v>
      </c>
      <c r="O160" s="25">
        <v>9.6</v>
      </c>
      <c r="P160" s="25">
        <f t="shared" si="22"/>
        <v>72.8</v>
      </c>
      <c r="Q160" s="25">
        <v>6.2</v>
      </c>
      <c r="R160" s="19">
        <v>0.5</v>
      </c>
      <c r="S160" s="19">
        <f t="shared" si="23"/>
        <v>6.7</v>
      </c>
      <c r="T160" s="19">
        <v>489.8</v>
      </c>
      <c r="U160" s="19">
        <f t="shared" si="24"/>
        <v>0.215013169446883</v>
      </c>
      <c r="V160" s="19">
        <v>765.4</v>
      </c>
      <c r="W160" s="19">
        <f t="shared" si="25"/>
        <v>0.335996488147498</v>
      </c>
      <c r="X160" s="19">
        <v>1022.8</v>
      </c>
      <c r="Y160" s="14">
        <f t="shared" si="26"/>
        <v>0.448990342405619</v>
      </c>
      <c r="Z160" s="14">
        <v>2278</v>
      </c>
      <c r="AA160" s="25">
        <v>2.1</v>
      </c>
      <c r="AB160" s="25">
        <v>3</v>
      </c>
      <c r="AC160" s="25">
        <v>107.5</v>
      </c>
      <c r="AD160" s="25">
        <v>9.4</v>
      </c>
      <c r="AE160" s="25">
        <v>83.4</v>
      </c>
      <c r="AF160" s="25">
        <v>18.3</v>
      </c>
      <c r="AG160" s="25">
        <v>5.5</v>
      </c>
      <c r="AH160" s="25">
        <v>20.2</v>
      </c>
      <c r="AI160" s="25">
        <v>6.4</v>
      </c>
      <c r="AJ160" s="25">
        <v>7.3</v>
      </c>
      <c r="AK160" s="25">
        <f t="shared" si="27"/>
        <v>57.7</v>
      </c>
      <c r="AL160" s="25">
        <v>16</v>
      </c>
      <c r="AM160" s="25">
        <v>3.6</v>
      </c>
      <c r="AN160" s="19">
        <v>0.9</v>
      </c>
      <c r="AO160" s="25">
        <v>3</v>
      </c>
      <c r="AP160" s="25">
        <f t="shared" si="28"/>
        <v>23.5</v>
      </c>
      <c r="AQ160" s="25">
        <v>5.1</v>
      </c>
      <c r="AR160" s="25">
        <v>60.1</v>
      </c>
      <c r="AS160" s="25">
        <v>28</v>
      </c>
      <c r="AT160" s="25">
        <v>62.6</v>
      </c>
      <c r="AU160" s="25">
        <f t="shared" si="29"/>
        <v>155.8</v>
      </c>
      <c r="AV160" s="25">
        <v>9.4</v>
      </c>
      <c r="AW160" s="19">
        <v>1096.9</v>
      </c>
      <c r="AX160" s="25">
        <v>1888.9</v>
      </c>
      <c r="AY160" s="19">
        <v>2985.8</v>
      </c>
      <c r="AZ160" s="25">
        <v>579</v>
      </c>
      <c r="BA160" s="25">
        <v>4203.4</v>
      </c>
      <c r="BB160" s="25">
        <v>4782.4</v>
      </c>
      <c r="BC160" s="25">
        <f t="shared" si="30"/>
        <v>0.48844114791949</v>
      </c>
    </row>
    <row r="161" ht="14" spans="1:55">
      <c r="A161" s="29">
        <v>2020</v>
      </c>
      <c r="B161" s="29">
        <v>360000</v>
      </c>
      <c r="C161" s="30" t="s">
        <v>66</v>
      </c>
      <c r="D161" s="25">
        <v>0</v>
      </c>
      <c r="E161" s="25">
        <v>0</v>
      </c>
      <c r="F161" s="25">
        <v>1</v>
      </c>
      <c r="G161" s="25">
        <v>0</v>
      </c>
      <c r="H161" s="19">
        <v>56.3</v>
      </c>
      <c r="I161" s="19">
        <v>43.7</v>
      </c>
      <c r="J161" s="25">
        <v>2.2</v>
      </c>
      <c r="K161" s="25">
        <v>20.5</v>
      </c>
      <c r="L161" s="25">
        <f t="shared" si="21"/>
        <v>22.7</v>
      </c>
      <c r="M161" s="25">
        <v>44.5</v>
      </c>
      <c r="N161" s="25">
        <v>16.1</v>
      </c>
      <c r="O161" s="25">
        <v>9.1</v>
      </c>
      <c r="P161" s="25">
        <f t="shared" si="22"/>
        <v>69.7</v>
      </c>
      <c r="Q161" s="25">
        <v>7</v>
      </c>
      <c r="R161" s="19">
        <v>0.5</v>
      </c>
      <c r="S161" s="19">
        <f t="shared" si="23"/>
        <v>7.5</v>
      </c>
      <c r="T161" s="19">
        <v>455</v>
      </c>
      <c r="U161" s="19">
        <f t="shared" si="24"/>
        <v>0.200971731448763</v>
      </c>
      <c r="V161" s="19">
        <v>767</v>
      </c>
      <c r="W161" s="19">
        <f t="shared" si="25"/>
        <v>0.338780918727915</v>
      </c>
      <c r="X161" s="19">
        <v>1042</v>
      </c>
      <c r="Y161" s="14">
        <f t="shared" si="26"/>
        <v>0.460247349823322</v>
      </c>
      <c r="Z161" s="14">
        <v>2264</v>
      </c>
      <c r="AA161" s="25">
        <v>2.5</v>
      </c>
      <c r="AB161" s="25">
        <v>2.9</v>
      </c>
      <c r="AC161" s="25">
        <v>108.7</v>
      </c>
      <c r="AD161" s="25">
        <v>9.6</v>
      </c>
      <c r="AE161" s="25">
        <v>79.5</v>
      </c>
      <c r="AF161" s="25">
        <v>18.6</v>
      </c>
      <c r="AG161" s="25">
        <v>5.5</v>
      </c>
      <c r="AH161" s="25">
        <v>18</v>
      </c>
      <c r="AI161" s="25">
        <v>7.1</v>
      </c>
      <c r="AJ161" s="25">
        <v>7.4</v>
      </c>
      <c r="AK161" s="25">
        <f t="shared" si="27"/>
        <v>56.6</v>
      </c>
      <c r="AL161" s="25">
        <v>16</v>
      </c>
      <c r="AM161" s="25">
        <v>3.7</v>
      </c>
      <c r="AN161" s="19">
        <v>1</v>
      </c>
      <c r="AO161" s="25">
        <v>3.3</v>
      </c>
      <c r="AP161" s="25">
        <f t="shared" si="28"/>
        <v>24</v>
      </c>
      <c r="AQ161" s="25">
        <v>5.7</v>
      </c>
      <c r="AR161" s="25">
        <v>61.6</v>
      </c>
      <c r="AS161" s="25">
        <v>28.4</v>
      </c>
      <c r="AT161" s="25">
        <v>62.2</v>
      </c>
      <c r="AU161" s="25">
        <f t="shared" si="29"/>
        <v>157.9</v>
      </c>
      <c r="AV161" s="25">
        <v>9.9</v>
      </c>
      <c r="AW161" s="19">
        <v>1167.4</v>
      </c>
      <c r="AX161" s="25">
        <v>2078</v>
      </c>
      <c r="AY161" s="19">
        <v>3245.4</v>
      </c>
      <c r="AZ161" s="25">
        <v>599</v>
      </c>
      <c r="BA161" s="25">
        <v>4180.9</v>
      </c>
      <c r="BB161" s="25">
        <v>4780</v>
      </c>
      <c r="BC161" s="25">
        <f t="shared" si="30"/>
        <v>0.485022934295416</v>
      </c>
    </row>
    <row r="162" ht="14" spans="1:55">
      <c r="A162" s="29">
        <v>2021</v>
      </c>
      <c r="B162" s="29">
        <v>360000</v>
      </c>
      <c r="C162" s="30" t="s">
        <v>66</v>
      </c>
      <c r="D162" s="25">
        <v>0</v>
      </c>
      <c r="E162" s="25">
        <v>0</v>
      </c>
      <c r="F162" s="25">
        <v>1</v>
      </c>
      <c r="G162" s="25">
        <v>0</v>
      </c>
      <c r="H162" s="19">
        <v>56.955</v>
      </c>
      <c r="I162" s="19">
        <v>43.045</v>
      </c>
      <c r="J162" s="25">
        <v>1.918</v>
      </c>
      <c r="K162" s="25">
        <v>18.698</v>
      </c>
      <c r="L162" s="25">
        <f t="shared" si="21"/>
        <v>20.616</v>
      </c>
      <c r="M162" s="25">
        <v>43.267</v>
      </c>
      <c r="N162" s="25">
        <v>18.199</v>
      </c>
      <c r="O162" s="25">
        <v>9.562</v>
      </c>
      <c r="P162" s="25">
        <f t="shared" si="22"/>
        <v>71.028</v>
      </c>
      <c r="Q162" s="25">
        <v>7.645</v>
      </c>
      <c r="R162" s="19">
        <v>0.712</v>
      </c>
      <c r="S162" s="19">
        <f t="shared" si="23"/>
        <v>8.357</v>
      </c>
      <c r="T162" s="19">
        <v>424</v>
      </c>
      <c r="U162" s="19">
        <f t="shared" si="24"/>
        <v>0.189116859946476</v>
      </c>
      <c r="V162" s="19">
        <v>773</v>
      </c>
      <c r="W162" s="19">
        <f t="shared" si="25"/>
        <v>0.344781445138269</v>
      </c>
      <c r="X162" s="19">
        <v>1045</v>
      </c>
      <c r="Y162" s="14">
        <f t="shared" si="26"/>
        <v>0.466101694915254</v>
      </c>
      <c r="Z162" s="14">
        <v>2242</v>
      </c>
      <c r="AA162" s="25">
        <v>2.8</v>
      </c>
      <c r="AB162" s="25">
        <v>2.5</v>
      </c>
      <c r="AC162" s="25">
        <v>101.2</v>
      </c>
      <c r="AD162" s="25">
        <v>9.5</v>
      </c>
      <c r="AE162" s="25">
        <v>79.4</v>
      </c>
      <c r="AF162" s="25">
        <v>17.9</v>
      </c>
      <c r="AG162" s="25">
        <v>5.7</v>
      </c>
      <c r="AH162" s="25">
        <v>16.8</v>
      </c>
      <c r="AI162" s="25">
        <v>7.1</v>
      </c>
      <c r="AJ162" s="25">
        <v>8.3</v>
      </c>
      <c r="AK162" s="25">
        <f t="shared" si="27"/>
        <v>55.8</v>
      </c>
      <c r="AL162" s="25">
        <v>17.5</v>
      </c>
      <c r="AM162" s="25">
        <v>4.2</v>
      </c>
      <c r="AN162" s="19">
        <v>1.2</v>
      </c>
      <c r="AO162" s="25">
        <v>3.2</v>
      </c>
      <c r="AP162" s="25">
        <f t="shared" si="28"/>
        <v>26.1</v>
      </c>
      <c r="AQ162" s="25">
        <v>5.9</v>
      </c>
      <c r="AR162" s="25">
        <v>62.8</v>
      </c>
      <c r="AS162" s="25">
        <v>29.5</v>
      </c>
      <c r="AT162" s="25">
        <v>63.1</v>
      </c>
      <c r="AU162" s="25">
        <f t="shared" si="29"/>
        <v>161.3</v>
      </c>
      <c r="AV162" s="25">
        <v>9.5</v>
      </c>
      <c r="AW162" s="19">
        <v>1246.898</v>
      </c>
      <c r="AX162" s="25">
        <v>2074.311</v>
      </c>
      <c r="AY162" s="19">
        <v>3321.209</v>
      </c>
      <c r="AZ162" s="25">
        <v>610.142</v>
      </c>
      <c r="BA162" s="25">
        <v>4079.002</v>
      </c>
      <c r="BB162" s="25">
        <v>4689.144</v>
      </c>
      <c r="BC162" s="25">
        <f t="shared" si="30"/>
        <v>0.505552961299604</v>
      </c>
    </row>
    <row r="163" ht="14" spans="1:55">
      <c r="A163" s="29">
        <v>2022</v>
      </c>
      <c r="B163" s="29">
        <v>360000</v>
      </c>
      <c r="C163" s="30" t="s">
        <v>66</v>
      </c>
      <c r="D163" s="25">
        <v>0</v>
      </c>
      <c r="E163" s="25">
        <v>0</v>
      </c>
      <c r="F163" s="25">
        <v>1</v>
      </c>
      <c r="G163" s="25">
        <v>0</v>
      </c>
      <c r="H163" s="19">
        <v>56.835</v>
      </c>
      <c r="I163" s="19">
        <v>43.165</v>
      </c>
      <c r="J163" s="25">
        <v>1.893</v>
      </c>
      <c r="K163" s="25">
        <v>21.601</v>
      </c>
      <c r="L163" s="25">
        <f t="shared" si="21"/>
        <v>23.494</v>
      </c>
      <c r="M163" s="25">
        <v>41.178</v>
      </c>
      <c r="N163" s="25">
        <v>16.768</v>
      </c>
      <c r="O163" s="25">
        <v>9.67</v>
      </c>
      <c r="P163" s="25">
        <f t="shared" si="22"/>
        <v>67.616</v>
      </c>
      <c r="Q163" s="25">
        <v>8.249</v>
      </c>
      <c r="R163" s="19">
        <v>0.642</v>
      </c>
      <c r="S163" s="19">
        <f t="shared" si="23"/>
        <v>8.891</v>
      </c>
      <c r="T163" s="19">
        <v>403</v>
      </c>
      <c r="U163" s="19">
        <f t="shared" si="24"/>
        <v>0.183766529867761</v>
      </c>
      <c r="V163" s="19">
        <v>761</v>
      </c>
      <c r="W163" s="19">
        <f t="shared" si="25"/>
        <v>0.347013223894209</v>
      </c>
      <c r="X163" s="19">
        <v>1029</v>
      </c>
      <c r="Y163" s="14">
        <f t="shared" si="26"/>
        <v>0.46922024623803</v>
      </c>
      <c r="Z163" s="14">
        <v>2193</v>
      </c>
      <c r="AA163" s="25">
        <v>1.6</v>
      </c>
      <c r="AB163" s="25">
        <v>2.6</v>
      </c>
      <c r="AC163" s="25">
        <v>100.2</v>
      </c>
      <c r="AD163" s="25">
        <v>9.6</v>
      </c>
      <c r="AE163" s="25">
        <v>69.3</v>
      </c>
      <c r="AF163" s="25">
        <v>17.2</v>
      </c>
      <c r="AG163" s="25">
        <v>5.7</v>
      </c>
      <c r="AH163" s="25">
        <v>15.7</v>
      </c>
      <c r="AI163" s="25">
        <v>7.4</v>
      </c>
      <c r="AJ163" s="25">
        <v>8.2</v>
      </c>
      <c r="AK163" s="25">
        <f t="shared" si="27"/>
        <v>54.2</v>
      </c>
      <c r="AL163" s="25">
        <v>17.5</v>
      </c>
      <c r="AM163" s="25">
        <v>4.4</v>
      </c>
      <c r="AN163" s="19">
        <v>1.3</v>
      </c>
      <c r="AO163" s="25">
        <v>3.2</v>
      </c>
      <c r="AP163" s="25">
        <f t="shared" si="28"/>
        <v>26.4</v>
      </c>
      <c r="AQ163" s="25">
        <v>7</v>
      </c>
      <c r="AR163" s="25">
        <v>64</v>
      </c>
      <c r="AS163" s="25">
        <v>29.5</v>
      </c>
      <c r="AT163" s="25">
        <v>63.4</v>
      </c>
      <c r="AU163" s="25">
        <f t="shared" si="29"/>
        <v>163.9</v>
      </c>
      <c r="AV163" s="25">
        <v>9</v>
      </c>
      <c r="AW163" s="19">
        <v>1361.98</v>
      </c>
      <c r="AX163" s="25">
        <v>2081.047</v>
      </c>
      <c r="AY163" s="19">
        <v>3443.027</v>
      </c>
      <c r="AZ163" s="25">
        <v>646.055</v>
      </c>
      <c r="BA163" s="25">
        <v>4002.174</v>
      </c>
      <c r="BB163" s="25">
        <v>4648.229</v>
      </c>
      <c r="BC163" s="25">
        <f t="shared" si="30"/>
        <v>0.534565829137608</v>
      </c>
    </row>
    <row r="164" ht="14" spans="1:55">
      <c r="A164" s="29">
        <v>2013</v>
      </c>
      <c r="B164" s="29">
        <v>210000</v>
      </c>
      <c r="C164" s="30" t="s">
        <v>67</v>
      </c>
      <c r="D164" s="25">
        <v>0</v>
      </c>
      <c r="E164" s="25">
        <v>0</v>
      </c>
      <c r="F164" s="25">
        <v>0</v>
      </c>
      <c r="G164" s="25">
        <v>1</v>
      </c>
      <c r="H164" s="19">
        <v>53.6749999999993</v>
      </c>
      <c r="I164" s="19">
        <v>46.3250000000007</v>
      </c>
      <c r="J164" s="25">
        <v>0.307</v>
      </c>
      <c r="K164" s="25">
        <v>13.526</v>
      </c>
      <c r="L164" s="25">
        <f t="shared" si="21"/>
        <v>13.833</v>
      </c>
      <c r="M164" s="25">
        <v>55.965</v>
      </c>
      <c r="N164" s="25">
        <v>14.672</v>
      </c>
      <c r="O164" s="25">
        <v>9.254</v>
      </c>
      <c r="P164" s="25">
        <f t="shared" si="22"/>
        <v>79.891</v>
      </c>
      <c r="Q164" s="25">
        <v>5.96</v>
      </c>
      <c r="R164" s="19">
        <v>0.316</v>
      </c>
      <c r="S164" s="19">
        <f t="shared" si="23"/>
        <v>6.276</v>
      </c>
      <c r="T164" s="19">
        <v>683.8023</v>
      </c>
      <c r="U164" s="19">
        <f t="shared" si="24"/>
        <v>0.27147124693256</v>
      </c>
      <c r="V164" s="19">
        <v>724.1884</v>
      </c>
      <c r="W164" s="19">
        <f t="shared" si="25"/>
        <v>0.287504631034578</v>
      </c>
      <c r="X164" s="19">
        <v>1110.8849</v>
      </c>
      <c r="Y164" s="14">
        <f t="shared" si="26"/>
        <v>0.441024122032863</v>
      </c>
      <c r="Z164" s="14">
        <v>2518.8756</v>
      </c>
      <c r="AA164" s="25">
        <v>23.3</v>
      </c>
      <c r="AB164" s="25">
        <v>34</v>
      </c>
      <c r="AC164" s="25">
        <v>179.5</v>
      </c>
      <c r="AD164" s="25">
        <v>16.5</v>
      </c>
      <c r="AE164" s="25">
        <v>112.1</v>
      </c>
      <c r="AF164" s="25">
        <v>37.7</v>
      </c>
      <c r="AG164" s="25">
        <v>12.7</v>
      </c>
      <c r="AH164" s="25">
        <v>23.2</v>
      </c>
      <c r="AI164" s="25">
        <v>16.9</v>
      </c>
      <c r="AJ164" s="25">
        <v>13.3</v>
      </c>
      <c r="AK164" s="25">
        <f t="shared" si="27"/>
        <v>103.8</v>
      </c>
      <c r="AL164" s="25">
        <v>27.7</v>
      </c>
      <c r="AM164" s="25">
        <v>8.1</v>
      </c>
      <c r="AN164" s="19">
        <v>2.8</v>
      </c>
      <c r="AO164" s="25">
        <v>5.5</v>
      </c>
      <c r="AP164" s="25">
        <f t="shared" si="28"/>
        <v>44.1</v>
      </c>
      <c r="AQ164" s="25">
        <v>15.9</v>
      </c>
      <c r="AR164" s="25">
        <v>59.1</v>
      </c>
      <c r="AS164" s="25">
        <v>33.4</v>
      </c>
      <c r="AT164" s="25">
        <v>53.5</v>
      </c>
      <c r="AU164" s="25">
        <f t="shared" si="29"/>
        <v>161.9</v>
      </c>
      <c r="AV164" s="25">
        <v>14</v>
      </c>
      <c r="AW164" s="19">
        <v>1729.471</v>
      </c>
      <c r="AX164" s="25">
        <v>1046.853</v>
      </c>
      <c r="AY164" s="19">
        <v>2776.324</v>
      </c>
      <c r="AZ164" s="25">
        <v>1624.792</v>
      </c>
      <c r="BA164" s="25">
        <v>708.464</v>
      </c>
      <c r="BB164" s="25">
        <v>2333.256</v>
      </c>
      <c r="BC164" s="25">
        <f t="shared" si="30"/>
        <v>1.31929808757947</v>
      </c>
    </row>
    <row r="165" ht="14" spans="1:55">
      <c r="A165" s="29">
        <v>2014</v>
      </c>
      <c r="B165" s="29">
        <v>210000</v>
      </c>
      <c r="C165" s="30" t="s">
        <v>67</v>
      </c>
      <c r="D165" s="25">
        <v>0</v>
      </c>
      <c r="E165" s="25">
        <v>0</v>
      </c>
      <c r="F165" s="25">
        <v>0</v>
      </c>
      <c r="G165" s="25">
        <v>1</v>
      </c>
      <c r="H165" s="19">
        <v>55.9</v>
      </c>
      <c r="I165" s="19">
        <v>44.1</v>
      </c>
      <c r="J165" s="25">
        <v>0.4</v>
      </c>
      <c r="K165" s="25">
        <v>12.5</v>
      </c>
      <c r="L165" s="25">
        <f t="shared" si="21"/>
        <v>12.9</v>
      </c>
      <c r="M165" s="25">
        <v>55.5</v>
      </c>
      <c r="N165" s="25">
        <v>14.9</v>
      </c>
      <c r="O165" s="25">
        <v>9.2</v>
      </c>
      <c r="P165" s="25">
        <f t="shared" si="22"/>
        <v>79.6</v>
      </c>
      <c r="Q165" s="25">
        <v>7</v>
      </c>
      <c r="R165" s="19">
        <v>0.5</v>
      </c>
      <c r="S165" s="19">
        <f t="shared" si="23"/>
        <v>7.5</v>
      </c>
      <c r="T165" s="19">
        <v>687.8636</v>
      </c>
      <c r="U165" s="19">
        <f t="shared" si="24"/>
        <v>0.268462474753962</v>
      </c>
      <c r="V165" s="19">
        <v>710.509</v>
      </c>
      <c r="W165" s="19">
        <f t="shared" si="25"/>
        <v>0.277300622499813</v>
      </c>
      <c r="X165" s="19">
        <v>1163.8611</v>
      </c>
      <c r="Y165" s="14">
        <f t="shared" si="26"/>
        <v>0.454236902746225</v>
      </c>
      <c r="Z165" s="14">
        <v>2562.2337</v>
      </c>
      <c r="AA165" s="25">
        <v>23.1</v>
      </c>
      <c r="AB165" s="25">
        <v>31.3</v>
      </c>
      <c r="AC165" s="25">
        <v>166.9</v>
      </c>
      <c r="AD165" s="25">
        <v>15.9</v>
      </c>
      <c r="AE165" s="25">
        <v>102.3</v>
      </c>
      <c r="AF165" s="25">
        <v>37.6</v>
      </c>
      <c r="AG165" s="25">
        <v>13</v>
      </c>
      <c r="AH165" s="25">
        <v>24.4</v>
      </c>
      <c r="AI165" s="25">
        <v>16.9</v>
      </c>
      <c r="AJ165" s="25">
        <v>12.8</v>
      </c>
      <c r="AK165" s="25">
        <f t="shared" si="27"/>
        <v>104.7</v>
      </c>
      <c r="AL165" s="25">
        <v>26.7</v>
      </c>
      <c r="AM165" s="25">
        <v>7.4</v>
      </c>
      <c r="AN165" s="19">
        <v>2.8</v>
      </c>
      <c r="AO165" s="25">
        <v>5.3</v>
      </c>
      <c r="AP165" s="25">
        <f t="shared" si="28"/>
        <v>42.2</v>
      </c>
      <c r="AQ165" s="25">
        <v>16.1</v>
      </c>
      <c r="AR165" s="25">
        <v>59.9</v>
      </c>
      <c r="AS165" s="25">
        <v>34.5</v>
      </c>
      <c r="AT165" s="25">
        <v>53.8</v>
      </c>
      <c r="AU165" s="25">
        <f t="shared" si="29"/>
        <v>164.3</v>
      </c>
      <c r="AV165" s="25">
        <v>14.5</v>
      </c>
      <c r="AW165" s="19">
        <v>1769.2</v>
      </c>
      <c r="AX165" s="25">
        <v>1032</v>
      </c>
      <c r="AY165" s="19">
        <v>2801.2</v>
      </c>
      <c r="AZ165" s="25">
        <v>1649.2</v>
      </c>
      <c r="BA165" s="25">
        <v>738</v>
      </c>
      <c r="BB165" s="25">
        <v>2387.2</v>
      </c>
      <c r="BC165" s="25">
        <f t="shared" si="30"/>
        <v>1.32243766937877</v>
      </c>
    </row>
    <row r="166" ht="14" spans="1:55">
      <c r="A166" s="29">
        <v>2015</v>
      </c>
      <c r="B166" s="29">
        <v>210000</v>
      </c>
      <c r="C166" s="30" t="s">
        <v>67</v>
      </c>
      <c r="D166" s="25">
        <v>0</v>
      </c>
      <c r="E166" s="25">
        <v>0</v>
      </c>
      <c r="F166" s="25">
        <v>0</v>
      </c>
      <c r="G166" s="25">
        <v>1</v>
      </c>
      <c r="H166" s="19">
        <v>58.125</v>
      </c>
      <c r="I166" s="19">
        <v>41.875</v>
      </c>
      <c r="J166" s="25">
        <v>0.527</v>
      </c>
      <c r="K166" s="25">
        <v>12.705</v>
      </c>
      <c r="L166" s="25">
        <f t="shared" si="21"/>
        <v>13.232</v>
      </c>
      <c r="M166" s="25">
        <v>50.253</v>
      </c>
      <c r="N166" s="25">
        <v>10.143</v>
      </c>
      <c r="O166" s="25">
        <v>9.769</v>
      </c>
      <c r="P166" s="25">
        <f t="shared" si="22"/>
        <v>70.165</v>
      </c>
      <c r="Q166" s="25">
        <v>9.29</v>
      </c>
      <c r="R166" s="19">
        <v>0.852</v>
      </c>
      <c r="S166" s="19">
        <f t="shared" si="23"/>
        <v>10.142</v>
      </c>
      <c r="T166" s="19">
        <v>689.4195</v>
      </c>
      <c r="U166" s="19">
        <f t="shared" si="24"/>
        <v>0.286078658451039</v>
      </c>
      <c r="V166" s="19">
        <v>635.1816</v>
      </c>
      <c r="W166" s="19">
        <f t="shared" si="25"/>
        <v>0.263572324253643</v>
      </c>
      <c r="X166" s="19">
        <v>1085.2938</v>
      </c>
      <c r="Y166" s="14">
        <f t="shared" si="26"/>
        <v>0.450349017295319</v>
      </c>
      <c r="Z166" s="14">
        <v>2409.8949</v>
      </c>
      <c r="AA166" s="25">
        <v>22.5</v>
      </c>
      <c r="AB166" s="25">
        <v>28.7</v>
      </c>
      <c r="AC166" s="25">
        <v>150.6</v>
      </c>
      <c r="AD166" s="25">
        <v>14.6</v>
      </c>
      <c r="AE166" s="25">
        <v>83.7</v>
      </c>
      <c r="AF166" s="25">
        <v>36.1</v>
      </c>
      <c r="AG166" s="25">
        <v>13.3</v>
      </c>
      <c r="AH166" s="25">
        <v>26</v>
      </c>
      <c r="AI166" s="25">
        <v>15.9</v>
      </c>
      <c r="AJ166" s="25">
        <v>11.8</v>
      </c>
      <c r="AK166" s="25">
        <f t="shared" si="27"/>
        <v>103.1</v>
      </c>
      <c r="AL166" s="25">
        <v>25.8</v>
      </c>
      <c r="AM166" s="25">
        <v>6.8</v>
      </c>
      <c r="AN166" s="19">
        <v>2.6</v>
      </c>
      <c r="AO166" s="25">
        <v>5.1</v>
      </c>
      <c r="AP166" s="25">
        <f t="shared" si="28"/>
        <v>40.3</v>
      </c>
      <c r="AQ166" s="25">
        <v>15.9</v>
      </c>
      <c r="AR166" s="25">
        <v>58</v>
      </c>
      <c r="AS166" s="25">
        <v>33.7</v>
      </c>
      <c r="AT166" s="25">
        <v>54.1</v>
      </c>
      <c r="AU166" s="25">
        <f t="shared" si="29"/>
        <v>161.7</v>
      </c>
      <c r="AV166" s="25">
        <v>13.3</v>
      </c>
      <c r="AW166" s="19">
        <v>1780.16</v>
      </c>
      <c r="AX166" s="25">
        <v>1034.673</v>
      </c>
      <c r="AY166" s="19">
        <v>2814.833</v>
      </c>
      <c r="AZ166" s="25">
        <v>1651.409</v>
      </c>
      <c r="BA166" s="25">
        <v>744.829</v>
      </c>
      <c r="BB166" s="25">
        <v>2396.238</v>
      </c>
      <c r="BC166" s="25">
        <f t="shared" si="30"/>
        <v>1.32158853054365</v>
      </c>
    </row>
    <row r="167" ht="14" spans="1:55">
      <c r="A167" s="29">
        <v>2016</v>
      </c>
      <c r="B167" s="29">
        <v>210000</v>
      </c>
      <c r="C167" s="30" t="s">
        <v>67</v>
      </c>
      <c r="D167" s="25">
        <v>0</v>
      </c>
      <c r="E167" s="25">
        <v>0</v>
      </c>
      <c r="F167" s="25">
        <v>0</v>
      </c>
      <c r="G167" s="25">
        <v>1</v>
      </c>
      <c r="H167" s="19">
        <v>57.429</v>
      </c>
      <c r="I167" s="19">
        <v>42.571</v>
      </c>
      <c r="J167" s="25">
        <v>0.511</v>
      </c>
      <c r="K167" s="25">
        <v>12.6</v>
      </c>
      <c r="L167" s="25">
        <f t="shared" si="21"/>
        <v>13.111</v>
      </c>
      <c r="M167" s="25">
        <v>49.744</v>
      </c>
      <c r="N167" s="25">
        <v>9.589</v>
      </c>
      <c r="O167" s="25">
        <v>10.372</v>
      </c>
      <c r="P167" s="25">
        <f t="shared" si="22"/>
        <v>69.705</v>
      </c>
      <c r="Q167" s="25">
        <v>9.516</v>
      </c>
      <c r="R167" s="19">
        <v>0.766</v>
      </c>
      <c r="S167" s="19">
        <f t="shared" si="23"/>
        <v>10.282</v>
      </c>
      <c r="T167" s="19">
        <v>705.4145</v>
      </c>
      <c r="U167" s="19">
        <f t="shared" si="24"/>
        <v>0.306547909533114</v>
      </c>
      <c r="V167" s="19">
        <v>572.6306</v>
      </c>
      <c r="W167" s="19">
        <f t="shared" si="25"/>
        <v>0.248844776177258</v>
      </c>
      <c r="X167" s="19">
        <v>1023.1107</v>
      </c>
      <c r="Y167" s="14">
        <f t="shared" si="26"/>
        <v>0.444607314289628</v>
      </c>
      <c r="Z167" s="14">
        <v>2301.1558</v>
      </c>
      <c r="AA167" s="25">
        <v>22.7</v>
      </c>
      <c r="AB167" s="25">
        <v>24.7</v>
      </c>
      <c r="AC167" s="25">
        <v>131.7</v>
      </c>
      <c r="AD167" s="25">
        <v>14.7</v>
      </c>
      <c r="AE167" s="25">
        <v>64.6</v>
      </c>
      <c r="AF167" s="25">
        <v>35.2</v>
      </c>
      <c r="AG167" s="25">
        <v>12.6</v>
      </c>
      <c r="AH167" s="25">
        <v>27</v>
      </c>
      <c r="AI167" s="25">
        <v>13.8</v>
      </c>
      <c r="AJ167" s="25">
        <v>11.9</v>
      </c>
      <c r="AK167" s="25">
        <f t="shared" si="27"/>
        <v>100.5</v>
      </c>
      <c r="AL167" s="25">
        <v>22.6</v>
      </c>
      <c r="AM167" s="25">
        <v>6.2</v>
      </c>
      <c r="AN167" s="19">
        <v>2.4</v>
      </c>
      <c r="AO167" s="25">
        <v>5</v>
      </c>
      <c r="AP167" s="25">
        <f t="shared" si="28"/>
        <v>36.2</v>
      </c>
      <c r="AQ167" s="25">
        <v>14.4</v>
      </c>
      <c r="AR167" s="25">
        <v>53.7</v>
      </c>
      <c r="AS167" s="25">
        <v>31.3</v>
      </c>
      <c r="AT167" s="25">
        <v>53.8</v>
      </c>
      <c r="AU167" s="25">
        <f t="shared" si="29"/>
        <v>153.2</v>
      </c>
      <c r="AV167" s="25">
        <v>12</v>
      </c>
      <c r="AW167" s="19">
        <v>1800.298</v>
      </c>
      <c r="AX167" s="25">
        <v>1039.636</v>
      </c>
      <c r="AY167" s="19">
        <v>2839.934</v>
      </c>
      <c r="AZ167" s="25">
        <v>1635.625</v>
      </c>
      <c r="BA167" s="25">
        <v>740.386</v>
      </c>
      <c r="BB167" s="25">
        <v>2376.011</v>
      </c>
      <c r="BC167" s="25">
        <f t="shared" si="30"/>
        <v>1.32231365175332</v>
      </c>
    </row>
    <row r="168" ht="14" spans="1:55">
      <c r="A168" s="29">
        <v>2017</v>
      </c>
      <c r="B168" s="29">
        <v>210000</v>
      </c>
      <c r="C168" s="30" t="s">
        <v>67</v>
      </c>
      <c r="D168" s="25">
        <v>0</v>
      </c>
      <c r="E168" s="25">
        <v>0</v>
      </c>
      <c r="F168" s="25">
        <v>0</v>
      </c>
      <c r="G168" s="25">
        <v>1</v>
      </c>
      <c r="H168" s="19">
        <v>55.862</v>
      </c>
      <c r="I168" s="19">
        <v>44.138</v>
      </c>
      <c r="J168" s="25">
        <v>0.429</v>
      </c>
      <c r="K168" s="25">
        <v>11.201</v>
      </c>
      <c r="L168" s="25">
        <f t="shared" si="21"/>
        <v>11.63</v>
      </c>
      <c r="M168" s="25">
        <v>51.328</v>
      </c>
      <c r="N168" s="25">
        <v>9.916</v>
      </c>
      <c r="O168" s="25">
        <v>9.99</v>
      </c>
      <c r="P168" s="25">
        <f t="shared" si="22"/>
        <v>71.234</v>
      </c>
      <c r="Q168" s="25">
        <v>9.889</v>
      </c>
      <c r="R168" s="19">
        <v>0.91</v>
      </c>
      <c r="S168" s="19">
        <f t="shared" si="23"/>
        <v>10.799</v>
      </c>
      <c r="T168" s="19">
        <v>714.751</v>
      </c>
      <c r="U168" s="19">
        <f t="shared" si="24"/>
        <v>0.312848507168674</v>
      </c>
      <c r="V168" s="19">
        <v>560.1292</v>
      </c>
      <c r="W168" s="19">
        <f t="shared" si="25"/>
        <v>0.245170113846058</v>
      </c>
      <c r="X168" s="19">
        <v>1009.7751</v>
      </c>
      <c r="Y168" s="14">
        <f t="shared" si="26"/>
        <v>0.441981378985268</v>
      </c>
      <c r="Z168" s="14">
        <v>2284.6553</v>
      </c>
      <c r="AA168" s="25">
        <v>21.5</v>
      </c>
      <c r="AB168" s="25">
        <v>23.7</v>
      </c>
      <c r="AC168" s="25">
        <v>117.8</v>
      </c>
      <c r="AD168" s="25">
        <v>14</v>
      </c>
      <c r="AE168" s="25">
        <v>50.2</v>
      </c>
      <c r="AF168" s="25">
        <v>35.6</v>
      </c>
      <c r="AG168" s="25">
        <v>12.9</v>
      </c>
      <c r="AH168" s="25">
        <v>28.3</v>
      </c>
      <c r="AI168" s="25">
        <v>12.1</v>
      </c>
      <c r="AJ168" s="25">
        <v>11.5</v>
      </c>
      <c r="AK168" s="25">
        <f t="shared" si="27"/>
        <v>100.4</v>
      </c>
      <c r="AL168" s="25">
        <v>20.4</v>
      </c>
      <c r="AM168" s="25">
        <v>5.8</v>
      </c>
      <c r="AN168" s="19">
        <v>2.3</v>
      </c>
      <c r="AO168" s="25">
        <v>4.7</v>
      </c>
      <c r="AP168" s="25">
        <f t="shared" si="28"/>
        <v>33.2</v>
      </c>
      <c r="AQ168" s="25">
        <v>13.2</v>
      </c>
      <c r="AR168" s="25">
        <v>50.3</v>
      </c>
      <c r="AS168" s="25">
        <v>30.7</v>
      </c>
      <c r="AT168" s="25">
        <v>54.3</v>
      </c>
      <c r="AU168" s="25">
        <f t="shared" si="29"/>
        <v>148.5</v>
      </c>
      <c r="AV168" s="25">
        <v>10.4</v>
      </c>
      <c r="AW168" s="19">
        <v>1949.807</v>
      </c>
      <c r="AX168" s="25">
        <v>1036.176</v>
      </c>
      <c r="AY168" s="19">
        <v>2985.982</v>
      </c>
      <c r="AZ168" s="25">
        <v>1575.911</v>
      </c>
      <c r="BA168" s="25">
        <v>701.6</v>
      </c>
      <c r="BB168" s="25">
        <v>2277.511</v>
      </c>
      <c r="BC168" s="25">
        <f t="shared" si="30"/>
        <v>1.34493126431803</v>
      </c>
    </row>
    <row r="169" ht="14" spans="1:55">
      <c r="A169" s="29">
        <v>2018</v>
      </c>
      <c r="B169" s="29">
        <v>210000</v>
      </c>
      <c r="C169" s="30" t="s">
        <v>67</v>
      </c>
      <c r="D169" s="25">
        <v>0</v>
      </c>
      <c r="E169" s="25">
        <v>0</v>
      </c>
      <c r="F169" s="25">
        <v>0</v>
      </c>
      <c r="G169" s="25">
        <v>1</v>
      </c>
      <c r="H169" s="19">
        <v>55.469</v>
      </c>
      <c r="I169" s="19">
        <v>44.531</v>
      </c>
      <c r="J169" s="25">
        <v>0.486</v>
      </c>
      <c r="K169" s="25">
        <v>11.459</v>
      </c>
      <c r="L169" s="25">
        <f t="shared" si="21"/>
        <v>11.945</v>
      </c>
      <c r="M169" s="25">
        <v>52.046</v>
      </c>
      <c r="N169" s="25">
        <v>9.356</v>
      </c>
      <c r="O169" s="25">
        <v>9.844</v>
      </c>
      <c r="P169" s="25">
        <f t="shared" si="22"/>
        <v>71.246</v>
      </c>
      <c r="Q169" s="25">
        <v>9.623</v>
      </c>
      <c r="R169" s="19">
        <v>0.927</v>
      </c>
      <c r="S169" s="19">
        <f t="shared" si="23"/>
        <v>10.55</v>
      </c>
      <c r="T169" s="19">
        <v>711.8</v>
      </c>
      <c r="U169" s="19">
        <f t="shared" si="24"/>
        <v>0.314872157834203</v>
      </c>
      <c r="V169" s="19">
        <v>534</v>
      </c>
      <c r="W169" s="19">
        <f t="shared" si="25"/>
        <v>0.236220472440945</v>
      </c>
      <c r="X169" s="19">
        <v>1014.8</v>
      </c>
      <c r="Y169" s="14">
        <f t="shared" si="26"/>
        <v>0.448907369724852</v>
      </c>
      <c r="Z169" s="14">
        <v>2260.6</v>
      </c>
      <c r="AA169" s="25">
        <v>19.5</v>
      </c>
      <c r="AB169" s="25">
        <v>21.6</v>
      </c>
      <c r="AC169" s="25">
        <v>112.1</v>
      </c>
      <c r="AD169" s="25">
        <v>16.3</v>
      </c>
      <c r="AE169" s="25">
        <v>37.8</v>
      </c>
      <c r="AF169" s="25">
        <v>33</v>
      </c>
      <c r="AG169" s="25">
        <v>12.8</v>
      </c>
      <c r="AH169" s="25">
        <v>28.5</v>
      </c>
      <c r="AI169" s="25">
        <v>10.4</v>
      </c>
      <c r="AJ169" s="25">
        <v>12</v>
      </c>
      <c r="AK169" s="25">
        <f t="shared" si="27"/>
        <v>96.7</v>
      </c>
      <c r="AL169" s="25">
        <v>20.2</v>
      </c>
      <c r="AM169" s="25">
        <v>5.6</v>
      </c>
      <c r="AN169" s="19">
        <v>3.3</v>
      </c>
      <c r="AO169" s="25">
        <v>4.1</v>
      </c>
      <c r="AP169" s="25">
        <f t="shared" si="28"/>
        <v>33.2</v>
      </c>
      <c r="AQ169" s="25">
        <v>10</v>
      </c>
      <c r="AR169" s="25">
        <v>49</v>
      </c>
      <c r="AS169" s="25">
        <v>31.1</v>
      </c>
      <c r="AT169" s="25">
        <v>63.8</v>
      </c>
      <c r="AU169" s="25">
        <f t="shared" si="29"/>
        <v>153.9</v>
      </c>
      <c r="AV169" s="25">
        <v>10.5</v>
      </c>
      <c r="AW169" s="19">
        <v>1994.793</v>
      </c>
      <c r="AX169" s="25">
        <v>1040.781</v>
      </c>
      <c r="AY169" s="19">
        <v>3035.574</v>
      </c>
      <c r="AZ169" s="25">
        <v>1567.881</v>
      </c>
      <c r="BA169" s="25">
        <v>2400.947</v>
      </c>
      <c r="BB169" s="25">
        <v>3968.828</v>
      </c>
      <c r="BC169" s="25">
        <f t="shared" si="30"/>
        <v>1.05218751570088</v>
      </c>
    </row>
    <row r="170" ht="14" spans="1:55">
      <c r="A170" s="29">
        <v>2019</v>
      </c>
      <c r="B170" s="29">
        <v>210000</v>
      </c>
      <c r="C170" s="30" t="s">
        <v>67</v>
      </c>
      <c r="D170" s="25">
        <v>0</v>
      </c>
      <c r="E170" s="25">
        <v>0</v>
      </c>
      <c r="F170" s="25">
        <v>0</v>
      </c>
      <c r="G170" s="25">
        <v>1</v>
      </c>
      <c r="H170" s="19">
        <v>56.4</v>
      </c>
      <c r="I170" s="19">
        <v>43.6</v>
      </c>
      <c r="J170" s="25">
        <v>0.4</v>
      </c>
      <c r="K170" s="25">
        <v>11.5</v>
      </c>
      <c r="L170" s="25">
        <f t="shared" si="21"/>
        <v>11.9</v>
      </c>
      <c r="M170" s="25">
        <v>48.3</v>
      </c>
      <c r="N170" s="25">
        <v>16.3</v>
      </c>
      <c r="O170" s="25">
        <v>11.2</v>
      </c>
      <c r="P170" s="25">
        <f t="shared" si="22"/>
        <v>75.8</v>
      </c>
      <c r="Q170" s="25">
        <v>11.3</v>
      </c>
      <c r="R170" s="19">
        <v>1.1</v>
      </c>
      <c r="S170" s="19">
        <f t="shared" si="23"/>
        <v>12.4</v>
      </c>
      <c r="T170" s="19">
        <v>671.400000000009</v>
      </c>
      <c r="U170" s="19">
        <f t="shared" si="24"/>
        <v>0.299942080889335</v>
      </c>
      <c r="V170" s="19">
        <v>515</v>
      </c>
      <c r="W170" s="19">
        <f t="shared" si="25"/>
        <v>0.230071748075671</v>
      </c>
      <c r="X170" s="19">
        <v>1059.40000000001</v>
      </c>
      <c r="Y170" s="14">
        <f t="shared" si="26"/>
        <v>0.473277689148288</v>
      </c>
      <c r="Z170" s="14">
        <v>2238.43216</v>
      </c>
      <c r="AA170" s="25">
        <v>17.2</v>
      </c>
      <c r="AB170" s="25">
        <v>19.6</v>
      </c>
      <c r="AC170" s="25">
        <v>110.4</v>
      </c>
      <c r="AD170" s="25">
        <v>15.8</v>
      </c>
      <c r="AE170" s="25">
        <v>32.4</v>
      </c>
      <c r="AF170" s="25">
        <v>32.9</v>
      </c>
      <c r="AG170" s="25">
        <v>13.7</v>
      </c>
      <c r="AH170" s="25">
        <v>33.5</v>
      </c>
      <c r="AI170" s="25">
        <v>9.8</v>
      </c>
      <c r="AJ170" s="25">
        <v>13.4</v>
      </c>
      <c r="AK170" s="25">
        <f t="shared" si="27"/>
        <v>103.3</v>
      </c>
      <c r="AL170" s="25">
        <v>18.8</v>
      </c>
      <c r="AM170" s="25">
        <v>5.1</v>
      </c>
      <c r="AN170" s="19">
        <v>2.3</v>
      </c>
      <c r="AO170" s="25">
        <v>4.5</v>
      </c>
      <c r="AP170" s="25">
        <f t="shared" si="28"/>
        <v>30.7</v>
      </c>
      <c r="AQ170" s="25">
        <v>7.4</v>
      </c>
      <c r="AR170" s="25">
        <v>51</v>
      </c>
      <c r="AS170" s="25">
        <v>31.5</v>
      </c>
      <c r="AT170" s="25">
        <v>69.9</v>
      </c>
      <c r="AU170" s="25">
        <f t="shared" si="29"/>
        <v>159.8</v>
      </c>
      <c r="AV170" s="25">
        <v>10.7</v>
      </c>
      <c r="AW170" s="19">
        <v>2026.2</v>
      </c>
      <c r="AX170" s="25">
        <v>1057.7</v>
      </c>
      <c r="AY170" s="19">
        <v>3083.9</v>
      </c>
      <c r="AZ170" s="25">
        <v>1552.1</v>
      </c>
      <c r="BA170" s="25">
        <v>2342.6</v>
      </c>
      <c r="BB170" s="25">
        <v>3894.7</v>
      </c>
      <c r="BC170" s="25">
        <f t="shared" si="30"/>
        <v>1.05554112727696</v>
      </c>
    </row>
    <row r="171" ht="14" spans="1:55">
      <c r="A171" s="29">
        <v>2020</v>
      </c>
      <c r="B171" s="29">
        <v>210000</v>
      </c>
      <c r="C171" s="30" t="s">
        <v>67</v>
      </c>
      <c r="D171" s="25">
        <v>0</v>
      </c>
      <c r="E171" s="25">
        <v>0</v>
      </c>
      <c r="F171" s="25">
        <v>0</v>
      </c>
      <c r="G171" s="25">
        <v>1</v>
      </c>
      <c r="H171" s="19">
        <v>56.4</v>
      </c>
      <c r="I171" s="19">
        <v>43.6</v>
      </c>
      <c r="J171" s="25">
        <v>0.5</v>
      </c>
      <c r="K171" s="25">
        <v>12.4</v>
      </c>
      <c r="L171" s="25">
        <f t="shared" si="21"/>
        <v>12.9</v>
      </c>
      <c r="M171" s="25">
        <v>49.5</v>
      </c>
      <c r="N171" s="25">
        <v>14.3</v>
      </c>
      <c r="O171" s="25">
        <v>10.7</v>
      </c>
      <c r="P171" s="25">
        <f t="shared" si="22"/>
        <v>74.5</v>
      </c>
      <c r="Q171" s="25">
        <v>11.6</v>
      </c>
      <c r="R171" s="19">
        <v>1</v>
      </c>
      <c r="S171" s="19">
        <f t="shared" si="23"/>
        <v>12.6</v>
      </c>
      <c r="T171" s="19">
        <v>631</v>
      </c>
      <c r="U171" s="19">
        <f t="shared" si="24"/>
        <v>0.282832810398924</v>
      </c>
      <c r="V171" s="19">
        <v>496</v>
      </c>
      <c r="W171" s="19">
        <f t="shared" si="25"/>
        <v>0.222321828776333</v>
      </c>
      <c r="X171" s="19">
        <v>1104</v>
      </c>
      <c r="Y171" s="14">
        <f t="shared" si="26"/>
        <v>0.494845360824742</v>
      </c>
      <c r="Z171" s="14">
        <v>2231</v>
      </c>
      <c r="AA171" s="25">
        <v>7.7</v>
      </c>
      <c r="AB171" s="25">
        <v>18.6</v>
      </c>
      <c r="AC171" s="25">
        <v>102.4</v>
      </c>
      <c r="AD171" s="25">
        <v>15.3</v>
      </c>
      <c r="AE171" s="25">
        <v>28.3</v>
      </c>
      <c r="AF171" s="25">
        <v>30.6</v>
      </c>
      <c r="AG171" s="25">
        <v>13.9</v>
      </c>
      <c r="AH171" s="25">
        <v>32.2</v>
      </c>
      <c r="AI171" s="25">
        <v>10.5</v>
      </c>
      <c r="AJ171" s="25">
        <v>14.5</v>
      </c>
      <c r="AK171" s="25">
        <f t="shared" si="27"/>
        <v>101.7</v>
      </c>
      <c r="AL171" s="25">
        <v>17.7</v>
      </c>
      <c r="AM171" s="25">
        <v>4.9</v>
      </c>
      <c r="AN171" s="19">
        <v>1.6</v>
      </c>
      <c r="AO171" s="25">
        <v>4.4</v>
      </c>
      <c r="AP171" s="25">
        <f t="shared" si="28"/>
        <v>28.6</v>
      </c>
      <c r="AQ171" s="25">
        <v>8.3</v>
      </c>
      <c r="AR171" s="25">
        <v>52.7</v>
      </c>
      <c r="AS171" s="25">
        <v>33.3</v>
      </c>
      <c r="AT171" s="25">
        <v>67.9</v>
      </c>
      <c r="AU171" s="25">
        <f t="shared" si="29"/>
        <v>162.2</v>
      </c>
      <c r="AV171" s="25">
        <v>12</v>
      </c>
      <c r="AW171" s="19">
        <v>2049</v>
      </c>
      <c r="AX171" s="25">
        <v>1058.4</v>
      </c>
      <c r="AY171" s="19">
        <v>3107.3</v>
      </c>
      <c r="AZ171" s="25">
        <v>1588.4</v>
      </c>
      <c r="BA171" s="25">
        <v>2279.1</v>
      </c>
      <c r="BB171" s="25">
        <v>3867.5</v>
      </c>
      <c r="BC171" s="25">
        <f t="shared" si="30"/>
        <v>1.07011951566979</v>
      </c>
    </row>
    <row r="172" ht="14" spans="1:55">
      <c r="A172" s="29">
        <v>2021</v>
      </c>
      <c r="B172" s="29">
        <v>210000</v>
      </c>
      <c r="C172" s="30" t="s">
        <v>67</v>
      </c>
      <c r="D172" s="25">
        <v>0</v>
      </c>
      <c r="E172" s="25">
        <v>0</v>
      </c>
      <c r="F172" s="25">
        <v>0</v>
      </c>
      <c r="G172" s="25">
        <v>1</v>
      </c>
      <c r="H172" s="19">
        <v>55.616</v>
      </c>
      <c r="I172" s="19">
        <v>44.384</v>
      </c>
      <c r="J172" s="25">
        <v>0.537</v>
      </c>
      <c r="K172" s="25">
        <v>12.271</v>
      </c>
      <c r="L172" s="25">
        <f t="shared" si="21"/>
        <v>12.808</v>
      </c>
      <c r="M172" s="25">
        <v>46.63</v>
      </c>
      <c r="N172" s="25">
        <v>14.235</v>
      </c>
      <c r="O172" s="25">
        <v>11.995</v>
      </c>
      <c r="P172" s="25">
        <f t="shared" si="22"/>
        <v>72.86</v>
      </c>
      <c r="Q172" s="25">
        <v>12.706</v>
      </c>
      <c r="R172" s="19">
        <v>1.626</v>
      </c>
      <c r="S172" s="19">
        <f t="shared" si="23"/>
        <v>14.332</v>
      </c>
      <c r="T172" s="19">
        <v>600</v>
      </c>
      <c r="U172" s="19">
        <f t="shared" si="24"/>
        <v>0.273972602739726</v>
      </c>
      <c r="V172" s="19">
        <v>493</v>
      </c>
      <c r="W172" s="19">
        <f t="shared" si="25"/>
        <v>0.225114155251142</v>
      </c>
      <c r="X172" s="19">
        <v>1097</v>
      </c>
      <c r="Y172" s="14">
        <f t="shared" si="26"/>
        <v>0.500913242009132</v>
      </c>
      <c r="Z172" s="14">
        <v>2190</v>
      </c>
      <c r="AA172" s="25">
        <v>7.2</v>
      </c>
      <c r="AB172" s="25">
        <v>18.5</v>
      </c>
      <c r="AC172" s="25">
        <v>95.1</v>
      </c>
      <c r="AD172" s="25">
        <v>14.7</v>
      </c>
      <c r="AE172" s="25">
        <v>27.1</v>
      </c>
      <c r="AF172" s="25">
        <v>30.2</v>
      </c>
      <c r="AG172" s="25">
        <v>13.9</v>
      </c>
      <c r="AH172" s="25">
        <v>27</v>
      </c>
      <c r="AI172" s="25">
        <v>10.7</v>
      </c>
      <c r="AJ172" s="25">
        <v>13.8</v>
      </c>
      <c r="AK172" s="25">
        <f t="shared" si="27"/>
        <v>95.6</v>
      </c>
      <c r="AL172" s="25">
        <v>16.6</v>
      </c>
      <c r="AM172" s="25">
        <v>4.6</v>
      </c>
      <c r="AN172" s="19">
        <v>1.6</v>
      </c>
      <c r="AO172" s="25">
        <v>4.3</v>
      </c>
      <c r="AP172" s="25">
        <f t="shared" si="28"/>
        <v>27.1</v>
      </c>
      <c r="AQ172" s="25">
        <v>8.4</v>
      </c>
      <c r="AR172" s="25">
        <v>54.1</v>
      </c>
      <c r="AS172" s="25">
        <v>34.6</v>
      </c>
      <c r="AT172" s="25">
        <v>64.1</v>
      </c>
      <c r="AU172" s="25">
        <f t="shared" si="29"/>
        <v>161.2</v>
      </c>
      <c r="AV172" s="25">
        <v>11.4</v>
      </c>
      <c r="AW172" s="19">
        <v>2084.579</v>
      </c>
      <c r="AX172" s="25">
        <v>1040.889</v>
      </c>
      <c r="AY172" s="19">
        <v>3125.468</v>
      </c>
      <c r="AZ172" s="25">
        <v>1571.012</v>
      </c>
      <c r="BA172" s="25">
        <v>2237.3</v>
      </c>
      <c r="BB172" s="25">
        <v>3808.312</v>
      </c>
      <c r="BC172" s="25">
        <f t="shared" si="30"/>
        <v>1.07948726847027</v>
      </c>
    </row>
    <row r="173" ht="14" spans="1:55">
      <c r="A173" s="29">
        <v>2022</v>
      </c>
      <c r="B173" s="29">
        <v>210000</v>
      </c>
      <c r="C173" s="30" t="s">
        <v>67</v>
      </c>
      <c r="D173" s="25">
        <v>0</v>
      </c>
      <c r="E173" s="25">
        <v>0</v>
      </c>
      <c r="F173" s="25">
        <v>0</v>
      </c>
      <c r="G173" s="25">
        <v>1</v>
      </c>
      <c r="H173" s="19">
        <v>55.517</v>
      </c>
      <c r="I173" s="19">
        <v>44.483</v>
      </c>
      <c r="J173" s="25">
        <v>0.526</v>
      </c>
      <c r="K173" s="25">
        <v>13.573</v>
      </c>
      <c r="L173" s="25">
        <f t="shared" si="21"/>
        <v>14.099</v>
      </c>
      <c r="M173" s="25">
        <v>44.39</v>
      </c>
      <c r="N173" s="25">
        <v>13.799</v>
      </c>
      <c r="O173" s="25">
        <v>12.224</v>
      </c>
      <c r="P173" s="25">
        <f t="shared" si="22"/>
        <v>70.413</v>
      </c>
      <c r="Q173" s="25">
        <v>13.977</v>
      </c>
      <c r="R173" s="19">
        <v>1.512</v>
      </c>
      <c r="S173" s="19">
        <f t="shared" si="23"/>
        <v>15.489</v>
      </c>
      <c r="T173" s="19">
        <v>634</v>
      </c>
      <c r="U173" s="19">
        <f t="shared" si="24"/>
        <v>0.298774740810556</v>
      </c>
      <c r="V173" s="19">
        <v>464</v>
      </c>
      <c r="W173" s="19">
        <f t="shared" si="25"/>
        <v>0.2186616399623</v>
      </c>
      <c r="X173" s="19">
        <v>1024</v>
      </c>
      <c r="Y173" s="14">
        <f t="shared" si="26"/>
        <v>0.482563619227144</v>
      </c>
      <c r="Z173" s="14">
        <v>2122</v>
      </c>
      <c r="AA173" s="25">
        <v>6.7</v>
      </c>
      <c r="AB173" s="25">
        <v>17.2</v>
      </c>
      <c r="AC173" s="25">
        <v>93</v>
      </c>
      <c r="AD173" s="25">
        <v>14.8</v>
      </c>
      <c r="AE173" s="25">
        <v>24.7</v>
      </c>
      <c r="AF173" s="25">
        <v>28.9</v>
      </c>
      <c r="AG173" s="25">
        <v>13.8</v>
      </c>
      <c r="AH173" s="25">
        <v>23.8</v>
      </c>
      <c r="AI173" s="25">
        <v>10.1</v>
      </c>
      <c r="AJ173" s="25">
        <v>12.9</v>
      </c>
      <c r="AK173" s="25">
        <f t="shared" si="27"/>
        <v>89.5</v>
      </c>
      <c r="AL173" s="25">
        <v>15.9</v>
      </c>
      <c r="AM173" s="25">
        <v>4.2</v>
      </c>
      <c r="AN173" s="19">
        <v>1.6</v>
      </c>
      <c r="AO173" s="25">
        <v>3.8</v>
      </c>
      <c r="AP173" s="25">
        <f t="shared" si="28"/>
        <v>25.5</v>
      </c>
      <c r="AQ173" s="25">
        <v>8.2</v>
      </c>
      <c r="AR173" s="25">
        <v>54.5</v>
      </c>
      <c r="AS173" s="25">
        <v>34.7</v>
      </c>
      <c r="AT173" s="25">
        <v>64.1</v>
      </c>
      <c r="AU173" s="25">
        <f t="shared" si="29"/>
        <v>161.5</v>
      </c>
      <c r="AV173" s="25">
        <v>11</v>
      </c>
      <c r="AW173" s="19">
        <v>2114.405</v>
      </c>
      <c r="AX173" s="25">
        <v>1041.343</v>
      </c>
      <c r="AY173" s="19">
        <v>3155.749</v>
      </c>
      <c r="AZ173" s="25">
        <v>1580.872</v>
      </c>
      <c r="BA173" s="25">
        <v>2167.711</v>
      </c>
      <c r="BB173" s="25">
        <v>3748.583</v>
      </c>
      <c r="BC173" s="25">
        <f t="shared" si="30"/>
        <v>1.09174207118579</v>
      </c>
    </row>
    <row r="174" ht="14" spans="1:55">
      <c r="A174" s="29">
        <v>2013</v>
      </c>
      <c r="B174" s="29">
        <v>150000</v>
      </c>
      <c r="C174" s="30" t="s">
        <v>68</v>
      </c>
      <c r="D174" s="25">
        <v>1</v>
      </c>
      <c r="E174" s="25">
        <v>0</v>
      </c>
      <c r="F174" s="25">
        <v>0</v>
      </c>
      <c r="G174" s="25">
        <v>0</v>
      </c>
      <c r="H174" s="19">
        <v>55.4440000000004</v>
      </c>
      <c r="I174" s="19">
        <v>44.5559999999996</v>
      </c>
      <c r="J174" s="25">
        <v>1.529</v>
      </c>
      <c r="K174" s="25">
        <v>19.01</v>
      </c>
      <c r="L174" s="25">
        <f t="shared" si="21"/>
        <v>20.539</v>
      </c>
      <c r="M174" s="25">
        <v>46.469</v>
      </c>
      <c r="N174" s="25">
        <v>15.675</v>
      </c>
      <c r="O174" s="25">
        <v>10.896</v>
      </c>
      <c r="P174" s="25">
        <f t="shared" si="22"/>
        <v>73.04</v>
      </c>
      <c r="Q174" s="25">
        <v>6.071</v>
      </c>
      <c r="R174" s="19">
        <v>0.349</v>
      </c>
      <c r="S174" s="19">
        <f t="shared" si="23"/>
        <v>6.42</v>
      </c>
      <c r="T174" s="19">
        <v>632.6</v>
      </c>
      <c r="U174" s="19">
        <f t="shared" si="24"/>
        <v>0.461751824817518</v>
      </c>
      <c r="V174" s="19">
        <v>389.7</v>
      </c>
      <c r="W174" s="19">
        <f t="shared" si="25"/>
        <v>0.284452554744526</v>
      </c>
      <c r="X174" s="19">
        <v>347.7</v>
      </c>
      <c r="Y174" s="14">
        <f t="shared" si="26"/>
        <v>0.253795620437956</v>
      </c>
      <c r="Z174" s="14">
        <v>1370</v>
      </c>
      <c r="AA174" s="25">
        <v>24.1</v>
      </c>
      <c r="AB174" s="25">
        <v>21.5</v>
      </c>
      <c r="AC174" s="25">
        <v>47.5</v>
      </c>
      <c r="AD174" s="25">
        <v>13.4</v>
      </c>
      <c r="AE174" s="25">
        <v>25.5</v>
      </c>
      <c r="AF174" s="25">
        <v>21.7</v>
      </c>
      <c r="AG174" s="25">
        <v>5.9</v>
      </c>
      <c r="AH174" s="25">
        <v>11.1</v>
      </c>
      <c r="AI174" s="25">
        <v>6.1</v>
      </c>
      <c r="AJ174" s="25">
        <v>4.4</v>
      </c>
      <c r="AK174" s="25">
        <f t="shared" si="27"/>
        <v>49.2</v>
      </c>
      <c r="AL174" s="25">
        <v>11.4</v>
      </c>
      <c r="AM174" s="25">
        <v>4.6</v>
      </c>
      <c r="AN174" s="19">
        <v>1</v>
      </c>
      <c r="AO174" s="25">
        <v>3.5</v>
      </c>
      <c r="AP174" s="25">
        <f t="shared" si="28"/>
        <v>20.5</v>
      </c>
      <c r="AQ174" s="25">
        <v>8.2</v>
      </c>
      <c r="AR174" s="25">
        <v>35.1</v>
      </c>
      <c r="AS174" s="25">
        <v>13.9</v>
      </c>
      <c r="AT174" s="25">
        <v>40.3</v>
      </c>
      <c r="AU174" s="25">
        <f t="shared" si="29"/>
        <v>97.5</v>
      </c>
      <c r="AV174" s="25">
        <v>4.8</v>
      </c>
      <c r="AW174" s="19">
        <v>496.481</v>
      </c>
      <c r="AX174" s="25">
        <v>780.297</v>
      </c>
      <c r="AY174" s="19">
        <v>1276.778</v>
      </c>
      <c r="AZ174" s="25">
        <v>464.496</v>
      </c>
      <c r="BA174" s="25">
        <v>521.718</v>
      </c>
      <c r="BB174" s="25">
        <v>986.214</v>
      </c>
      <c r="BC174" s="25">
        <f t="shared" si="30"/>
        <v>0.859843656305235</v>
      </c>
    </row>
    <row r="175" ht="14" spans="1:55">
      <c r="A175" s="29">
        <v>2014</v>
      </c>
      <c r="B175" s="29">
        <v>150000</v>
      </c>
      <c r="C175" s="30" t="s">
        <v>68</v>
      </c>
      <c r="D175" s="25">
        <v>1</v>
      </c>
      <c r="E175" s="25">
        <v>0</v>
      </c>
      <c r="F175" s="25">
        <v>0</v>
      </c>
      <c r="G175" s="25">
        <v>0</v>
      </c>
      <c r="H175" s="19">
        <v>58.6</v>
      </c>
      <c r="I175" s="19">
        <v>41.4</v>
      </c>
      <c r="J175" s="25">
        <v>1.6</v>
      </c>
      <c r="K175" s="25">
        <v>19.8</v>
      </c>
      <c r="L175" s="25">
        <f t="shared" si="21"/>
        <v>21.4</v>
      </c>
      <c r="M175" s="25">
        <v>42.9</v>
      </c>
      <c r="N175" s="25">
        <v>17.2</v>
      </c>
      <c r="O175" s="25">
        <v>11.6</v>
      </c>
      <c r="P175" s="25">
        <f t="shared" si="22"/>
        <v>71.7</v>
      </c>
      <c r="Q175" s="25">
        <v>6.5</v>
      </c>
      <c r="R175" s="19">
        <v>0.4</v>
      </c>
      <c r="S175" s="19">
        <f t="shared" si="23"/>
        <v>6.9</v>
      </c>
      <c r="T175" s="19">
        <v>609.4</v>
      </c>
      <c r="U175" s="19">
        <f t="shared" si="24"/>
        <v>0.448088235294118</v>
      </c>
      <c r="V175" s="19">
        <v>366.8</v>
      </c>
      <c r="W175" s="19">
        <f t="shared" si="25"/>
        <v>0.269705882352941</v>
      </c>
      <c r="X175" s="19">
        <v>383.8</v>
      </c>
      <c r="Y175" s="14">
        <f t="shared" si="26"/>
        <v>0.282205882352941</v>
      </c>
      <c r="Z175" s="14">
        <v>1360</v>
      </c>
      <c r="AA175" s="25">
        <v>23.8</v>
      </c>
      <c r="AB175" s="25">
        <v>20.4</v>
      </c>
      <c r="AC175" s="25">
        <v>46.3</v>
      </c>
      <c r="AD175" s="25">
        <v>14</v>
      </c>
      <c r="AE175" s="25">
        <v>22.9</v>
      </c>
      <c r="AF175" s="25">
        <v>21.3</v>
      </c>
      <c r="AG175" s="25">
        <v>5</v>
      </c>
      <c r="AH175" s="25">
        <v>11.3</v>
      </c>
      <c r="AI175" s="25">
        <v>6.2</v>
      </c>
      <c r="AJ175" s="25">
        <v>4.5</v>
      </c>
      <c r="AK175" s="25">
        <f t="shared" si="27"/>
        <v>48.3</v>
      </c>
      <c r="AL175" s="25">
        <v>10.5</v>
      </c>
      <c r="AM175" s="25">
        <v>4.3</v>
      </c>
      <c r="AN175" s="19">
        <v>0.9</v>
      </c>
      <c r="AO175" s="25">
        <v>3.5</v>
      </c>
      <c r="AP175" s="25">
        <f t="shared" si="28"/>
        <v>19.2</v>
      </c>
      <c r="AQ175" s="25">
        <v>8.3</v>
      </c>
      <c r="AR175" s="25">
        <v>35.4</v>
      </c>
      <c r="AS175" s="25">
        <v>14.8</v>
      </c>
      <c r="AT175" s="25">
        <v>43</v>
      </c>
      <c r="AU175" s="25">
        <f t="shared" si="29"/>
        <v>101.5</v>
      </c>
      <c r="AV175" s="25">
        <v>5</v>
      </c>
      <c r="AW175" s="19">
        <v>524.9</v>
      </c>
      <c r="AX175" s="25">
        <v>761.9</v>
      </c>
      <c r="AY175" s="19">
        <v>1286.9</v>
      </c>
      <c r="AZ175" s="25">
        <v>470.7</v>
      </c>
      <c r="BA175" s="25">
        <v>527.4</v>
      </c>
      <c r="BB175" s="25">
        <v>998.1</v>
      </c>
      <c r="BC175" s="25">
        <f t="shared" si="30"/>
        <v>0.879475432570466</v>
      </c>
    </row>
    <row r="176" ht="14" spans="1:55">
      <c r="A176" s="29">
        <v>2015</v>
      </c>
      <c r="B176" s="29">
        <v>150000</v>
      </c>
      <c r="C176" s="30" t="s">
        <v>68</v>
      </c>
      <c r="D176" s="25">
        <v>1</v>
      </c>
      <c r="E176" s="25">
        <v>0</v>
      </c>
      <c r="F176" s="25">
        <v>0</v>
      </c>
      <c r="G176" s="25">
        <v>0</v>
      </c>
      <c r="H176" s="19">
        <v>61.756</v>
      </c>
      <c r="I176" s="19">
        <v>38.244</v>
      </c>
      <c r="J176" s="25">
        <v>2.352</v>
      </c>
      <c r="K176" s="25">
        <v>17.714</v>
      </c>
      <c r="L176" s="25">
        <f t="shared" si="21"/>
        <v>20.066</v>
      </c>
      <c r="M176" s="25">
        <v>45.177</v>
      </c>
      <c r="N176" s="25">
        <v>12.462</v>
      </c>
      <c r="O176" s="25">
        <v>10.167</v>
      </c>
      <c r="P176" s="25">
        <f t="shared" si="22"/>
        <v>67.806</v>
      </c>
      <c r="Q176" s="25">
        <v>7.581</v>
      </c>
      <c r="R176" s="19">
        <v>0.318</v>
      </c>
      <c r="S176" s="19">
        <f t="shared" si="23"/>
        <v>7.899</v>
      </c>
      <c r="T176" s="19">
        <v>584.3</v>
      </c>
      <c r="U176" s="19">
        <f t="shared" si="24"/>
        <v>0.432494448556625</v>
      </c>
      <c r="V176" s="19">
        <v>345.2</v>
      </c>
      <c r="W176" s="19">
        <f t="shared" si="25"/>
        <v>0.255514433752776</v>
      </c>
      <c r="X176" s="19">
        <v>421.5</v>
      </c>
      <c r="Y176" s="14">
        <f t="shared" si="26"/>
        <v>0.3119911176906</v>
      </c>
      <c r="Z176" s="14">
        <v>1351</v>
      </c>
      <c r="AA176" s="25">
        <v>23.6</v>
      </c>
      <c r="AB176" s="25">
        <v>17.9</v>
      </c>
      <c r="AC176" s="25">
        <v>46.7</v>
      </c>
      <c r="AD176" s="25">
        <v>14.2</v>
      </c>
      <c r="AE176" s="25">
        <v>21.6</v>
      </c>
      <c r="AF176" s="25">
        <v>20.6</v>
      </c>
      <c r="AG176" s="25">
        <v>5</v>
      </c>
      <c r="AH176" s="25">
        <v>11.6</v>
      </c>
      <c r="AI176" s="25">
        <v>6.3</v>
      </c>
      <c r="AJ176" s="25">
        <v>4.6</v>
      </c>
      <c r="AK176" s="25">
        <f t="shared" si="27"/>
        <v>48.1</v>
      </c>
      <c r="AL176" s="25">
        <v>9.6</v>
      </c>
      <c r="AM176" s="25">
        <v>4.1</v>
      </c>
      <c r="AN176" s="19">
        <v>0.9</v>
      </c>
      <c r="AO176" s="25">
        <v>3.5</v>
      </c>
      <c r="AP176" s="25">
        <f t="shared" si="28"/>
        <v>18.1</v>
      </c>
      <c r="AQ176" s="25">
        <v>8.1</v>
      </c>
      <c r="AR176" s="25">
        <v>35.1</v>
      </c>
      <c r="AS176" s="25">
        <v>15.3</v>
      </c>
      <c r="AT176" s="25">
        <v>44.2</v>
      </c>
      <c r="AU176" s="25">
        <f t="shared" si="29"/>
        <v>102.7</v>
      </c>
      <c r="AV176" s="25">
        <v>5.4</v>
      </c>
      <c r="AW176" s="19">
        <v>578.956</v>
      </c>
      <c r="AX176" s="25">
        <v>734.092</v>
      </c>
      <c r="AY176" s="19">
        <v>1313.048</v>
      </c>
      <c r="AZ176" s="25">
        <v>477.445</v>
      </c>
      <c r="BA176" s="25">
        <v>530.611</v>
      </c>
      <c r="BB176" s="25">
        <v>1008.056</v>
      </c>
      <c r="BC176" s="25">
        <f t="shared" si="30"/>
        <v>0.914554677770374</v>
      </c>
    </row>
    <row r="177" ht="14" spans="1:55">
      <c r="A177" s="29">
        <v>2016</v>
      </c>
      <c r="B177" s="29">
        <v>150000</v>
      </c>
      <c r="C177" s="30" t="s">
        <v>68</v>
      </c>
      <c r="D177" s="25">
        <v>1</v>
      </c>
      <c r="E177" s="25">
        <v>0</v>
      </c>
      <c r="F177" s="25">
        <v>0</v>
      </c>
      <c r="G177" s="25">
        <v>0</v>
      </c>
      <c r="H177" s="19">
        <v>59.623</v>
      </c>
      <c r="I177" s="19">
        <v>40.377</v>
      </c>
      <c r="J177" s="25">
        <v>2.11</v>
      </c>
      <c r="K177" s="25">
        <v>15.962</v>
      </c>
      <c r="L177" s="25">
        <f t="shared" si="21"/>
        <v>18.072</v>
      </c>
      <c r="M177" s="25">
        <v>45.748</v>
      </c>
      <c r="N177" s="25">
        <v>11.764</v>
      </c>
      <c r="O177" s="25">
        <v>11.544</v>
      </c>
      <c r="P177" s="25">
        <f t="shared" si="22"/>
        <v>69.056</v>
      </c>
      <c r="Q177" s="25">
        <v>8.036</v>
      </c>
      <c r="R177" s="19">
        <v>0.499</v>
      </c>
      <c r="S177" s="19">
        <f t="shared" si="23"/>
        <v>8.535</v>
      </c>
      <c r="T177" s="19">
        <v>555.9</v>
      </c>
      <c r="U177" s="19">
        <f t="shared" si="24"/>
        <v>0.419230769230769</v>
      </c>
      <c r="V177" s="19">
        <v>315.5</v>
      </c>
      <c r="W177" s="19">
        <f t="shared" si="25"/>
        <v>0.237933634992459</v>
      </c>
      <c r="X177" s="19">
        <v>454.6</v>
      </c>
      <c r="Y177" s="14">
        <f t="shared" si="26"/>
        <v>0.342835595776772</v>
      </c>
      <c r="Z177" s="14">
        <v>1326</v>
      </c>
      <c r="AA177" s="25">
        <v>22.9</v>
      </c>
      <c r="AB177" s="25">
        <v>16.6</v>
      </c>
      <c r="AC177" s="25">
        <v>43.9</v>
      </c>
      <c r="AD177" s="25">
        <v>14.5</v>
      </c>
      <c r="AE177" s="25">
        <v>18.9</v>
      </c>
      <c r="AF177" s="25">
        <v>22.8</v>
      </c>
      <c r="AG177" s="25">
        <v>4.8</v>
      </c>
      <c r="AH177" s="25">
        <v>11.8</v>
      </c>
      <c r="AI177" s="25">
        <v>5.9</v>
      </c>
      <c r="AJ177" s="25">
        <v>4.2</v>
      </c>
      <c r="AK177" s="25">
        <f t="shared" si="27"/>
        <v>49.5</v>
      </c>
      <c r="AL177" s="25">
        <v>8.9</v>
      </c>
      <c r="AM177" s="25">
        <v>3.7</v>
      </c>
      <c r="AN177" s="19">
        <v>0.8</v>
      </c>
      <c r="AO177" s="25">
        <v>3.5</v>
      </c>
      <c r="AP177" s="25">
        <f t="shared" si="28"/>
        <v>16.9</v>
      </c>
      <c r="AQ177" s="25">
        <v>8.3</v>
      </c>
      <c r="AR177" s="25">
        <v>35.1</v>
      </c>
      <c r="AS177" s="25">
        <v>15.7</v>
      </c>
      <c r="AT177" s="25">
        <v>45.4</v>
      </c>
      <c r="AU177" s="25">
        <f t="shared" si="29"/>
        <v>104.5</v>
      </c>
      <c r="AV177" s="25">
        <v>5.5</v>
      </c>
      <c r="AW177" s="19">
        <v>655.017</v>
      </c>
      <c r="AX177" s="25">
        <v>736.139</v>
      </c>
      <c r="AY177" s="19">
        <v>1391.156</v>
      </c>
      <c r="AZ177" s="25">
        <v>488.791</v>
      </c>
      <c r="BA177" s="25">
        <v>531.019</v>
      </c>
      <c r="BB177" s="25">
        <v>1019.81</v>
      </c>
      <c r="BC177" s="25">
        <f t="shared" si="30"/>
        <v>0.950139815855836</v>
      </c>
    </row>
    <row r="178" ht="14" spans="1:55">
      <c r="A178" s="29">
        <v>2017</v>
      </c>
      <c r="B178" s="29">
        <v>150000</v>
      </c>
      <c r="C178" s="30" t="s">
        <v>68</v>
      </c>
      <c r="D178" s="25">
        <v>1</v>
      </c>
      <c r="E178" s="25">
        <v>0</v>
      </c>
      <c r="F178" s="25">
        <v>0</v>
      </c>
      <c r="G178" s="25">
        <v>0</v>
      </c>
      <c r="H178" s="19">
        <v>59.408</v>
      </c>
      <c r="I178" s="19">
        <v>40.592</v>
      </c>
      <c r="J178" s="25">
        <v>2</v>
      </c>
      <c r="K178" s="25">
        <v>16.006</v>
      </c>
      <c r="L178" s="25">
        <f t="shared" si="21"/>
        <v>18.006</v>
      </c>
      <c r="M178" s="25">
        <v>43.665</v>
      </c>
      <c r="N178" s="25">
        <v>12.583</v>
      </c>
      <c r="O178" s="25">
        <v>11.859</v>
      </c>
      <c r="P178" s="25">
        <f t="shared" si="22"/>
        <v>68.107</v>
      </c>
      <c r="Q178" s="25">
        <v>8.949</v>
      </c>
      <c r="R178" s="19">
        <v>0.532</v>
      </c>
      <c r="S178" s="19">
        <f t="shared" si="23"/>
        <v>9.481</v>
      </c>
      <c r="T178" s="19">
        <v>533.5</v>
      </c>
      <c r="U178" s="19">
        <f t="shared" si="24"/>
        <v>0.405087319665907</v>
      </c>
      <c r="V178" s="19">
        <v>292.2</v>
      </c>
      <c r="W178" s="19">
        <f t="shared" si="25"/>
        <v>0.221867881548975</v>
      </c>
      <c r="X178" s="19">
        <v>491.3</v>
      </c>
      <c r="Y178" s="14">
        <f t="shared" si="26"/>
        <v>0.373044798785118</v>
      </c>
      <c r="Z178" s="14">
        <v>1317</v>
      </c>
      <c r="AA178" s="25">
        <v>22</v>
      </c>
      <c r="AB178" s="25">
        <v>14.1</v>
      </c>
      <c r="AC178" s="25">
        <v>36.3</v>
      </c>
      <c r="AD178" s="25">
        <v>13.6</v>
      </c>
      <c r="AE178" s="25">
        <v>16.4</v>
      </c>
      <c r="AF178" s="25">
        <v>21.1</v>
      </c>
      <c r="AG178" s="25">
        <v>4.8</v>
      </c>
      <c r="AH178" s="25">
        <v>11.7</v>
      </c>
      <c r="AI178" s="25">
        <v>6</v>
      </c>
      <c r="AJ178" s="25">
        <v>5.3</v>
      </c>
      <c r="AK178" s="25">
        <f t="shared" si="27"/>
        <v>48.9</v>
      </c>
      <c r="AL178" s="25">
        <v>8.7</v>
      </c>
      <c r="AM178" s="25">
        <v>3.6</v>
      </c>
      <c r="AN178" s="19">
        <v>0.9</v>
      </c>
      <c r="AO178" s="25">
        <v>3.7</v>
      </c>
      <c r="AP178" s="25">
        <f t="shared" si="28"/>
        <v>16.9</v>
      </c>
      <c r="AQ178" s="25">
        <v>8.4</v>
      </c>
      <c r="AR178" s="25">
        <v>35.2</v>
      </c>
      <c r="AS178" s="25">
        <v>16.3</v>
      </c>
      <c r="AT178" s="25">
        <v>46.7</v>
      </c>
      <c r="AU178" s="25">
        <f t="shared" si="29"/>
        <v>106.6</v>
      </c>
      <c r="AV178" s="25">
        <v>5.6</v>
      </c>
      <c r="AW178" s="19">
        <v>694.308</v>
      </c>
      <c r="AX178" s="25">
        <v>743.442</v>
      </c>
      <c r="AY178" s="19">
        <v>1437.75</v>
      </c>
      <c r="AZ178" s="25">
        <v>495.07</v>
      </c>
      <c r="BA178" s="25">
        <v>1666.438</v>
      </c>
      <c r="BB178" s="25">
        <v>2161.508</v>
      </c>
      <c r="BC178" s="25">
        <f t="shared" si="30"/>
        <v>0.711952055516827</v>
      </c>
    </row>
    <row r="179" ht="14" spans="1:55">
      <c r="A179" s="29">
        <v>2018</v>
      </c>
      <c r="B179" s="29">
        <v>150000</v>
      </c>
      <c r="C179" s="30" t="s">
        <v>68</v>
      </c>
      <c r="D179" s="25">
        <v>1</v>
      </c>
      <c r="E179" s="25">
        <v>0</v>
      </c>
      <c r="F179" s="25">
        <v>0</v>
      </c>
      <c r="G179" s="25">
        <v>0</v>
      </c>
      <c r="H179" s="19">
        <v>58.379</v>
      </c>
      <c r="I179" s="19">
        <v>41.621</v>
      </c>
      <c r="J179" s="25">
        <v>1.808</v>
      </c>
      <c r="K179" s="25">
        <v>15.936</v>
      </c>
      <c r="L179" s="25">
        <f t="shared" si="21"/>
        <v>17.744</v>
      </c>
      <c r="M179" s="25">
        <v>42.918</v>
      </c>
      <c r="N179" s="25">
        <v>12.752</v>
      </c>
      <c r="O179" s="25">
        <v>12.132</v>
      </c>
      <c r="P179" s="25">
        <f t="shared" si="22"/>
        <v>67.802</v>
      </c>
      <c r="Q179" s="25">
        <v>8.983</v>
      </c>
      <c r="R179" s="19">
        <v>0.545</v>
      </c>
      <c r="S179" s="19">
        <f t="shared" si="23"/>
        <v>9.528</v>
      </c>
      <c r="T179" s="19">
        <v>507.3</v>
      </c>
      <c r="U179" s="19">
        <f t="shared" si="24"/>
        <v>0.389033742331288</v>
      </c>
      <c r="V179" s="19">
        <v>269.5</v>
      </c>
      <c r="W179" s="19">
        <f t="shared" si="25"/>
        <v>0.206671779141104</v>
      </c>
      <c r="X179" s="19">
        <v>527.2</v>
      </c>
      <c r="Y179" s="14">
        <f t="shared" si="26"/>
        <v>0.404294478527607</v>
      </c>
      <c r="Z179" s="14">
        <v>1304</v>
      </c>
      <c r="AA179" s="25">
        <v>18.2</v>
      </c>
      <c r="AB179" s="25">
        <v>13.6</v>
      </c>
      <c r="AC179" s="25">
        <v>32.5</v>
      </c>
      <c r="AD179" s="25">
        <v>14</v>
      </c>
      <c r="AE179" s="25">
        <v>13.4</v>
      </c>
      <c r="AF179" s="25">
        <v>20.1</v>
      </c>
      <c r="AG179" s="25">
        <v>4.9</v>
      </c>
      <c r="AH179" s="25">
        <v>14.5</v>
      </c>
      <c r="AI179" s="25">
        <v>5.6</v>
      </c>
      <c r="AJ179" s="25">
        <v>5</v>
      </c>
      <c r="AK179" s="25">
        <f t="shared" si="27"/>
        <v>50.1</v>
      </c>
      <c r="AL179" s="25">
        <v>8.3</v>
      </c>
      <c r="AM179" s="25">
        <v>3.1</v>
      </c>
      <c r="AN179" s="19">
        <v>0.7</v>
      </c>
      <c r="AO179" s="25">
        <v>3.3</v>
      </c>
      <c r="AP179" s="25">
        <f t="shared" si="28"/>
        <v>15.4</v>
      </c>
      <c r="AQ179" s="25">
        <v>8.2</v>
      </c>
      <c r="AR179" s="25">
        <v>34.2</v>
      </c>
      <c r="AS179" s="25">
        <v>17.8</v>
      </c>
      <c r="AT179" s="25">
        <v>49.8</v>
      </c>
      <c r="AU179" s="25">
        <f t="shared" si="29"/>
        <v>110</v>
      </c>
      <c r="AV179" s="25">
        <v>5</v>
      </c>
      <c r="AW179" s="19">
        <v>733.529</v>
      </c>
      <c r="AX179" s="25">
        <v>749.904</v>
      </c>
      <c r="AY179" s="19">
        <v>1483.433</v>
      </c>
      <c r="AZ179" s="25">
        <v>505.325</v>
      </c>
      <c r="BA179" s="25">
        <v>1659.047</v>
      </c>
      <c r="BB179" s="25">
        <v>2164.372</v>
      </c>
      <c r="BC179" s="25">
        <f t="shared" si="30"/>
        <v>0.72795489812937</v>
      </c>
    </row>
    <row r="180" ht="14" spans="1:55">
      <c r="A180" s="29">
        <v>2019</v>
      </c>
      <c r="B180" s="29">
        <v>150000</v>
      </c>
      <c r="C180" s="30" t="s">
        <v>68</v>
      </c>
      <c r="D180" s="25">
        <v>1</v>
      </c>
      <c r="E180" s="25">
        <v>0</v>
      </c>
      <c r="F180" s="25">
        <v>0</v>
      </c>
      <c r="G180" s="25">
        <v>0</v>
      </c>
      <c r="H180" s="19">
        <v>57.6</v>
      </c>
      <c r="I180" s="19">
        <v>42.4</v>
      </c>
      <c r="J180" s="25">
        <v>1.7</v>
      </c>
      <c r="K180" s="25">
        <v>15.3</v>
      </c>
      <c r="L180" s="25">
        <f t="shared" si="21"/>
        <v>17</v>
      </c>
      <c r="M180" s="25">
        <v>40.1</v>
      </c>
      <c r="N180" s="25">
        <v>17.5</v>
      </c>
      <c r="O180" s="25">
        <v>13.7</v>
      </c>
      <c r="P180" s="25">
        <f t="shared" si="22"/>
        <v>71.3</v>
      </c>
      <c r="Q180" s="25">
        <v>11</v>
      </c>
      <c r="R180" s="19">
        <v>0.7</v>
      </c>
      <c r="S180" s="19">
        <f t="shared" si="23"/>
        <v>11.7</v>
      </c>
      <c r="T180" s="19">
        <v>475.2</v>
      </c>
      <c r="U180" s="19">
        <f t="shared" si="24"/>
        <v>0.373584905660377</v>
      </c>
      <c r="V180" s="19">
        <v>239.2</v>
      </c>
      <c r="W180" s="19">
        <f t="shared" si="25"/>
        <v>0.188050314465409</v>
      </c>
      <c r="X180" s="19">
        <v>557.6</v>
      </c>
      <c r="Y180" s="14">
        <f t="shared" si="26"/>
        <v>0.438364779874214</v>
      </c>
      <c r="Z180" s="14">
        <v>1272</v>
      </c>
      <c r="AA180" s="25">
        <v>8.6</v>
      </c>
      <c r="AB180" s="25">
        <v>14.5</v>
      </c>
      <c r="AC180" s="25">
        <v>30.8</v>
      </c>
      <c r="AD180" s="25">
        <v>14.6</v>
      </c>
      <c r="AE180" s="25">
        <v>12.9</v>
      </c>
      <c r="AF180" s="25">
        <v>19.9</v>
      </c>
      <c r="AG180" s="25">
        <v>4.7</v>
      </c>
      <c r="AH180" s="25">
        <v>20.7</v>
      </c>
      <c r="AI180" s="25">
        <v>7</v>
      </c>
      <c r="AJ180" s="25">
        <v>7.1</v>
      </c>
      <c r="AK180" s="25">
        <f t="shared" si="27"/>
        <v>59.4</v>
      </c>
      <c r="AL180" s="25">
        <v>8.3</v>
      </c>
      <c r="AM180" s="25">
        <v>2.9</v>
      </c>
      <c r="AN180" s="19">
        <v>0.8</v>
      </c>
      <c r="AO180" s="25">
        <v>3.2</v>
      </c>
      <c r="AP180" s="25">
        <f t="shared" si="28"/>
        <v>15.2</v>
      </c>
      <c r="AQ180" s="25">
        <v>3.9</v>
      </c>
      <c r="AR180" s="25">
        <v>37.9</v>
      </c>
      <c r="AS180" s="25">
        <v>19.2</v>
      </c>
      <c r="AT180" s="25">
        <v>58.4</v>
      </c>
      <c r="AU180" s="25">
        <f t="shared" si="29"/>
        <v>119.4</v>
      </c>
      <c r="AV180" s="25">
        <v>5.7</v>
      </c>
      <c r="AW180" s="19">
        <v>763.4</v>
      </c>
      <c r="AX180" s="25">
        <v>768.2</v>
      </c>
      <c r="AY180" s="19">
        <v>1531.6</v>
      </c>
      <c r="AZ180" s="25">
        <v>530.7</v>
      </c>
      <c r="BA180" s="25">
        <v>1647.7</v>
      </c>
      <c r="BB180" s="25">
        <v>2178.4</v>
      </c>
      <c r="BC180" s="25">
        <f t="shared" si="30"/>
        <v>0.742052181263138</v>
      </c>
    </row>
    <row r="181" ht="14" spans="1:55">
      <c r="A181" s="29">
        <v>2020</v>
      </c>
      <c r="B181" s="29">
        <v>150000</v>
      </c>
      <c r="C181" s="30" t="s">
        <v>68</v>
      </c>
      <c r="D181" s="25">
        <v>1</v>
      </c>
      <c r="E181" s="25">
        <v>0</v>
      </c>
      <c r="F181" s="25">
        <v>0</v>
      </c>
      <c r="G181" s="25">
        <v>0</v>
      </c>
      <c r="H181" s="19">
        <v>58.6</v>
      </c>
      <c r="I181" s="19">
        <v>41.4</v>
      </c>
      <c r="J181" s="25">
        <v>1.7</v>
      </c>
      <c r="K181" s="25">
        <v>16.4</v>
      </c>
      <c r="L181" s="25">
        <f t="shared" si="21"/>
        <v>18.1</v>
      </c>
      <c r="M181" s="25">
        <v>41.5</v>
      </c>
      <c r="N181" s="25">
        <v>15.2</v>
      </c>
      <c r="O181" s="25">
        <v>13.6</v>
      </c>
      <c r="P181" s="25">
        <f t="shared" si="22"/>
        <v>70.3</v>
      </c>
      <c r="Q181" s="25">
        <v>11</v>
      </c>
      <c r="R181" s="19">
        <v>0.7</v>
      </c>
      <c r="S181" s="19">
        <f t="shared" si="23"/>
        <v>11.7</v>
      </c>
      <c r="T181" s="19">
        <v>443</v>
      </c>
      <c r="U181" s="19">
        <f t="shared" si="24"/>
        <v>0.356682769726248</v>
      </c>
      <c r="V181" s="19">
        <v>211</v>
      </c>
      <c r="W181" s="19">
        <f t="shared" si="25"/>
        <v>0.169887278582931</v>
      </c>
      <c r="X181" s="19">
        <v>588</v>
      </c>
      <c r="Y181" s="14">
        <f t="shared" si="26"/>
        <v>0.473429951690821</v>
      </c>
      <c r="Z181" s="14">
        <v>1242</v>
      </c>
      <c r="AA181" s="25">
        <v>7.5</v>
      </c>
      <c r="AB181" s="25">
        <v>11.3</v>
      </c>
      <c r="AC181" s="25">
        <v>31.2</v>
      </c>
      <c r="AD181" s="25">
        <v>16</v>
      </c>
      <c r="AE181" s="25">
        <v>10.2</v>
      </c>
      <c r="AF181" s="25">
        <v>19.7</v>
      </c>
      <c r="AG181" s="25">
        <v>4.6</v>
      </c>
      <c r="AH181" s="25">
        <v>21.2</v>
      </c>
      <c r="AI181" s="25">
        <v>6.3</v>
      </c>
      <c r="AJ181" s="25">
        <v>5.4</v>
      </c>
      <c r="AK181" s="25">
        <f t="shared" si="27"/>
        <v>57.2</v>
      </c>
      <c r="AL181" s="25">
        <v>7.8</v>
      </c>
      <c r="AM181" s="25">
        <v>2.4</v>
      </c>
      <c r="AN181" s="19">
        <v>0.6</v>
      </c>
      <c r="AO181" s="25">
        <v>3.2</v>
      </c>
      <c r="AP181" s="25">
        <f t="shared" si="28"/>
        <v>14</v>
      </c>
      <c r="AQ181" s="25">
        <v>4.2</v>
      </c>
      <c r="AR181" s="25">
        <v>36</v>
      </c>
      <c r="AS181" s="25">
        <v>19.5</v>
      </c>
      <c r="AT181" s="25">
        <v>58.2</v>
      </c>
      <c r="AU181" s="25">
        <f t="shared" si="29"/>
        <v>117.9</v>
      </c>
      <c r="AV181" s="25">
        <v>5.3</v>
      </c>
      <c r="AW181" s="19">
        <v>785.9</v>
      </c>
      <c r="AX181" s="25">
        <v>784.7</v>
      </c>
      <c r="AY181" s="19">
        <v>1570.6</v>
      </c>
      <c r="AZ181" s="25">
        <v>553</v>
      </c>
      <c r="BA181" s="25">
        <v>1630.9</v>
      </c>
      <c r="BB181" s="25">
        <v>2183.9</v>
      </c>
      <c r="BC181" s="25">
        <f t="shared" si="30"/>
        <v>0.753598741987738</v>
      </c>
    </row>
    <row r="182" ht="14" spans="1:55">
      <c r="A182" s="29">
        <v>2021</v>
      </c>
      <c r="B182" s="29">
        <v>150000</v>
      </c>
      <c r="C182" s="30" t="s">
        <v>68</v>
      </c>
      <c r="D182" s="25">
        <v>1</v>
      </c>
      <c r="E182" s="25">
        <v>0</v>
      </c>
      <c r="F182" s="25">
        <v>0</v>
      </c>
      <c r="G182" s="25">
        <v>0</v>
      </c>
      <c r="H182" s="19">
        <v>58.293</v>
      </c>
      <c r="I182" s="19">
        <v>41.707</v>
      </c>
      <c r="J182" s="25">
        <v>2.533</v>
      </c>
      <c r="K182" s="25">
        <v>15.946</v>
      </c>
      <c r="L182" s="25">
        <f t="shared" si="21"/>
        <v>18.479</v>
      </c>
      <c r="M182" s="25">
        <v>38.787</v>
      </c>
      <c r="N182" s="25">
        <v>15.85</v>
      </c>
      <c r="O182" s="25">
        <v>13.319</v>
      </c>
      <c r="P182" s="25">
        <f t="shared" si="22"/>
        <v>67.956</v>
      </c>
      <c r="Q182" s="25">
        <v>12.404</v>
      </c>
      <c r="R182" s="19">
        <v>1.163</v>
      </c>
      <c r="S182" s="19">
        <f t="shared" si="23"/>
        <v>13.567</v>
      </c>
      <c r="T182" s="19">
        <v>422</v>
      </c>
      <c r="U182" s="19">
        <f t="shared" si="24"/>
        <v>0.346469622331691</v>
      </c>
      <c r="V182" s="19">
        <v>210</v>
      </c>
      <c r="W182" s="19">
        <f t="shared" si="25"/>
        <v>0.172413793103448</v>
      </c>
      <c r="X182" s="19">
        <v>586</v>
      </c>
      <c r="Y182" s="14">
        <f t="shared" si="26"/>
        <v>0.48111658456486</v>
      </c>
      <c r="Z182" s="14">
        <v>1218</v>
      </c>
      <c r="AA182" s="25">
        <v>7.6</v>
      </c>
      <c r="AB182" s="25">
        <v>10.3</v>
      </c>
      <c r="AC182" s="25">
        <v>33.5</v>
      </c>
      <c r="AD182" s="25">
        <v>15.6</v>
      </c>
      <c r="AE182" s="25">
        <v>9.1</v>
      </c>
      <c r="AF182" s="25">
        <v>19.7</v>
      </c>
      <c r="AG182" s="25">
        <v>4.6</v>
      </c>
      <c r="AH182" s="25">
        <v>18.2</v>
      </c>
      <c r="AI182" s="25">
        <v>5.9</v>
      </c>
      <c r="AJ182" s="25">
        <v>5.2</v>
      </c>
      <c r="AK182" s="25">
        <f t="shared" si="27"/>
        <v>53.6</v>
      </c>
      <c r="AL182" s="25">
        <v>7.9</v>
      </c>
      <c r="AM182" s="25">
        <v>2.4</v>
      </c>
      <c r="AN182" s="19">
        <v>0.6</v>
      </c>
      <c r="AO182" s="25">
        <v>3.1</v>
      </c>
      <c r="AP182" s="25">
        <f t="shared" si="28"/>
        <v>14</v>
      </c>
      <c r="AQ182" s="25">
        <v>4.7</v>
      </c>
      <c r="AR182" s="25">
        <v>37</v>
      </c>
      <c r="AS182" s="25">
        <v>20.3</v>
      </c>
      <c r="AT182" s="25">
        <v>56.5</v>
      </c>
      <c r="AU182" s="25">
        <f t="shared" si="29"/>
        <v>118.5</v>
      </c>
      <c r="AV182" s="25">
        <v>5.3</v>
      </c>
      <c r="AW182" s="19">
        <v>823.078</v>
      </c>
      <c r="AX182" s="25">
        <v>791.711</v>
      </c>
      <c r="AY182" s="19">
        <v>1614.789</v>
      </c>
      <c r="AZ182" s="25">
        <v>564.701</v>
      </c>
      <c r="BA182" s="25">
        <v>1627.498</v>
      </c>
      <c r="BB182" s="25">
        <v>2192.199</v>
      </c>
      <c r="BC182" s="25">
        <f t="shared" si="30"/>
        <v>0.767308098042827</v>
      </c>
    </row>
    <row r="183" ht="14" spans="1:55">
      <c r="A183" s="29">
        <v>2022</v>
      </c>
      <c r="B183" s="29">
        <v>150000</v>
      </c>
      <c r="C183" s="30" t="s">
        <v>68</v>
      </c>
      <c r="D183" s="25">
        <v>1</v>
      </c>
      <c r="E183" s="25">
        <v>0</v>
      </c>
      <c r="F183" s="25">
        <v>0</v>
      </c>
      <c r="G183" s="25">
        <v>0</v>
      </c>
      <c r="H183" s="19">
        <v>58.787</v>
      </c>
      <c r="I183" s="19">
        <v>41.213</v>
      </c>
      <c r="J183" s="25">
        <v>2.216</v>
      </c>
      <c r="K183" s="25">
        <v>17.8</v>
      </c>
      <c r="L183" s="25">
        <f t="shared" si="21"/>
        <v>20.016</v>
      </c>
      <c r="M183" s="25">
        <v>37.21</v>
      </c>
      <c r="N183" s="25">
        <v>13.753</v>
      </c>
      <c r="O183" s="25">
        <v>14.143</v>
      </c>
      <c r="P183" s="25">
        <f t="shared" si="22"/>
        <v>65.106</v>
      </c>
      <c r="Q183" s="25">
        <v>13.686</v>
      </c>
      <c r="R183" s="19">
        <v>1.191</v>
      </c>
      <c r="S183" s="19">
        <f t="shared" si="23"/>
        <v>14.877</v>
      </c>
      <c r="T183" s="19">
        <v>439</v>
      </c>
      <c r="U183" s="19">
        <f t="shared" si="24"/>
        <v>0.36890756302521</v>
      </c>
      <c r="V183" s="19">
        <v>206</v>
      </c>
      <c r="W183" s="19">
        <f t="shared" si="25"/>
        <v>0.173109243697479</v>
      </c>
      <c r="X183" s="19">
        <v>545</v>
      </c>
      <c r="Y183" s="14">
        <f t="shared" si="26"/>
        <v>0.457983193277311</v>
      </c>
      <c r="Z183" s="14">
        <v>1190</v>
      </c>
      <c r="AA183" s="25">
        <v>7</v>
      </c>
      <c r="AB183" s="25">
        <v>11</v>
      </c>
      <c r="AC183" s="25">
        <v>37.5</v>
      </c>
      <c r="AD183" s="25">
        <v>14.3</v>
      </c>
      <c r="AE183" s="25">
        <v>8.3</v>
      </c>
      <c r="AF183" s="25">
        <v>19.6</v>
      </c>
      <c r="AG183" s="25">
        <v>4.5</v>
      </c>
      <c r="AH183" s="25">
        <v>16.4</v>
      </c>
      <c r="AI183" s="25">
        <v>5.6</v>
      </c>
      <c r="AJ183" s="25">
        <v>4.8</v>
      </c>
      <c r="AK183" s="25">
        <f t="shared" si="27"/>
        <v>50.9</v>
      </c>
      <c r="AL183" s="25">
        <v>7.9</v>
      </c>
      <c r="AM183" s="25">
        <v>2.2</v>
      </c>
      <c r="AN183" s="19">
        <v>0.6</v>
      </c>
      <c r="AO183" s="25">
        <v>2.9</v>
      </c>
      <c r="AP183" s="25">
        <f t="shared" si="28"/>
        <v>13.6</v>
      </c>
      <c r="AQ183" s="25">
        <v>4.7</v>
      </c>
      <c r="AR183" s="25">
        <v>36.5</v>
      </c>
      <c r="AS183" s="25">
        <v>20.7</v>
      </c>
      <c r="AT183" s="25">
        <v>55.4</v>
      </c>
      <c r="AU183" s="25">
        <f t="shared" si="29"/>
        <v>117.3</v>
      </c>
      <c r="AV183" s="25">
        <v>5.4</v>
      </c>
      <c r="AW183" s="19">
        <v>860.255999999994</v>
      </c>
      <c r="AX183" s="25">
        <v>798.659</v>
      </c>
      <c r="AY183" s="19">
        <v>1658.978</v>
      </c>
      <c r="AZ183" s="25">
        <v>586.832</v>
      </c>
      <c r="BA183" s="25">
        <v>1583.107</v>
      </c>
      <c r="BB183" s="25">
        <v>2169.939</v>
      </c>
      <c r="BC183" s="25">
        <f t="shared" si="30"/>
        <v>0.788982850514564</v>
      </c>
    </row>
    <row r="184" ht="14" spans="1:55">
      <c r="A184" s="29">
        <v>2013</v>
      </c>
      <c r="B184" s="29">
        <v>640000</v>
      </c>
      <c r="C184" s="30" t="s">
        <v>69</v>
      </c>
      <c r="D184" s="25">
        <v>1</v>
      </c>
      <c r="E184" s="25">
        <v>0</v>
      </c>
      <c r="F184" s="25">
        <v>0</v>
      </c>
      <c r="G184" s="25">
        <v>0</v>
      </c>
      <c r="H184" s="19">
        <v>52.9970000000003</v>
      </c>
      <c r="I184" s="19">
        <v>47.0029999999997</v>
      </c>
      <c r="J184" s="25">
        <v>5.756</v>
      </c>
      <c r="K184" s="25">
        <v>24.996</v>
      </c>
      <c r="L184" s="25">
        <f t="shared" si="21"/>
        <v>30.752</v>
      </c>
      <c r="M184" s="25">
        <v>41.513</v>
      </c>
      <c r="N184" s="25">
        <v>13.66</v>
      </c>
      <c r="O184" s="25">
        <v>8.905</v>
      </c>
      <c r="P184" s="25">
        <f t="shared" si="22"/>
        <v>64.078</v>
      </c>
      <c r="Q184" s="25">
        <v>5.061</v>
      </c>
      <c r="R184" s="19">
        <v>0.108</v>
      </c>
      <c r="S184" s="19">
        <f t="shared" si="23"/>
        <v>5.169</v>
      </c>
      <c r="T184" s="19">
        <v>147.3</v>
      </c>
      <c r="U184" s="19">
        <f t="shared" si="24"/>
        <v>0.42695652173913</v>
      </c>
      <c r="V184" s="19">
        <v>71.8</v>
      </c>
      <c r="W184" s="19">
        <f t="shared" si="25"/>
        <v>0.208115942028986</v>
      </c>
      <c r="X184" s="19">
        <v>125.9</v>
      </c>
      <c r="Y184" s="14">
        <f t="shared" si="26"/>
        <v>0.364927536231884</v>
      </c>
      <c r="Z184" s="14">
        <v>345</v>
      </c>
      <c r="AA184" s="25">
        <v>2</v>
      </c>
      <c r="AB184" s="25">
        <v>6.6</v>
      </c>
      <c r="AC184" s="25">
        <v>12.6</v>
      </c>
      <c r="AD184" s="25">
        <v>3.4</v>
      </c>
      <c r="AE184" s="25">
        <v>6.2</v>
      </c>
      <c r="AF184" s="25">
        <v>4</v>
      </c>
      <c r="AG184" s="25">
        <v>0.8</v>
      </c>
      <c r="AH184" s="25">
        <v>3.1</v>
      </c>
      <c r="AI184" s="25">
        <v>1.4</v>
      </c>
      <c r="AJ184" s="25">
        <v>2</v>
      </c>
      <c r="AK184" s="25">
        <f t="shared" si="27"/>
        <v>11.3</v>
      </c>
      <c r="AL184" s="25">
        <v>2.7</v>
      </c>
      <c r="AM184" s="25">
        <v>0.6</v>
      </c>
      <c r="AN184" s="19">
        <v>0.1</v>
      </c>
      <c r="AO184" s="25">
        <v>0.8</v>
      </c>
      <c r="AP184" s="25">
        <f t="shared" si="28"/>
        <v>4.2</v>
      </c>
      <c r="AQ184" s="25">
        <v>2.1</v>
      </c>
      <c r="AR184" s="25">
        <v>8.8</v>
      </c>
      <c r="AS184" s="25">
        <v>4.1</v>
      </c>
      <c r="AT184" s="25">
        <v>9.3</v>
      </c>
      <c r="AU184" s="25">
        <f t="shared" si="29"/>
        <v>24.3</v>
      </c>
      <c r="AV184" s="25">
        <v>1.4</v>
      </c>
      <c r="AW184" s="19">
        <v>143.77</v>
      </c>
      <c r="AX184" s="25">
        <v>179.511</v>
      </c>
      <c r="AY184" s="19">
        <v>323.281</v>
      </c>
      <c r="AZ184" s="25">
        <v>108.599</v>
      </c>
      <c r="BA184" s="25">
        <v>456.92</v>
      </c>
      <c r="BB184" s="25">
        <v>565.52</v>
      </c>
      <c r="BC184" s="25">
        <f t="shared" si="30"/>
        <v>0.636755345549381</v>
      </c>
    </row>
    <row r="185" ht="14" spans="1:55">
      <c r="A185" s="29">
        <v>2014</v>
      </c>
      <c r="B185" s="29">
        <v>640000</v>
      </c>
      <c r="C185" s="30" t="s">
        <v>69</v>
      </c>
      <c r="D185" s="25">
        <v>1</v>
      </c>
      <c r="E185" s="25">
        <v>0</v>
      </c>
      <c r="F185" s="25">
        <v>0</v>
      </c>
      <c r="G185" s="25">
        <v>0</v>
      </c>
      <c r="H185" s="19">
        <v>55.9</v>
      </c>
      <c r="I185" s="19">
        <v>44.1</v>
      </c>
      <c r="J185" s="25">
        <v>7.8</v>
      </c>
      <c r="K185" s="25">
        <v>23.6</v>
      </c>
      <c r="L185" s="25">
        <f t="shared" si="21"/>
        <v>31.4</v>
      </c>
      <c r="M185" s="25">
        <v>41</v>
      </c>
      <c r="N185" s="25">
        <v>12.3</v>
      </c>
      <c r="O185" s="25">
        <v>8.7</v>
      </c>
      <c r="P185" s="25">
        <f t="shared" si="22"/>
        <v>62</v>
      </c>
      <c r="Q185" s="25">
        <v>6.5</v>
      </c>
      <c r="R185" s="19">
        <v>0.2</v>
      </c>
      <c r="S185" s="19">
        <f t="shared" si="23"/>
        <v>6.7</v>
      </c>
      <c r="T185" s="19">
        <v>134.5</v>
      </c>
      <c r="U185" s="19">
        <f t="shared" si="24"/>
        <v>0.390988372093023</v>
      </c>
      <c r="V185" s="19">
        <v>81.2</v>
      </c>
      <c r="W185" s="19">
        <f t="shared" si="25"/>
        <v>0.236046511627907</v>
      </c>
      <c r="X185" s="19">
        <v>128.3</v>
      </c>
      <c r="Y185" s="14">
        <f t="shared" si="26"/>
        <v>0.37296511627907</v>
      </c>
      <c r="Z185" s="14">
        <v>344</v>
      </c>
      <c r="AA185" s="25">
        <v>1.5</v>
      </c>
      <c r="AB185" s="25">
        <v>6.3</v>
      </c>
      <c r="AC185" s="25">
        <v>12.9</v>
      </c>
      <c r="AD185" s="25">
        <v>3.7</v>
      </c>
      <c r="AE185" s="25">
        <v>6</v>
      </c>
      <c r="AF185" s="25">
        <v>3.9</v>
      </c>
      <c r="AG185" s="25">
        <v>0.8</v>
      </c>
      <c r="AH185" s="25">
        <v>3.4</v>
      </c>
      <c r="AI185" s="25">
        <v>1.4</v>
      </c>
      <c r="AJ185" s="25">
        <v>1.9</v>
      </c>
      <c r="AK185" s="25">
        <f t="shared" si="27"/>
        <v>11.4</v>
      </c>
      <c r="AL185" s="25">
        <v>2.7</v>
      </c>
      <c r="AM185" s="25">
        <v>0.7</v>
      </c>
      <c r="AN185" s="19">
        <v>0.1</v>
      </c>
      <c r="AO185" s="25">
        <v>0.9</v>
      </c>
      <c r="AP185" s="25">
        <f t="shared" si="28"/>
        <v>4.4</v>
      </c>
      <c r="AQ185" s="25">
        <v>2.1</v>
      </c>
      <c r="AR185" s="25">
        <v>8.9</v>
      </c>
      <c r="AS185" s="25">
        <v>4.3</v>
      </c>
      <c r="AT185" s="25">
        <v>10.1</v>
      </c>
      <c r="AU185" s="25">
        <f t="shared" si="29"/>
        <v>25.4</v>
      </c>
      <c r="AV185" s="25">
        <v>1.5</v>
      </c>
      <c r="AW185" s="19">
        <v>151.4</v>
      </c>
      <c r="AX185" s="25">
        <v>182.1</v>
      </c>
      <c r="AY185" s="19">
        <v>333.6</v>
      </c>
      <c r="AZ185" s="25">
        <v>116.1</v>
      </c>
      <c r="BA185" s="25">
        <v>462.5</v>
      </c>
      <c r="BB185" s="25">
        <v>578.6</v>
      </c>
      <c r="BC185" s="25">
        <f t="shared" si="30"/>
        <v>0.654493688146614</v>
      </c>
    </row>
    <row r="186" ht="14" spans="1:55">
      <c r="A186" s="29">
        <v>2015</v>
      </c>
      <c r="B186" s="29">
        <v>640000</v>
      </c>
      <c r="C186" s="30" t="s">
        <v>69</v>
      </c>
      <c r="D186" s="25">
        <v>1</v>
      </c>
      <c r="E186" s="25">
        <v>0</v>
      </c>
      <c r="F186" s="25">
        <v>0</v>
      </c>
      <c r="G186" s="25">
        <v>0</v>
      </c>
      <c r="H186" s="19">
        <v>58.803</v>
      </c>
      <c r="I186" s="19">
        <v>41.197</v>
      </c>
      <c r="J186" s="25">
        <v>6.06</v>
      </c>
      <c r="K186" s="25">
        <v>19.756</v>
      </c>
      <c r="L186" s="25">
        <f t="shared" si="21"/>
        <v>25.816</v>
      </c>
      <c r="M186" s="25">
        <v>38.8</v>
      </c>
      <c r="N186" s="25">
        <v>11.47</v>
      </c>
      <c r="O186" s="25">
        <v>10.702</v>
      </c>
      <c r="P186" s="25">
        <f t="shared" si="22"/>
        <v>60.972</v>
      </c>
      <c r="Q186" s="25">
        <v>8.297</v>
      </c>
      <c r="R186" s="19">
        <v>0.387</v>
      </c>
      <c r="S186" s="19">
        <f t="shared" si="23"/>
        <v>8.684</v>
      </c>
      <c r="T186" s="19">
        <v>125.5</v>
      </c>
      <c r="U186" s="19">
        <f t="shared" si="24"/>
        <v>0.365889212827988</v>
      </c>
      <c r="V186" s="19">
        <v>80.6</v>
      </c>
      <c r="W186" s="19">
        <f t="shared" si="25"/>
        <v>0.234985422740525</v>
      </c>
      <c r="X186" s="19">
        <v>136.9</v>
      </c>
      <c r="Y186" s="14">
        <f t="shared" si="26"/>
        <v>0.399125364431487</v>
      </c>
      <c r="Z186" s="14">
        <v>343</v>
      </c>
      <c r="AA186" s="25">
        <v>1.4</v>
      </c>
      <c r="AB186" s="25">
        <v>6</v>
      </c>
      <c r="AC186" s="25">
        <v>12.8</v>
      </c>
      <c r="AD186" s="25">
        <v>3.5</v>
      </c>
      <c r="AE186" s="25">
        <v>5.3</v>
      </c>
      <c r="AF186" s="25">
        <v>3.8</v>
      </c>
      <c r="AG186" s="25">
        <v>0.8</v>
      </c>
      <c r="AH186" s="25">
        <v>3.8</v>
      </c>
      <c r="AI186" s="25">
        <v>1.5</v>
      </c>
      <c r="AJ186" s="25">
        <v>2</v>
      </c>
      <c r="AK186" s="25">
        <f t="shared" si="27"/>
        <v>11.9</v>
      </c>
      <c r="AL186" s="25">
        <v>2.5</v>
      </c>
      <c r="AM186" s="25">
        <v>0.7</v>
      </c>
      <c r="AN186" s="19">
        <v>0.1</v>
      </c>
      <c r="AO186" s="25">
        <v>1.1</v>
      </c>
      <c r="AP186" s="25">
        <f t="shared" si="28"/>
        <v>4.4</v>
      </c>
      <c r="AQ186" s="25">
        <v>2.3</v>
      </c>
      <c r="AR186" s="25">
        <v>9.3</v>
      </c>
      <c r="AS186" s="25">
        <v>4.5</v>
      </c>
      <c r="AT186" s="25">
        <v>10.3</v>
      </c>
      <c r="AU186" s="25">
        <f t="shared" si="29"/>
        <v>26.4</v>
      </c>
      <c r="AV186" s="25">
        <v>1.7</v>
      </c>
      <c r="AW186" s="19">
        <v>157.516</v>
      </c>
      <c r="AX186" s="25">
        <v>183.088</v>
      </c>
      <c r="AY186" s="19">
        <v>340.604</v>
      </c>
      <c r="AZ186" s="25">
        <v>114.767</v>
      </c>
      <c r="BA186" s="25">
        <v>470.002</v>
      </c>
      <c r="BB186" s="25">
        <v>584.769</v>
      </c>
      <c r="BC186" s="25">
        <f t="shared" si="30"/>
        <v>0.658721208603789</v>
      </c>
    </row>
    <row r="187" ht="14" spans="1:55">
      <c r="A187" s="29">
        <v>2016</v>
      </c>
      <c r="B187" s="29">
        <v>640000</v>
      </c>
      <c r="C187" s="30" t="s">
        <v>69</v>
      </c>
      <c r="D187" s="25">
        <v>1</v>
      </c>
      <c r="E187" s="25">
        <v>0</v>
      </c>
      <c r="F187" s="25">
        <v>0</v>
      </c>
      <c r="G187" s="25">
        <v>0</v>
      </c>
      <c r="H187" s="19">
        <v>57.707</v>
      </c>
      <c r="I187" s="19">
        <v>42.293</v>
      </c>
      <c r="J187" s="25">
        <v>6.373</v>
      </c>
      <c r="K187" s="25">
        <v>17.012</v>
      </c>
      <c r="L187" s="25">
        <f t="shared" si="21"/>
        <v>23.385</v>
      </c>
      <c r="M187" s="25">
        <v>40.351</v>
      </c>
      <c r="N187" s="25">
        <v>10.338</v>
      </c>
      <c r="O187" s="25">
        <v>10.975</v>
      </c>
      <c r="P187" s="25">
        <f t="shared" si="22"/>
        <v>61.664</v>
      </c>
      <c r="Q187" s="25">
        <v>9.707</v>
      </c>
      <c r="R187" s="19">
        <v>0.555</v>
      </c>
      <c r="S187" s="19">
        <f t="shared" si="23"/>
        <v>10.262</v>
      </c>
      <c r="T187" s="19">
        <v>117.6</v>
      </c>
      <c r="U187" s="19">
        <f t="shared" si="24"/>
        <v>0.342857142857143</v>
      </c>
      <c r="V187" s="19">
        <v>79.2</v>
      </c>
      <c r="W187" s="19">
        <f t="shared" si="25"/>
        <v>0.230903790087464</v>
      </c>
      <c r="X187" s="19">
        <v>146.1</v>
      </c>
      <c r="Y187" s="14">
        <f t="shared" si="26"/>
        <v>0.425947521865889</v>
      </c>
      <c r="Z187" s="14">
        <v>343</v>
      </c>
      <c r="AA187" s="25">
        <v>1.3</v>
      </c>
      <c r="AB187" s="25">
        <v>5.3</v>
      </c>
      <c r="AC187" s="25">
        <v>12.2</v>
      </c>
      <c r="AD187" s="25">
        <v>3.5</v>
      </c>
      <c r="AE187" s="25">
        <v>4.4</v>
      </c>
      <c r="AF187" s="25">
        <v>3.7</v>
      </c>
      <c r="AG187" s="25">
        <v>0.8</v>
      </c>
      <c r="AH187" s="25">
        <v>4</v>
      </c>
      <c r="AI187" s="25">
        <v>1.6</v>
      </c>
      <c r="AJ187" s="25">
        <v>1.8</v>
      </c>
      <c r="AK187" s="25">
        <f t="shared" si="27"/>
        <v>11.9</v>
      </c>
      <c r="AL187" s="25">
        <v>2.4</v>
      </c>
      <c r="AM187" s="25">
        <v>0.6</v>
      </c>
      <c r="AN187" s="19">
        <v>0.1</v>
      </c>
      <c r="AO187" s="25">
        <v>1</v>
      </c>
      <c r="AP187" s="25">
        <f t="shared" si="28"/>
        <v>4.1</v>
      </c>
      <c r="AQ187" s="25">
        <v>2.3</v>
      </c>
      <c r="AR187" s="25">
        <v>8.9</v>
      </c>
      <c r="AS187" s="25">
        <v>4.6</v>
      </c>
      <c r="AT187" s="25">
        <v>10.8</v>
      </c>
      <c r="AU187" s="25">
        <f t="shared" si="29"/>
        <v>26.6</v>
      </c>
      <c r="AV187" s="25">
        <v>1.5</v>
      </c>
      <c r="AW187" s="19">
        <v>189.274</v>
      </c>
      <c r="AX187" s="25">
        <v>186.22</v>
      </c>
      <c r="AY187" s="19">
        <v>375.494</v>
      </c>
      <c r="AZ187" s="25">
        <v>117.466</v>
      </c>
      <c r="BA187" s="25">
        <v>476.582</v>
      </c>
      <c r="BB187" s="25">
        <v>594.048</v>
      </c>
      <c r="BC187" s="25">
        <f t="shared" si="30"/>
        <v>0.701804872783133</v>
      </c>
    </row>
    <row r="188" ht="14" spans="1:55">
      <c r="A188" s="29">
        <v>2017</v>
      </c>
      <c r="B188" s="29">
        <v>640000</v>
      </c>
      <c r="C188" s="30" t="s">
        <v>69</v>
      </c>
      <c r="D188" s="25">
        <v>1</v>
      </c>
      <c r="E188" s="25">
        <v>0</v>
      </c>
      <c r="F188" s="25">
        <v>0</v>
      </c>
      <c r="G188" s="25">
        <v>0</v>
      </c>
      <c r="H188" s="19">
        <v>58.144</v>
      </c>
      <c r="I188" s="19">
        <v>41.856</v>
      </c>
      <c r="J188" s="25">
        <v>5.159</v>
      </c>
      <c r="K188" s="25">
        <v>16.468</v>
      </c>
      <c r="L188" s="25">
        <f t="shared" si="21"/>
        <v>21.627</v>
      </c>
      <c r="M188" s="25">
        <v>39.669</v>
      </c>
      <c r="N188" s="25">
        <v>11.207</v>
      </c>
      <c r="O188" s="25">
        <v>11.684</v>
      </c>
      <c r="P188" s="25">
        <f t="shared" si="22"/>
        <v>62.56</v>
      </c>
      <c r="Q188" s="25">
        <v>9.688</v>
      </c>
      <c r="R188" s="19">
        <v>0.461</v>
      </c>
      <c r="S188" s="19">
        <f t="shared" si="23"/>
        <v>10.149</v>
      </c>
      <c r="T188" s="19">
        <v>106.3</v>
      </c>
      <c r="U188" s="19">
        <f t="shared" si="24"/>
        <v>0.309011627906977</v>
      </c>
      <c r="V188" s="19">
        <v>84.3</v>
      </c>
      <c r="W188" s="19">
        <f t="shared" si="25"/>
        <v>0.245058139534884</v>
      </c>
      <c r="X188" s="19">
        <v>153.4</v>
      </c>
      <c r="Y188" s="14">
        <f t="shared" si="26"/>
        <v>0.44593023255814</v>
      </c>
      <c r="Z188" s="14">
        <v>344</v>
      </c>
      <c r="AA188" s="25">
        <v>1.2</v>
      </c>
      <c r="AB188" s="25">
        <v>5</v>
      </c>
      <c r="AC188" s="25">
        <v>12.5</v>
      </c>
      <c r="AD188" s="25">
        <v>3.4</v>
      </c>
      <c r="AE188" s="25">
        <v>4.1</v>
      </c>
      <c r="AF188" s="25">
        <v>3.7</v>
      </c>
      <c r="AG188" s="25">
        <v>0.8</v>
      </c>
      <c r="AH188" s="25">
        <v>4</v>
      </c>
      <c r="AI188" s="25">
        <v>1.5</v>
      </c>
      <c r="AJ188" s="25">
        <v>1.8</v>
      </c>
      <c r="AK188" s="25">
        <f t="shared" si="27"/>
        <v>11.8</v>
      </c>
      <c r="AL188" s="25">
        <v>2.4</v>
      </c>
      <c r="AM188" s="25">
        <v>0.6</v>
      </c>
      <c r="AN188" s="19">
        <v>0.1</v>
      </c>
      <c r="AO188" s="25">
        <v>1</v>
      </c>
      <c r="AP188" s="25">
        <f t="shared" si="28"/>
        <v>4.1</v>
      </c>
      <c r="AQ188" s="25">
        <v>2.3</v>
      </c>
      <c r="AR188" s="25">
        <v>8.9</v>
      </c>
      <c r="AS188" s="25">
        <v>4.9</v>
      </c>
      <c r="AT188" s="25">
        <v>11.4</v>
      </c>
      <c r="AU188" s="25">
        <f t="shared" si="29"/>
        <v>27.5</v>
      </c>
      <c r="AV188" s="25">
        <v>1.5</v>
      </c>
      <c r="AW188" s="19">
        <v>205.208</v>
      </c>
      <c r="AX188" s="25">
        <v>185.482</v>
      </c>
      <c r="AY188" s="19">
        <v>390.69</v>
      </c>
      <c r="AZ188" s="25">
        <v>123.458</v>
      </c>
      <c r="BA188" s="25">
        <v>494.762</v>
      </c>
      <c r="BB188" s="25">
        <v>618.221</v>
      </c>
      <c r="BC188" s="25">
        <f t="shared" si="30"/>
        <v>0.724943892426393</v>
      </c>
    </row>
    <row r="189" ht="14" spans="1:55">
      <c r="A189" s="29">
        <v>2018</v>
      </c>
      <c r="B189" s="29">
        <v>640000</v>
      </c>
      <c r="C189" s="30" t="s">
        <v>69</v>
      </c>
      <c r="D189" s="25">
        <v>1</v>
      </c>
      <c r="E189" s="25">
        <v>0</v>
      </c>
      <c r="F189" s="25">
        <v>0</v>
      </c>
      <c r="G189" s="25">
        <v>0</v>
      </c>
      <c r="H189" s="19">
        <v>58.183</v>
      </c>
      <c r="I189" s="19">
        <v>41.817</v>
      </c>
      <c r="J189" s="25">
        <v>5.256</v>
      </c>
      <c r="K189" s="25">
        <v>15.876</v>
      </c>
      <c r="L189" s="25">
        <f t="shared" si="21"/>
        <v>21.132</v>
      </c>
      <c r="M189" s="25">
        <v>39.091</v>
      </c>
      <c r="N189" s="25">
        <v>11.096</v>
      </c>
      <c r="O189" s="25">
        <v>12.237</v>
      </c>
      <c r="P189" s="25">
        <f t="shared" si="22"/>
        <v>62.424</v>
      </c>
      <c r="Q189" s="25">
        <v>10.013</v>
      </c>
      <c r="R189" s="19">
        <v>0.597</v>
      </c>
      <c r="S189" s="19">
        <f t="shared" si="23"/>
        <v>10.61</v>
      </c>
      <c r="T189" s="19">
        <v>98.3</v>
      </c>
      <c r="U189" s="19">
        <f t="shared" si="24"/>
        <v>0.284927536231884</v>
      </c>
      <c r="V189" s="19">
        <v>81.8</v>
      </c>
      <c r="W189" s="19">
        <f t="shared" si="25"/>
        <v>0.237101449275362</v>
      </c>
      <c r="X189" s="19">
        <v>164.9</v>
      </c>
      <c r="Y189" s="14">
        <f t="shared" si="26"/>
        <v>0.477971014492754</v>
      </c>
      <c r="Z189" s="14">
        <v>345</v>
      </c>
      <c r="AA189" s="25">
        <v>0.8</v>
      </c>
      <c r="AB189" s="25">
        <v>5.6</v>
      </c>
      <c r="AC189" s="25">
        <v>9.9</v>
      </c>
      <c r="AD189" s="25">
        <v>3.5</v>
      </c>
      <c r="AE189" s="25">
        <v>3.5</v>
      </c>
      <c r="AF189" s="25">
        <v>3.9</v>
      </c>
      <c r="AG189" s="25">
        <v>0.8</v>
      </c>
      <c r="AH189" s="25">
        <v>4.1</v>
      </c>
      <c r="AI189" s="25">
        <v>1.3</v>
      </c>
      <c r="AJ189" s="25">
        <v>1.8</v>
      </c>
      <c r="AK189" s="25">
        <f t="shared" si="27"/>
        <v>11.9</v>
      </c>
      <c r="AL189" s="25">
        <v>2.4</v>
      </c>
      <c r="AM189" s="25">
        <v>0.5</v>
      </c>
      <c r="AN189" s="19">
        <v>0.0499999999999972</v>
      </c>
      <c r="AO189" s="25">
        <v>0.9</v>
      </c>
      <c r="AP189" s="25">
        <f t="shared" si="28"/>
        <v>3.85</v>
      </c>
      <c r="AQ189" s="25">
        <v>2</v>
      </c>
      <c r="AR189" s="25">
        <v>9</v>
      </c>
      <c r="AS189" s="25">
        <v>4.7</v>
      </c>
      <c r="AT189" s="25">
        <v>12.1</v>
      </c>
      <c r="AU189" s="25">
        <f t="shared" si="29"/>
        <v>27.8</v>
      </c>
      <c r="AV189" s="25">
        <v>1.4</v>
      </c>
      <c r="AW189" s="19">
        <v>216.126</v>
      </c>
      <c r="AX189" s="25">
        <v>181.367</v>
      </c>
      <c r="AY189" s="19">
        <v>397.493</v>
      </c>
      <c r="AZ189" s="25">
        <v>131.928</v>
      </c>
      <c r="BA189" s="25">
        <v>494.316</v>
      </c>
      <c r="BB189" s="25">
        <v>626.244</v>
      </c>
      <c r="BC189" s="25">
        <f t="shared" si="30"/>
        <v>0.754388273945472</v>
      </c>
    </row>
    <row r="190" ht="14" spans="1:55">
      <c r="A190" s="29">
        <v>2019</v>
      </c>
      <c r="B190" s="29">
        <v>640000</v>
      </c>
      <c r="C190" s="30" t="s">
        <v>69</v>
      </c>
      <c r="D190" s="25">
        <v>1</v>
      </c>
      <c r="E190" s="25">
        <v>0</v>
      </c>
      <c r="F190" s="25">
        <v>0</v>
      </c>
      <c r="G190" s="25">
        <v>0</v>
      </c>
      <c r="H190" s="19">
        <v>58.1</v>
      </c>
      <c r="I190" s="19">
        <v>41.9</v>
      </c>
      <c r="J190" s="25">
        <v>5</v>
      </c>
      <c r="K190" s="25">
        <v>12.7</v>
      </c>
      <c r="L190" s="25">
        <f t="shared" si="21"/>
        <v>17.7</v>
      </c>
      <c r="M190" s="25">
        <v>37</v>
      </c>
      <c r="N190" s="25">
        <v>16.2</v>
      </c>
      <c r="O190" s="25">
        <v>16.2</v>
      </c>
      <c r="P190" s="25">
        <f t="shared" si="22"/>
        <v>69.4</v>
      </c>
      <c r="Q190" s="25">
        <v>12.1</v>
      </c>
      <c r="R190" s="19">
        <v>0.8</v>
      </c>
      <c r="S190" s="19">
        <f t="shared" si="23"/>
        <v>12.9</v>
      </c>
      <c r="T190" s="19">
        <v>90.6</v>
      </c>
      <c r="U190" s="19">
        <f t="shared" si="24"/>
        <v>0.264139941690962</v>
      </c>
      <c r="V190" s="19">
        <v>81.3</v>
      </c>
      <c r="W190" s="19">
        <f t="shared" si="25"/>
        <v>0.237026239067055</v>
      </c>
      <c r="X190" s="19">
        <v>171.2</v>
      </c>
      <c r="Y190" s="14">
        <f t="shared" si="26"/>
        <v>0.499125364431487</v>
      </c>
      <c r="Z190" s="14">
        <v>343</v>
      </c>
      <c r="AA190" s="25">
        <v>0.7</v>
      </c>
      <c r="AB190" s="25">
        <v>5.6</v>
      </c>
      <c r="AC190" s="25">
        <v>8.9</v>
      </c>
      <c r="AD190" s="25">
        <v>3.5</v>
      </c>
      <c r="AE190" s="25">
        <v>3.4</v>
      </c>
      <c r="AF190" s="25">
        <v>3.8</v>
      </c>
      <c r="AG190" s="25">
        <v>0.8</v>
      </c>
      <c r="AH190" s="25">
        <v>3.9</v>
      </c>
      <c r="AI190" s="25">
        <v>1.4</v>
      </c>
      <c r="AJ190" s="25">
        <v>3</v>
      </c>
      <c r="AK190" s="25">
        <f t="shared" si="27"/>
        <v>12.9</v>
      </c>
      <c r="AL190" s="25">
        <v>2.3</v>
      </c>
      <c r="AM190" s="25">
        <v>0.5</v>
      </c>
      <c r="AN190" s="19">
        <v>0</v>
      </c>
      <c r="AO190" s="25">
        <v>0.8</v>
      </c>
      <c r="AP190" s="25">
        <f t="shared" si="28"/>
        <v>3.6</v>
      </c>
      <c r="AQ190" s="25">
        <v>1.7</v>
      </c>
      <c r="AR190" s="25">
        <v>9.6</v>
      </c>
      <c r="AS190" s="25">
        <v>5.2</v>
      </c>
      <c r="AT190" s="25">
        <v>13.3</v>
      </c>
      <c r="AU190" s="25">
        <f t="shared" si="29"/>
        <v>29.8</v>
      </c>
      <c r="AV190" s="25">
        <v>1.4</v>
      </c>
      <c r="AW190" s="19">
        <v>226.6</v>
      </c>
      <c r="AX190" s="25">
        <v>194.7</v>
      </c>
      <c r="AY190" s="19">
        <v>421.3</v>
      </c>
      <c r="AZ190" s="25">
        <v>141.1</v>
      </c>
      <c r="BA190" s="25">
        <v>492.6</v>
      </c>
      <c r="BB190" s="25">
        <v>633.7</v>
      </c>
      <c r="BC190" s="25">
        <f t="shared" si="30"/>
        <v>0.760519572768988</v>
      </c>
    </row>
    <row r="191" ht="14" spans="1:55">
      <c r="A191" s="29">
        <v>2020</v>
      </c>
      <c r="B191" s="29">
        <v>640000</v>
      </c>
      <c r="C191" s="30" t="s">
        <v>69</v>
      </c>
      <c r="D191" s="25">
        <v>1</v>
      </c>
      <c r="E191" s="25">
        <v>0</v>
      </c>
      <c r="F191" s="25">
        <v>0</v>
      </c>
      <c r="G191" s="25">
        <v>0</v>
      </c>
      <c r="H191" s="19">
        <v>58.6</v>
      </c>
      <c r="I191" s="19">
        <v>41.4</v>
      </c>
      <c r="J191" s="25">
        <v>6</v>
      </c>
      <c r="K191" s="25">
        <v>14.8</v>
      </c>
      <c r="L191" s="25">
        <f t="shared" si="21"/>
        <v>20.8</v>
      </c>
      <c r="M191" s="25">
        <v>36.5</v>
      </c>
      <c r="N191" s="25">
        <v>15.9</v>
      </c>
      <c r="O191" s="25">
        <v>13.9</v>
      </c>
      <c r="P191" s="25">
        <f t="shared" si="22"/>
        <v>66.3</v>
      </c>
      <c r="Q191" s="25">
        <v>12.1</v>
      </c>
      <c r="R191" s="19">
        <v>0.7</v>
      </c>
      <c r="S191" s="19">
        <f t="shared" si="23"/>
        <v>12.8</v>
      </c>
      <c r="T191" s="19">
        <v>83</v>
      </c>
      <c r="U191" s="19">
        <f t="shared" si="24"/>
        <v>0.241279069767442</v>
      </c>
      <c r="V191" s="19">
        <v>82</v>
      </c>
      <c r="W191" s="19">
        <f t="shared" si="25"/>
        <v>0.238372093023256</v>
      </c>
      <c r="X191" s="19">
        <v>179</v>
      </c>
      <c r="Y191" s="14">
        <f t="shared" si="26"/>
        <v>0.520348837209302</v>
      </c>
      <c r="Z191" s="14">
        <v>344</v>
      </c>
      <c r="AA191" s="25">
        <v>0.6</v>
      </c>
      <c r="AB191" s="25">
        <v>6.1</v>
      </c>
      <c r="AC191" s="25">
        <v>9.3</v>
      </c>
      <c r="AD191" s="25">
        <v>4.2</v>
      </c>
      <c r="AE191" s="25">
        <v>3.2</v>
      </c>
      <c r="AF191" s="25">
        <v>3.7</v>
      </c>
      <c r="AG191" s="25">
        <v>0.8</v>
      </c>
      <c r="AH191" s="25">
        <v>4.2</v>
      </c>
      <c r="AI191" s="25">
        <v>1.7</v>
      </c>
      <c r="AJ191" s="25">
        <v>1</v>
      </c>
      <c r="AK191" s="25">
        <f t="shared" si="27"/>
        <v>11.4</v>
      </c>
      <c r="AL191" s="25">
        <v>2.3</v>
      </c>
      <c r="AM191" s="25">
        <v>0.4</v>
      </c>
      <c r="AN191" s="19">
        <v>0</v>
      </c>
      <c r="AO191" s="25">
        <v>1</v>
      </c>
      <c r="AP191" s="25">
        <f t="shared" si="28"/>
        <v>3.7</v>
      </c>
      <c r="AQ191" s="25">
        <v>1.6</v>
      </c>
      <c r="AR191" s="25">
        <v>10.3</v>
      </c>
      <c r="AS191" s="25">
        <v>5.6</v>
      </c>
      <c r="AT191" s="25">
        <v>11.7</v>
      </c>
      <c r="AU191" s="25">
        <f t="shared" si="29"/>
        <v>29.2</v>
      </c>
      <c r="AV191" s="25">
        <v>1.5</v>
      </c>
      <c r="AW191" s="19">
        <v>240.1</v>
      </c>
      <c r="AX191" s="25">
        <v>238.6</v>
      </c>
      <c r="AY191" s="19">
        <v>478.8</v>
      </c>
      <c r="AZ191" s="25">
        <v>153</v>
      </c>
      <c r="BA191" s="25">
        <v>505.8</v>
      </c>
      <c r="BB191" s="25">
        <v>658.8</v>
      </c>
      <c r="BC191" s="25">
        <f t="shared" si="30"/>
        <v>0.733702425462563</v>
      </c>
    </row>
    <row r="192" ht="14" spans="1:55">
      <c r="A192" s="29">
        <v>2021</v>
      </c>
      <c r="B192" s="29">
        <v>640000</v>
      </c>
      <c r="C192" s="30" t="s">
        <v>69</v>
      </c>
      <c r="D192" s="25">
        <v>1</v>
      </c>
      <c r="E192" s="25">
        <v>0</v>
      </c>
      <c r="F192" s="25">
        <v>0</v>
      </c>
      <c r="G192" s="25">
        <v>0</v>
      </c>
      <c r="H192" s="19">
        <v>58.447</v>
      </c>
      <c r="I192" s="19">
        <v>41.553</v>
      </c>
      <c r="J192" s="25">
        <v>7.375</v>
      </c>
      <c r="K192" s="25">
        <v>18.137</v>
      </c>
      <c r="L192" s="25">
        <f t="shared" si="21"/>
        <v>25.512</v>
      </c>
      <c r="M192" s="25">
        <v>33.238</v>
      </c>
      <c r="N192" s="25">
        <v>15.011</v>
      </c>
      <c r="O192" s="25">
        <v>13.251</v>
      </c>
      <c r="P192" s="25">
        <f t="shared" si="22"/>
        <v>61.5</v>
      </c>
      <c r="Q192" s="25">
        <v>12.046</v>
      </c>
      <c r="R192" s="19">
        <v>0.942</v>
      </c>
      <c r="S192" s="19">
        <f t="shared" si="23"/>
        <v>12.988</v>
      </c>
      <c r="T192" s="19">
        <v>81</v>
      </c>
      <c r="U192" s="19">
        <f t="shared" si="24"/>
        <v>0.234782608695652</v>
      </c>
      <c r="V192" s="19">
        <v>82</v>
      </c>
      <c r="W192" s="19">
        <f t="shared" si="25"/>
        <v>0.23768115942029</v>
      </c>
      <c r="X192" s="19">
        <v>182</v>
      </c>
      <c r="Y192" s="14">
        <f t="shared" si="26"/>
        <v>0.527536231884058</v>
      </c>
      <c r="Z192" s="14">
        <v>345</v>
      </c>
      <c r="AA192" s="25">
        <v>0.5</v>
      </c>
      <c r="AB192" s="25">
        <v>6</v>
      </c>
      <c r="AC192" s="25">
        <v>9.8</v>
      </c>
      <c r="AD192" s="25">
        <v>4.4</v>
      </c>
      <c r="AE192" s="25">
        <v>2.7</v>
      </c>
      <c r="AF192" s="25">
        <v>4</v>
      </c>
      <c r="AG192" s="25">
        <v>1</v>
      </c>
      <c r="AH192" s="25">
        <v>3.9</v>
      </c>
      <c r="AI192" s="25">
        <v>1.8</v>
      </c>
      <c r="AJ192" s="25">
        <v>1.2</v>
      </c>
      <c r="AK192" s="25">
        <f t="shared" si="27"/>
        <v>11.9</v>
      </c>
      <c r="AL192" s="25">
        <v>2.5</v>
      </c>
      <c r="AM192" s="25">
        <v>0.3</v>
      </c>
      <c r="AN192" s="19">
        <v>0.1</v>
      </c>
      <c r="AO192" s="25">
        <v>0.9</v>
      </c>
      <c r="AP192" s="25">
        <f t="shared" si="28"/>
        <v>3.8</v>
      </c>
      <c r="AQ192" s="25">
        <v>1.5</v>
      </c>
      <c r="AR192" s="25">
        <v>10.7</v>
      </c>
      <c r="AS192" s="25">
        <v>5.8</v>
      </c>
      <c r="AT192" s="25">
        <v>11.9</v>
      </c>
      <c r="AU192" s="25">
        <f t="shared" si="29"/>
        <v>29.9</v>
      </c>
      <c r="AV192" s="25">
        <v>1.6</v>
      </c>
      <c r="AW192" s="19">
        <v>252.111</v>
      </c>
      <c r="AX192" s="25">
        <v>230.744</v>
      </c>
      <c r="AY192" s="19">
        <v>482.855</v>
      </c>
      <c r="AZ192" s="25">
        <v>159.592</v>
      </c>
      <c r="BA192" s="25">
        <v>503.821</v>
      </c>
      <c r="BB192" s="25">
        <v>663.413</v>
      </c>
      <c r="BC192" s="25">
        <f t="shared" si="30"/>
        <v>0.762687753056107</v>
      </c>
    </row>
    <row r="193" ht="14" spans="1:55">
      <c r="A193" s="29">
        <v>2022</v>
      </c>
      <c r="B193" s="29">
        <v>640000</v>
      </c>
      <c r="C193" s="30" t="s">
        <v>69</v>
      </c>
      <c r="D193" s="25">
        <v>1</v>
      </c>
      <c r="E193" s="25">
        <v>0</v>
      </c>
      <c r="F193" s="25">
        <v>0</v>
      </c>
      <c r="G193" s="25">
        <v>0</v>
      </c>
      <c r="H193" s="19">
        <v>57.976</v>
      </c>
      <c r="I193" s="19">
        <v>42.024</v>
      </c>
      <c r="J193" s="25">
        <v>6.77</v>
      </c>
      <c r="K193" s="25">
        <v>20.959</v>
      </c>
      <c r="L193" s="25">
        <f t="shared" si="21"/>
        <v>27.729</v>
      </c>
      <c r="M193" s="25">
        <v>31.926</v>
      </c>
      <c r="N193" s="25">
        <v>13.378</v>
      </c>
      <c r="O193" s="25">
        <v>13.046</v>
      </c>
      <c r="P193" s="25">
        <f t="shared" si="22"/>
        <v>58.35</v>
      </c>
      <c r="Q193" s="25">
        <v>13.004</v>
      </c>
      <c r="R193" s="19">
        <v>0.916</v>
      </c>
      <c r="S193" s="19">
        <f t="shared" si="23"/>
        <v>13.92</v>
      </c>
      <c r="T193" s="19">
        <v>94</v>
      </c>
      <c r="U193" s="19">
        <f t="shared" si="24"/>
        <v>0.279761904761905</v>
      </c>
      <c r="V193" s="19">
        <v>79</v>
      </c>
      <c r="W193" s="19">
        <f t="shared" si="25"/>
        <v>0.235119047619048</v>
      </c>
      <c r="X193" s="19">
        <v>163</v>
      </c>
      <c r="Y193" s="14">
        <f t="shared" si="26"/>
        <v>0.485119047619048</v>
      </c>
      <c r="Z193" s="14">
        <v>336</v>
      </c>
      <c r="AA193" s="25">
        <v>0.5</v>
      </c>
      <c r="AB193" s="25">
        <v>6</v>
      </c>
      <c r="AC193" s="25">
        <v>11</v>
      </c>
      <c r="AD193" s="25">
        <v>4.1</v>
      </c>
      <c r="AE193" s="25">
        <v>2.3</v>
      </c>
      <c r="AF193" s="25">
        <v>4.1</v>
      </c>
      <c r="AG193" s="25">
        <v>1</v>
      </c>
      <c r="AH193" s="25">
        <v>3.6</v>
      </c>
      <c r="AI193" s="25">
        <v>1.6</v>
      </c>
      <c r="AJ193" s="25">
        <v>1.3</v>
      </c>
      <c r="AK193" s="25">
        <f t="shared" si="27"/>
        <v>11.6</v>
      </c>
      <c r="AL193" s="25">
        <v>2.5</v>
      </c>
      <c r="AM193" s="25">
        <v>0.3</v>
      </c>
      <c r="AN193" s="19">
        <v>0.1</v>
      </c>
      <c r="AO193" s="25">
        <v>0.9</v>
      </c>
      <c r="AP193" s="25">
        <f t="shared" si="28"/>
        <v>3.8</v>
      </c>
      <c r="AQ193" s="25">
        <v>1.8</v>
      </c>
      <c r="AR193" s="25">
        <v>10.7</v>
      </c>
      <c r="AS193" s="25">
        <v>5.8</v>
      </c>
      <c r="AT193" s="25">
        <v>12</v>
      </c>
      <c r="AU193" s="25">
        <f t="shared" si="29"/>
        <v>30.3</v>
      </c>
      <c r="AV193" s="25">
        <v>1.6</v>
      </c>
      <c r="AW193" s="19">
        <v>283.793</v>
      </c>
      <c r="AX193" s="25">
        <v>235.886</v>
      </c>
      <c r="AY193" s="19">
        <v>519.679</v>
      </c>
      <c r="AZ193" s="25">
        <v>162.37</v>
      </c>
      <c r="BA193" s="25">
        <v>500.436</v>
      </c>
      <c r="BB193" s="25">
        <v>662.805</v>
      </c>
      <c r="BC193" s="25">
        <f t="shared" si="30"/>
        <v>0.79106688852849</v>
      </c>
    </row>
    <row r="194" ht="14" spans="1:55">
      <c r="A194" s="29">
        <v>2013</v>
      </c>
      <c r="B194" s="29">
        <v>630000</v>
      </c>
      <c r="C194" s="30" t="s">
        <v>70</v>
      </c>
      <c r="D194" s="25">
        <v>1</v>
      </c>
      <c r="E194" s="25">
        <v>0</v>
      </c>
      <c r="F194" s="25">
        <v>0</v>
      </c>
      <c r="G194" s="25">
        <v>0</v>
      </c>
      <c r="H194" s="19">
        <v>54.779</v>
      </c>
      <c r="I194" s="19">
        <v>45.221</v>
      </c>
      <c r="J194" s="25">
        <v>6.334</v>
      </c>
      <c r="K194" s="25">
        <v>25.243</v>
      </c>
      <c r="L194" s="25">
        <f t="shared" si="21"/>
        <v>31.577</v>
      </c>
      <c r="M194" s="25">
        <v>35.927</v>
      </c>
      <c r="N194" s="25">
        <v>15.005</v>
      </c>
      <c r="O194" s="25">
        <v>10.715</v>
      </c>
      <c r="P194" s="25">
        <f t="shared" si="22"/>
        <v>61.647</v>
      </c>
      <c r="Q194" s="25">
        <v>6.528</v>
      </c>
      <c r="R194" s="19">
        <v>0.248</v>
      </c>
      <c r="S194" s="19">
        <f t="shared" si="23"/>
        <v>6.776</v>
      </c>
      <c r="T194" s="19">
        <v>110</v>
      </c>
      <c r="U194" s="19">
        <f t="shared" si="24"/>
        <v>0.371621621621622</v>
      </c>
      <c r="V194" s="19">
        <v>69</v>
      </c>
      <c r="W194" s="19">
        <f t="shared" si="25"/>
        <v>0.233108108108108</v>
      </c>
      <c r="X194" s="19">
        <v>117</v>
      </c>
      <c r="Y194" s="14">
        <f t="shared" si="26"/>
        <v>0.39527027027027</v>
      </c>
      <c r="Z194" s="14">
        <v>296</v>
      </c>
      <c r="AA194" s="25">
        <v>1.4</v>
      </c>
      <c r="AB194" s="25">
        <v>4.4</v>
      </c>
      <c r="AC194" s="25">
        <v>11.8</v>
      </c>
      <c r="AD194" s="25">
        <v>1.9</v>
      </c>
      <c r="AE194" s="25">
        <v>7.3</v>
      </c>
      <c r="AF194" s="25">
        <v>4.8</v>
      </c>
      <c r="AG194" s="25">
        <v>1</v>
      </c>
      <c r="AH194" s="25">
        <v>2.2</v>
      </c>
      <c r="AI194" s="25">
        <v>2.3</v>
      </c>
      <c r="AJ194" s="25">
        <v>0.7</v>
      </c>
      <c r="AK194" s="25">
        <f t="shared" si="27"/>
        <v>11</v>
      </c>
      <c r="AL194" s="25">
        <v>2.4</v>
      </c>
      <c r="AM194" s="25">
        <v>0.6</v>
      </c>
      <c r="AN194" s="19">
        <v>0.1</v>
      </c>
      <c r="AO194" s="25">
        <v>0.8</v>
      </c>
      <c r="AP194" s="25">
        <f t="shared" si="28"/>
        <v>3.9</v>
      </c>
      <c r="AQ194" s="25">
        <v>1</v>
      </c>
      <c r="AR194" s="25">
        <v>7.6</v>
      </c>
      <c r="AS194" s="25">
        <v>3.7</v>
      </c>
      <c r="AT194" s="25">
        <v>9.4</v>
      </c>
      <c r="AU194" s="25">
        <f t="shared" si="29"/>
        <v>21.7</v>
      </c>
      <c r="AV194" s="25">
        <v>0.8</v>
      </c>
      <c r="AW194" s="19">
        <v>90.305</v>
      </c>
      <c r="AX194" s="25">
        <v>216.052</v>
      </c>
      <c r="AY194" s="19">
        <v>306.358</v>
      </c>
      <c r="AZ194" s="25">
        <v>89.707</v>
      </c>
      <c r="BA194" s="25">
        <v>91.61</v>
      </c>
      <c r="BB194" s="25">
        <v>181.317</v>
      </c>
      <c r="BC194" s="25">
        <f t="shared" si="30"/>
        <v>0.789521802687572</v>
      </c>
    </row>
    <row r="195" ht="14" spans="1:55">
      <c r="A195" s="29">
        <v>2014</v>
      </c>
      <c r="B195" s="29">
        <v>630000</v>
      </c>
      <c r="C195" s="30" t="s">
        <v>70</v>
      </c>
      <c r="D195" s="25">
        <v>1</v>
      </c>
      <c r="E195" s="25">
        <v>0</v>
      </c>
      <c r="F195" s="25">
        <v>0</v>
      </c>
      <c r="G195" s="25">
        <v>0</v>
      </c>
      <c r="H195" s="19">
        <v>56</v>
      </c>
      <c r="I195" s="19">
        <v>44</v>
      </c>
      <c r="J195" s="25">
        <v>5.2</v>
      </c>
      <c r="K195" s="25">
        <v>27.2</v>
      </c>
      <c r="L195" s="25">
        <f t="shared" si="21"/>
        <v>32.4</v>
      </c>
      <c r="M195" s="25">
        <v>37.2</v>
      </c>
      <c r="N195" s="25">
        <v>13.9</v>
      </c>
      <c r="O195" s="25">
        <v>9.2</v>
      </c>
      <c r="P195" s="25">
        <f t="shared" si="22"/>
        <v>60.3</v>
      </c>
      <c r="Q195" s="25">
        <v>6.8</v>
      </c>
      <c r="R195" s="19">
        <v>0.4</v>
      </c>
      <c r="S195" s="19">
        <f t="shared" si="23"/>
        <v>7.2</v>
      </c>
      <c r="T195" s="19">
        <v>107</v>
      </c>
      <c r="U195" s="19">
        <f t="shared" si="24"/>
        <v>0.36518771331058</v>
      </c>
      <c r="V195" s="19">
        <v>67</v>
      </c>
      <c r="W195" s="19">
        <f t="shared" si="25"/>
        <v>0.228668941979522</v>
      </c>
      <c r="X195" s="19">
        <v>119</v>
      </c>
      <c r="Y195" s="14">
        <f t="shared" si="26"/>
        <v>0.406143344709898</v>
      </c>
      <c r="Z195" s="14">
        <v>293</v>
      </c>
      <c r="AA195" s="25">
        <v>1.4</v>
      </c>
      <c r="AB195" s="25">
        <v>4.2</v>
      </c>
      <c r="AC195" s="25">
        <v>11.3</v>
      </c>
      <c r="AD195" s="25">
        <v>1.9</v>
      </c>
      <c r="AE195" s="25">
        <v>7.6</v>
      </c>
      <c r="AF195" s="25">
        <v>4.1</v>
      </c>
      <c r="AG195" s="25">
        <v>0.9</v>
      </c>
      <c r="AH195" s="25">
        <v>2.2</v>
      </c>
      <c r="AI195" s="25">
        <v>2.3</v>
      </c>
      <c r="AJ195" s="25">
        <v>0.8</v>
      </c>
      <c r="AK195" s="25">
        <f t="shared" si="27"/>
        <v>10.3</v>
      </c>
      <c r="AL195" s="25">
        <v>2.3</v>
      </c>
      <c r="AM195" s="25">
        <v>0.6</v>
      </c>
      <c r="AN195" s="19">
        <v>0.1</v>
      </c>
      <c r="AO195" s="25">
        <v>0.9</v>
      </c>
      <c r="AP195" s="25">
        <f t="shared" si="28"/>
        <v>3.9</v>
      </c>
      <c r="AQ195" s="25">
        <v>1</v>
      </c>
      <c r="AR195" s="25">
        <v>7.4</v>
      </c>
      <c r="AS195" s="25">
        <v>3.8</v>
      </c>
      <c r="AT195" s="25">
        <v>9.8</v>
      </c>
      <c r="AU195" s="25">
        <f t="shared" si="29"/>
        <v>22</v>
      </c>
      <c r="AV195" s="25">
        <v>0.8</v>
      </c>
      <c r="AW195" s="19">
        <v>94.6</v>
      </c>
      <c r="AX195" s="25">
        <v>224.6</v>
      </c>
      <c r="AY195" s="19">
        <v>319.2</v>
      </c>
      <c r="AZ195" s="25">
        <v>93.3</v>
      </c>
      <c r="BA195" s="25">
        <v>97.1</v>
      </c>
      <c r="BB195" s="25">
        <v>190.4</v>
      </c>
      <c r="BC195" s="25">
        <f t="shared" si="30"/>
        <v>0.786386923190329</v>
      </c>
    </row>
    <row r="196" ht="14" spans="1:55">
      <c r="A196" s="29">
        <v>2015</v>
      </c>
      <c r="B196" s="29">
        <v>630000</v>
      </c>
      <c r="C196" s="30" t="s">
        <v>70</v>
      </c>
      <c r="D196" s="25">
        <v>1</v>
      </c>
      <c r="E196" s="25">
        <v>0</v>
      </c>
      <c r="F196" s="25">
        <v>0</v>
      </c>
      <c r="G196" s="25">
        <v>0</v>
      </c>
      <c r="H196" s="19">
        <v>57.221</v>
      </c>
      <c r="I196" s="19">
        <v>42.779</v>
      </c>
      <c r="J196" s="25">
        <v>7.234</v>
      </c>
      <c r="K196" s="25">
        <v>27.484</v>
      </c>
      <c r="L196" s="25">
        <f t="shared" si="21"/>
        <v>34.718</v>
      </c>
      <c r="M196" s="25">
        <v>35.037</v>
      </c>
      <c r="N196" s="25">
        <v>8.906</v>
      </c>
      <c r="O196" s="25">
        <v>9.877</v>
      </c>
      <c r="P196" s="25">
        <f t="shared" si="22"/>
        <v>53.82</v>
      </c>
      <c r="Q196" s="25">
        <v>7.799</v>
      </c>
      <c r="R196" s="19">
        <v>0.171</v>
      </c>
      <c r="S196" s="19">
        <f t="shared" si="23"/>
        <v>7.97</v>
      </c>
      <c r="T196" s="19">
        <v>105</v>
      </c>
      <c r="U196" s="19">
        <f t="shared" si="24"/>
        <v>0.35958904109589</v>
      </c>
      <c r="V196" s="19">
        <v>67</v>
      </c>
      <c r="W196" s="19">
        <f t="shared" si="25"/>
        <v>0.229452054794521</v>
      </c>
      <c r="X196" s="19">
        <v>120</v>
      </c>
      <c r="Y196" s="14">
        <f t="shared" si="26"/>
        <v>0.410958904109589</v>
      </c>
      <c r="Z196" s="14">
        <v>292</v>
      </c>
      <c r="AA196" s="25">
        <v>1.4</v>
      </c>
      <c r="AB196" s="25">
        <v>3.9</v>
      </c>
      <c r="AC196" s="25">
        <v>10.9</v>
      </c>
      <c r="AD196" s="25">
        <v>2</v>
      </c>
      <c r="AE196" s="25">
        <v>7</v>
      </c>
      <c r="AF196" s="25">
        <v>4.3</v>
      </c>
      <c r="AG196" s="25">
        <v>0.8</v>
      </c>
      <c r="AH196" s="25">
        <v>2.3</v>
      </c>
      <c r="AI196" s="25">
        <v>2.2</v>
      </c>
      <c r="AJ196" s="25">
        <v>0.8</v>
      </c>
      <c r="AK196" s="25">
        <f t="shared" si="27"/>
        <v>10.4</v>
      </c>
      <c r="AL196" s="25">
        <v>2.3</v>
      </c>
      <c r="AM196" s="25">
        <v>0.6</v>
      </c>
      <c r="AN196" s="19">
        <v>0.1</v>
      </c>
      <c r="AO196" s="25">
        <v>0.9</v>
      </c>
      <c r="AP196" s="25">
        <f t="shared" si="28"/>
        <v>3.9</v>
      </c>
      <c r="AQ196" s="25">
        <v>1</v>
      </c>
      <c r="AR196" s="25">
        <v>7.6</v>
      </c>
      <c r="AS196" s="25">
        <v>3.8</v>
      </c>
      <c r="AT196" s="25">
        <v>10.2</v>
      </c>
      <c r="AU196" s="25">
        <f t="shared" si="29"/>
        <v>22.6</v>
      </c>
      <c r="AV196" s="25">
        <v>0.9</v>
      </c>
      <c r="AW196" s="19">
        <v>100.074</v>
      </c>
      <c r="AX196" s="25">
        <v>233.475</v>
      </c>
      <c r="AY196" s="19">
        <v>333.549</v>
      </c>
      <c r="AZ196" s="25">
        <v>95.594</v>
      </c>
      <c r="BA196" s="25">
        <v>99.556</v>
      </c>
      <c r="BB196" s="25">
        <v>195.15</v>
      </c>
      <c r="BC196" s="25">
        <f t="shared" si="30"/>
        <v>0.789876716190451</v>
      </c>
    </row>
    <row r="197" ht="14" spans="1:55">
      <c r="A197" s="29">
        <v>2016</v>
      </c>
      <c r="B197" s="29">
        <v>630000</v>
      </c>
      <c r="C197" s="30" t="s">
        <v>70</v>
      </c>
      <c r="D197" s="25">
        <v>1</v>
      </c>
      <c r="E197" s="25">
        <v>0</v>
      </c>
      <c r="F197" s="25">
        <v>0</v>
      </c>
      <c r="G197" s="25">
        <v>0</v>
      </c>
      <c r="H197" s="19">
        <v>56.711</v>
      </c>
      <c r="I197" s="19">
        <v>43.289</v>
      </c>
      <c r="J197" s="25">
        <v>6.945</v>
      </c>
      <c r="K197" s="25">
        <v>25.985</v>
      </c>
      <c r="L197" s="25">
        <f t="shared" ref="L197:L260" si="31">J197+K197</f>
        <v>32.93</v>
      </c>
      <c r="M197" s="25">
        <v>35.003</v>
      </c>
      <c r="N197" s="25">
        <v>9.06</v>
      </c>
      <c r="O197" s="25">
        <v>10.541</v>
      </c>
      <c r="P197" s="25">
        <f t="shared" ref="P197:P260" si="32">M197+N197+O197</f>
        <v>54.604</v>
      </c>
      <c r="Q197" s="25">
        <v>8.423</v>
      </c>
      <c r="R197" s="19">
        <v>0.214</v>
      </c>
      <c r="S197" s="19">
        <f t="shared" ref="S197:S260" si="33">Q197+R197</f>
        <v>8.637</v>
      </c>
      <c r="T197" s="19">
        <v>103</v>
      </c>
      <c r="U197" s="19">
        <f t="shared" ref="U197:U260" si="34">T197/Z197</f>
        <v>0.356401384083045</v>
      </c>
      <c r="V197" s="19">
        <v>66</v>
      </c>
      <c r="W197" s="19">
        <f t="shared" ref="W197:W260" si="35">V197/Z197</f>
        <v>0.228373702422145</v>
      </c>
      <c r="X197" s="19">
        <v>120</v>
      </c>
      <c r="Y197" s="14">
        <f t="shared" ref="Y197:Y260" si="36">X197/Z197</f>
        <v>0.41522491349481</v>
      </c>
      <c r="Z197" s="14">
        <v>289</v>
      </c>
      <c r="AA197" s="25">
        <v>1.4</v>
      </c>
      <c r="AB197" s="25">
        <v>3.5</v>
      </c>
      <c r="AC197" s="25">
        <v>10.6</v>
      </c>
      <c r="AD197" s="25">
        <v>2.2</v>
      </c>
      <c r="AE197" s="25">
        <v>6.7</v>
      </c>
      <c r="AF197" s="25">
        <v>4.3</v>
      </c>
      <c r="AG197" s="25">
        <v>0.9</v>
      </c>
      <c r="AH197" s="25">
        <v>2.4</v>
      </c>
      <c r="AI197" s="25">
        <v>2.2</v>
      </c>
      <c r="AJ197" s="25">
        <v>0.9</v>
      </c>
      <c r="AK197" s="25">
        <f t="shared" ref="AK197:AK260" si="37">AF197+AG197+AH197+AI197+AJ197</f>
        <v>10.7</v>
      </c>
      <c r="AL197" s="25">
        <v>2.3</v>
      </c>
      <c r="AM197" s="25">
        <v>0.6</v>
      </c>
      <c r="AN197" s="19">
        <v>0.1</v>
      </c>
      <c r="AO197" s="25">
        <v>0.8</v>
      </c>
      <c r="AP197" s="25">
        <f t="shared" ref="AP197:AP260" si="38">AL197+AM197+AN197+AO197</f>
        <v>3.8</v>
      </c>
      <c r="AQ197" s="25">
        <v>1.1</v>
      </c>
      <c r="AR197" s="25">
        <v>7.7</v>
      </c>
      <c r="AS197" s="25">
        <v>4.1</v>
      </c>
      <c r="AT197" s="25">
        <v>10.6</v>
      </c>
      <c r="AU197" s="25">
        <f t="shared" ref="AU197:AU260" si="39">AQ197+AR197+AS197+AT197</f>
        <v>23.5</v>
      </c>
      <c r="AV197" s="25">
        <v>0.9</v>
      </c>
      <c r="AW197" s="19">
        <v>132.31</v>
      </c>
      <c r="AX197" s="25">
        <v>235.211</v>
      </c>
      <c r="AY197" s="19">
        <v>367.521</v>
      </c>
      <c r="AZ197" s="25">
        <v>97.884</v>
      </c>
      <c r="BA197" s="25">
        <v>98.798</v>
      </c>
      <c r="BB197" s="25">
        <v>196.682</v>
      </c>
      <c r="BC197" s="25">
        <f t="shared" si="30"/>
        <v>0.8576830914208</v>
      </c>
    </row>
    <row r="198" ht="14" spans="1:55">
      <c r="A198" s="29">
        <v>2017</v>
      </c>
      <c r="B198" s="29">
        <v>630000</v>
      </c>
      <c r="C198" s="30" t="s">
        <v>70</v>
      </c>
      <c r="D198" s="25">
        <v>1</v>
      </c>
      <c r="E198" s="25">
        <v>0</v>
      </c>
      <c r="F198" s="25">
        <v>0</v>
      </c>
      <c r="G198" s="25">
        <v>0</v>
      </c>
      <c r="H198" s="19">
        <v>56.63</v>
      </c>
      <c r="I198" s="19">
        <v>43.37</v>
      </c>
      <c r="J198" s="25">
        <v>6.104</v>
      </c>
      <c r="K198" s="25">
        <v>25.139</v>
      </c>
      <c r="L198" s="25">
        <f t="shared" si="31"/>
        <v>31.243</v>
      </c>
      <c r="M198" s="25">
        <v>35.654</v>
      </c>
      <c r="N198" s="25">
        <v>10.072</v>
      </c>
      <c r="O198" s="25">
        <v>10.504</v>
      </c>
      <c r="P198" s="25">
        <f t="shared" si="32"/>
        <v>56.23</v>
      </c>
      <c r="Q198" s="25">
        <v>8.859</v>
      </c>
      <c r="R198" s="19">
        <v>0.186</v>
      </c>
      <c r="S198" s="19">
        <f t="shared" si="33"/>
        <v>9.045</v>
      </c>
      <c r="T198" s="19">
        <v>101</v>
      </c>
      <c r="U198" s="19">
        <f t="shared" si="34"/>
        <v>0.35191637630662</v>
      </c>
      <c r="V198" s="19">
        <v>64</v>
      </c>
      <c r="W198" s="19">
        <f t="shared" si="35"/>
        <v>0.222996515679443</v>
      </c>
      <c r="X198" s="19">
        <v>122</v>
      </c>
      <c r="Y198" s="14">
        <f t="shared" si="36"/>
        <v>0.425087108013937</v>
      </c>
      <c r="Z198" s="14">
        <v>287</v>
      </c>
      <c r="AA198" s="25">
        <v>1.4</v>
      </c>
      <c r="AB198" s="25">
        <v>3.1</v>
      </c>
      <c r="AC198" s="25">
        <v>10.1</v>
      </c>
      <c r="AD198" s="25">
        <v>2.4</v>
      </c>
      <c r="AE198" s="25">
        <v>6.5</v>
      </c>
      <c r="AF198" s="25">
        <v>4.7</v>
      </c>
      <c r="AG198" s="25">
        <v>0.9</v>
      </c>
      <c r="AH198" s="25">
        <v>2.3</v>
      </c>
      <c r="AI198" s="25">
        <v>2.3</v>
      </c>
      <c r="AJ198" s="25">
        <v>0.8</v>
      </c>
      <c r="AK198" s="25">
        <f t="shared" si="37"/>
        <v>11</v>
      </c>
      <c r="AL198" s="25">
        <v>2.2</v>
      </c>
      <c r="AM198" s="25">
        <v>0.6</v>
      </c>
      <c r="AN198" s="19">
        <v>0.1</v>
      </c>
      <c r="AO198" s="25">
        <v>0.9</v>
      </c>
      <c r="AP198" s="25">
        <f t="shared" si="38"/>
        <v>3.8</v>
      </c>
      <c r="AQ198" s="25">
        <v>1.2</v>
      </c>
      <c r="AR198" s="25">
        <v>7.6</v>
      </c>
      <c r="AS198" s="25">
        <v>4.3</v>
      </c>
      <c r="AT198" s="25">
        <v>11</v>
      </c>
      <c r="AU198" s="25">
        <f t="shared" si="39"/>
        <v>24.1</v>
      </c>
      <c r="AV198" s="25">
        <v>1</v>
      </c>
      <c r="AW198" s="19">
        <v>138.338</v>
      </c>
      <c r="AX198" s="25">
        <v>239.111</v>
      </c>
      <c r="AY198" s="19">
        <v>377.449</v>
      </c>
      <c r="AZ198" s="25">
        <v>94.026</v>
      </c>
      <c r="BA198" s="25">
        <v>454.963</v>
      </c>
      <c r="BB198" s="25">
        <v>548.99</v>
      </c>
      <c r="BC198" s="25">
        <f t="shared" si="30"/>
        <v>0.537778672356812</v>
      </c>
    </row>
    <row r="199" ht="14" spans="1:55">
      <c r="A199" s="29">
        <v>2018</v>
      </c>
      <c r="B199" s="29">
        <v>630000</v>
      </c>
      <c r="C199" s="30" t="s">
        <v>70</v>
      </c>
      <c r="D199" s="25">
        <v>1</v>
      </c>
      <c r="E199" s="25">
        <v>0</v>
      </c>
      <c r="F199" s="25">
        <v>0</v>
      </c>
      <c r="G199" s="25">
        <v>0</v>
      </c>
      <c r="H199" s="19">
        <v>57.257</v>
      </c>
      <c r="I199" s="19">
        <v>42.743</v>
      </c>
      <c r="J199" s="25">
        <v>6.145</v>
      </c>
      <c r="K199" s="25">
        <v>24.396</v>
      </c>
      <c r="L199" s="25">
        <f t="shared" si="31"/>
        <v>30.541</v>
      </c>
      <c r="M199" s="25">
        <v>36.163</v>
      </c>
      <c r="N199" s="25">
        <v>9.307</v>
      </c>
      <c r="O199" s="25">
        <v>10.281</v>
      </c>
      <c r="P199" s="25">
        <f t="shared" si="32"/>
        <v>55.751</v>
      </c>
      <c r="Q199" s="25">
        <v>10.27</v>
      </c>
      <c r="R199" s="19">
        <v>0.263</v>
      </c>
      <c r="S199" s="19">
        <f t="shared" si="33"/>
        <v>10.533</v>
      </c>
      <c r="T199" s="19">
        <v>95</v>
      </c>
      <c r="U199" s="19">
        <f t="shared" si="34"/>
        <v>0.333333333333333</v>
      </c>
      <c r="V199" s="19">
        <v>60</v>
      </c>
      <c r="W199" s="19">
        <f t="shared" si="35"/>
        <v>0.210526315789474</v>
      </c>
      <c r="X199" s="19">
        <v>130</v>
      </c>
      <c r="Y199" s="14">
        <f t="shared" si="36"/>
        <v>0.456140350877193</v>
      </c>
      <c r="Z199" s="14">
        <v>285</v>
      </c>
      <c r="AA199" s="25">
        <v>1.2</v>
      </c>
      <c r="AB199" s="25">
        <v>3</v>
      </c>
      <c r="AC199" s="25">
        <v>9</v>
      </c>
      <c r="AD199" s="25">
        <v>2.4</v>
      </c>
      <c r="AE199" s="25">
        <v>5.8</v>
      </c>
      <c r="AF199" s="25">
        <v>4.6</v>
      </c>
      <c r="AG199" s="25">
        <v>0.9</v>
      </c>
      <c r="AH199" s="25">
        <v>2.3</v>
      </c>
      <c r="AI199" s="25">
        <v>2.2</v>
      </c>
      <c r="AJ199" s="25">
        <v>0.7</v>
      </c>
      <c r="AK199" s="25">
        <f t="shared" si="37"/>
        <v>10.7</v>
      </c>
      <c r="AL199" s="25">
        <v>2</v>
      </c>
      <c r="AM199" s="25">
        <v>0.5</v>
      </c>
      <c r="AN199" s="19">
        <v>0.1</v>
      </c>
      <c r="AO199" s="25">
        <v>0.8</v>
      </c>
      <c r="AP199" s="25">
        <f t="shared" si="38"/>
        <v>3.4</v>
      </c>
      <c r="AQ199" s="25">
        <v>1.1</v>
      </c>
      <c r="AR199" s="25">
        <v>7.8</v>
      </c>
      <c r="AS199" s="25">
        <v>4.8</v>
      </c>
      <c r="AT199" s="25">
        <v>12.7</v>
      </c>
      <c r="AU199" s="25">
        <f t="shared" si="39"/>
        <v>26.4</v>
      </c>
      <c r="AV199" s="25">
        <v>0.9</v>
      </c>
      <c r="AW199" s="19">
        <v>145.093</v>
      </c>
      <c r="AX199" s="25">
        <v>245.632</v>
      </c>
      <c r="AY199" s="19">
        <v>390.725</v>
      </c>
      <c r="AZ199" s="25">
        <v>99.421</v>
      </c>
      <c r="BA199" s="25">
        <v>455.925</v>
      </c>
      <c r="BB199" s="25">
        <v>555.346</v>
      </c>
      <c r="BC199" s="25">
        <f t="shared" si="30"/>
        <v>0.550368344541711</v>
      </c>
    </row>
    <row r="200" ht="14" spans="1:55">
      <c r="A200" s="29">
        <v>2019</v>
      </c>
      <c r="B200" s="29">
        <v>630000</v>
      </c>
      <c r="C200" s="30" t="s">
        <v>70</v>
      </c>
      <c r="D200" s="25">
        <v>1</v>
      </c>
      <c r="E200" s="25">
        <v>0</v>
      </c>
      <c r="F200" s="25">
        <v>0</v>
      </c>
      <c r="G200" s="25">
        <v>0</v>
      </c>
      <c r="H200" s="19">
        <v>59.9</v>
      </c>
      <c r="I200" s="19">
        <v>40.1</v>
      </c>
      <c r="J200" s="25">
        <v>5.7</v>
      </c>
      <c r="K200" s="25">
        <v>20.7</v>
      </c>
      <c r="L200" s="25">
        <f t="shared" si="31"/>
        <v>26.4</v>
      </c>
      <c r="M200" s="25">
        <v>35.2</v>
      </c>
      <c r="N200" s="25">
        <v>14.3</v>
      </c>
      <c r="O200" s="25">
        <v>12.6</v>
      </c>
      <c r="P200" s="25">
        <f t="shared" si="32"/>
        <v>62.1</v>
      </c>
      <c r="Q200" s="25">
        <v>11</v>
      </c>
      <c r="R200" s="19">
        <v>0.4</v>
      </c>
      <c r="S200" s="19">
        <f t="shared" si="33"/>
        <v>11.4</v>
      </c>
      <c r="T200" s="19">
        <v>90</v>
      </c>
      <c r="U200" s="19">
        <f t="shared" si="34"/>
        <v>0.319148936170213</v>
      </c>
      <c r="V200" s="19">
        <v>57</v>
      </c>
      <c r="W200" s="19">
        <f t="shared" si="35"/>
        <v>0.202127659574468</v>
      </c>
      <c r="X200" s="19">
        <v>135</v>
      </c>
      <c r="Y200" s="14">
        <f t="shared" si="36"/>
        <v>0.478723404255319</v>
      </c>
      <c r="Z200" s="14">
        <v>282</v>
      </c>
      <c r="AA200" s="25">
        <v>0.6</v>
      </c>
      <c r="AB200" s="25">
        <v>3.1</v>
      </c>
      <c r="AC200" s="25">
        <v>8.9</v>
      </c>
      <c r="AD200" s="25">
        <v>2.1</v>
      </c>
      <c r="AE200" s="25">
        <v>4.6</v>
      </c>
      <c r="AF200" s="25">
        <v>5.2</v>
      </c>
      <c r="AG200" s="25">
        <v>0.9</v>
      </c>
      <c r="AH200" s="25">
        <v>2.9</v>
      </c>
      <c r="AI200" s="25">
        <v>1.8</v>
      </c>
      <c r="AJ200" s="25">
        <v>1.6</v>
      </c>
      <c r="AK200" s="25">
        <f t="shared" si="37"/>
        <v>12.4</v>
      </c>
      <c r="AL200" s="25">
        <v>2.4</v>
      </c>
      <c r="AM200" s="25">
        <v>0.6</v>
      </c>
      <c r="AN200" s="19">
        <v>0.1</v>
      </c>
      <c r="AO200" s="25">
        <v>0.8</v>
      </c>
      <c r="AP200" s="25">
        <f t="shared" si="38"/>
        <v>3.9</v>
      </c>
      <c r="AQ200" s="25">
        <v>1</v>
      </c>
      <c r="AR200" s="25">
        <v>8.6</v>
      </c>
      <c r="AS200" s="25">
        <v>5.4</v>
      </c>
      <c r="AT200" s="25">
        <v>15.1</v>
      </c>
      <c r="AU200" s="25">
        <f t="shared" si="39"/>
        <v>30.1</v>
      </c>
      <c r="AV200" s="25">
        <v>1.4</v>
      </c>
      <c r="AW200" s="19">
        <v>152.8</v>
      </c>
      <c r="AX200" s="25">
        <v>261.1</v>
      </c>
      <c r="AY200" s="19">
        <v>413.9</v>
      </c>
      <c r="AZ200" s="25">
        <v>103.8</v>
      </c>
      <c r="BA200" s="25">
        <v>454.2</v>
      </c>
      <c r="BB200" s="25">
        <v>557.9</v>
      </c>
      <c r="BC200" s="25">
        <f t="shared" si="30"/>
        <v>0.555226145953999</v>
      </c>
    </row>
    <row r="201" ht="14" spans="1:55">
      <c r="A201" s="29">
        <v>2020</v>
      </c>
      <c r="B201" s="29">
        <v>630000</v>
      </c>
      <c r="C201" s="30" t="s">
        <v>70</v>
      </c>
      <c r="D201" s="25">
        <v>1</v>
      </c>
      <c r="E201" s="25">
        <v>0</v>
      </c>
      <c r="F201" s="25">
        <v>0</v>
      </c>
      <c r="G201" s="25">
        <v>0</v>
      </c>
      <c r="H201" s="19">
        <v>58.1</v>
      </c>
      <c r="I201" s="19">
        <v>41.9</v>
      </c>
      <c r="J201" s="25">
        <v>7.2</v>
      </c>
      <c r="K201" s="25">
        <v>22.8</v>
      </c>
      <c r="L201" s="25">
        <f t="shared" si="31"/>
        <v>30</v>
      </c>
      <c r="M201" s="25">
        <v>33</v>
      </c>
      <c r="N201" s="25">
        <v>13.4</v>
      </c>
      <c r="O201" s="25">
        <v>12</v>
      </c>
      <c r="P201" s="25">
        <f t="shared" si="32"/>
        <v>58.4</v>
      </c>
      <c r="Q201" s="25">
        <v>11.3</v>
      </c>
      <c r="R201" s="19">
        <v>0.4</v>
      </c>
      <c r="S201" s="19">
        <f t="shared" si="33"/>
        <v>11.7</v>
      </c>
      <c r="T201" s="19">
        <v>71</v>
      </c>
      <c r="U201" s="19">
        <f t="shared" si="34"/>
        <v>0.254480286738351</v>
      </c>
      <c r="V201" s="19">
        <v>62</v>
      </c>
      <c r="W201" s="19">
        <f t="shared" si="35"/>
        <v>0.222222222222222</v>
      </c>
      <c r="X201" s="19">
        <v>146</v>
      </c>
      <c r="Y201" s="14">
        <f t="shared" si="36"/>
        <v>0.523297491039427</v>
      </c>
      <c r="Z201" s="14">
        <v>279</v>
      </c>
      <c r="AA201" s="25">
        <v>0.7</v>
      </c>
      <c r="AB201" s="25">
        <v>3</v>
      </c>
      <c r="AC201" s="25">
        <v>8.6</v>
      </c>
      <c r="AD201" s="25">
        <v>2.2</v>
      </c>
      <c r="AE201" s="25">
        <v>4.2</v>
      </c>
      <c r="AF201" s="25">
        <v>5.1</v>
      </c>
      <c r="AG201" s="25">
        <v>0.9</v>
      </c>
      <c r="AH201" s="25">
        <v>2.9</v>
      </c>
      <c r="AI201" s="25">
        <v>2</v>
      </c>
      <c r="AJ201" s="25">
        <v>1.3</v>
      </c>
      <c r="AK201" s="25">
        <f t="shared" si="37"/>
        <v>12.2</v>
      </c>
      <c r="AL201" s="25">
        <v>2.2</v>
      </c>
      <c r="AM201" s="25">
        <v>0.5</v>
      </c>
      <c r="AN201" s="19">
        <v>0.1</v>
      </c>
      <c r="AO201" s="25">
        <v>0.8</v>
      </c>
      <c r="AP201" s="25">
        <f t="shared" si="38"/>
        <v>3.6</v>
      </c>
      <c r="AQ201" s="25">
        <v>1.1</v>
      </c>
      <c r="AR201" s="25">
        <v>8.4</v>
      </c>
      <c r="AS201" s="25">
        <v>5.5</v>
      </c>
      <c r="AT201" s="25">
        <v>15.2</v>
      </c>
      <c r="AU201" s="25">
        <f t="shared" si="39"/>
        <v>30.2</v>
      </c>
      <c r="AV201" s="25">
        <v>1.5</v>
      </c>
      <c r="AW201" s="19">
        <v>158.2</v>
      </c>
      <c r="AX201" s="25">
        <v>262.3</v>
      </c>
      <c r="AY201" s="19">
        <v>420.5</v>
      </c>
      <c r="AZ201" s="25">
        <v>108.5</v>
      </c>
      <c r="BA201" s="25">
        <v>454.7</v>
      </c>
      <c r="BB201" s="25">
        <v>563.3</v>
      </c>
      <c r="BC201" s="25">
        <f t="shared" si="30"/>
        <v>0.568833734788182</v>
      </c>
    </row>
    <row r="202" ht="14" spans="1:55">
      <c r="A202" s="29">
        <v>2021</v>
      </c>
      <c r="B202" s="29">
        <v>630000</v>
      </c>
      <c r="C202" s="30" t="s">
        <v>70</v>
      </c>
      <c r="D202" s="25">
        <v>1</v>
      </c>
      <c r="E202" s="25">
        <v>0</v>
      </c>
      <c r="F202" s="25">
        <v>0</v>
      </c>
      <c r="G202" s="25">
        <v>0</v>
      </c>
      <c r="H202" s="19">
        <v>57.34</v>
      </c>
      <c r="I202" s="19">
        <v>42.66</v>
      </c>
      <c r="J202" s="25">
        <v>7.474</v>
      </c>
      <c r="K202" s="25">
        <v>24.437</v>
      </c>
      <c r="L202" s="25">
        <f t="shared" si="31"/>
        <v>31.911</v>
      </c>
      <c r="M202" s="25">
        <v>31.271</v>
      </c>
      <c r="N202" s="25">
        <v>12.686</v>
      </c>
      <c r="O202" s="25">
        <v>11.568</v>
      </c>
      <c r="P202" s="25">
        <f t="shared" si="32"/>
        <v>55.525</v>
      </c>
      <c r="Q202" s="25">
        <v>11.929</v>
      </c>
      <c r="R202" s="19">
        <v>0.635</v>
      </c>
      <c r="S202" s="19">
        <f t="shared" si="33"/>
        <v>12.564</v>
      </c>
      <c r="T202" s="19">
        <v>69</v>
      </c>
      <c r="U202" s="19">
        <f t="shared" si="34"/>
        <v>0.249097472924188</v>
      </c>
      <c r="V202" s="19">
        <v>61</v>
      </c>
      <c r="W202" s="19">
        <f t="shared" si="35"/>
        <v>0.220216606498195</v>
      </c>
      <c r="X202" s="19">
        <v>147</v>
      </c>
      <c r="Y202" s="14">
        <f t="shared" si="36"/>
        <v>0.530685920577617</v>
      </c>
      <c r="Z202" s="14">
        <v>277</v>
      </c>
      <c r="AA202" s="25">
        <v>0.8</v>
      </c>
      <c r="AB202" s="25">
        <v>2.6</v>
      </c>
      <c r="AC202" s="25">
        <v>9.6</v>
      </c>
      <c r="AD202" s="25">
        <v>2.3</v>
      </c>
      <c r="AE202" s="25">
        <v>3.6</v>
      </c>
      <c r="AF202" s="25">
        <v>5.1</v>
      </c>
      <c r="AG202" s="25">
        <v>0.9</v>
      </c>
      <c r="AH202" s="25">
        <v>2.8</v>
      </c>
      <c r="AI202" s="25">
        <v>2.1</v>
      </c>
      <c r="AJ202" s="25">
        <v>1.3</v>
      </c>
      <c r="AK202" s="25">
        <f t="shared" si="37"/>
        <v>12.2</v>
      </c>
      <c r="AL202" s="25">
        <v>2.1</v>
      </c>
      <c r="AM202" s="25">
        <v>0.4</v>
      </c>
      <c r="AN202" s="19">
        <v>0.3</v>
      </c>
      <c r="AO202" s="25">
        <v>0.8</v>
      </c>
      <c r="AP202" s="25">
        <f t="shared" si="38"/>
        <v>3.6</v>
      </c>
      <c r="AQ202" s="25">
        <v>1</v>
      </c>
      <c r="AR202" s="25">
        <v>8.7</v>
      </c>
      <c r="AS202" s="25">
        <v>5.8</v>
      </c>
      <c r="AT202" s="25">
        <v>15.3</v>
      </c>
      <c r="AU202" s="25">
        <f t="shared" si="39"/>
        <v>30.8</v>
      </c>
      <c r="AV202" s="25">
        <v>1.6</v>
      </c>
      <c r="AW202" s="19">
        <v>168.95</v>
      </c>
      <c r="AX202" s="25">
        <v>262.629</v>
      </c>
      <c r="AY202" s="19">
        <v>431.579</v>
      </c>
      <c r="AZ202" s="25">
        <v>114.834</v>
      </c>
      <c r="BA202" s="25">
        <v>452.129</v>
      </c>
      <c r="BB202" s="25">
        <v>566.963</v>
      </c>
      <c r="BC202" s="25">
        <f t="shared" si="30"/>
        <v>0.594011782031223</v>
      </c>
    </row>
    <row r="203" ht="14" spans="1:55">
      <c r="A203" s="29">
        <v>2022</v>
      </c>
      <c r="B203" s="29">
        <v>630000</v>
      </c>
      <c r="C203" s="30" t="s">
        <v>70</v>
      </c>
      <c r="D203" s="25">
        <v>1</v>
      </c>
      <c r="E203" s="25">
        <v>0</v>
      </c>
      <c r="F203" s="25">
        <v>0</v>
      </c>
      <c r="G203" s="25">
        <v>0</v>
      </c>
      <c r="H203" s="19">
        <v>56.911</v>
      </c>
      <c r="I203" s="19">
        <v>43.089</v>
      </c>
      <c r="J203" s="25">
        <v>7.071</v>
      </c>
      <c r="K203" s="25">
        <v>26.285</v>
      </c>
      <c r="L203" s="25">
        <f t="shared" si="31"/>
        <v>33.356</v>
      </c>
      <c r="M203" s="25">
        <v>28.705</v>
      </c>
      <c r="N203" s="25">
        <v>11.146</v>
      </c>
      <c r="O203" s="25">
        <v>11.52</v>
      </c>
      <c r="P203" s="25">
        <f t="shared" si="32"/>
        <v>51.371</v>
      </c>
      <c r="Q203" s="25">
        <v>14.374</v>
      </c>
      <c r="R203" s="19">
        <v>0.9</v>
      </c>
      <c r="S203" s="19">
        <f t="shared" si="33"/>
        <v>15.274</v>
      </c>
      <c r="T203" s="19">
        <v>72</v>
      </c>
      <c r="U203" s="19">
        <f t="shared" si="34"/>
        <v>0.28125</v>
      </c>
      <c r="V203" s="19">
        <v>55</v>
      </c>
      <c r="W203" s="19">
        <f t="shared" si="35"/>
        <v>0.21484375</v>
      </c>
      <c r="X203" s="19">
        <v>129</v>
      </c>
      <c r="Y203" s="14">
        <f t="shared" si="36"/>
        <v>0.50390625</v>
      </c>
      <c r="Z203" s="14">
        <v>256</v>
      </c>
      <c r="AA203" s="25">
        <v>0.8</v>
      </c>
      <c r="AB203" s="25">
        <v>2.6</v>
      </c>
      <c r="AC203" s="25">
        <v>10.2</v>
      </c>
      <c r="AD203" s="25">
        <v>2.4</v>
      </c>
      <c r="AE203" s="25">
        <v>3.3</v>
      </c>
      <c r="AF203" s="25">
        <v>4.8</v>
      </c>
      <c r="AG203" s="25">
        <v>1</v>
      </c>
      <c r="AH203" s="25">
        <v>2.6</v>
      </c>
      <c r="AI203" s="25">
        <v>1.9</v>
      </c>
      <c r="AJ203" s="25">
        <v>1.3</v>
      </c>
      <c r="AK203" s="25">
        <f t="shared" si="37"/>
        <v>11.6</v>
      </c>
      <c r="AL203" s="25">
        <v>2.1</v>
      </c>
      <c r="AM203" s="25">
        <v>0.4</v>
      </c>
      <c r="AN203" s="19">
        <v>0.2</v>
      </c>
      <c r="AO203" s="25">
        <v>0.7</v>
      </c>
      <c r="AP203" s="25">
        <f t="shared" si="38"/>
        <v>3.4</v>
      </c>
      <c r="AQ203" s="25">
        <v>0.9</v>
      </c>
      <c r="AR203" s="25">
        <v>8.4</v>
      </c>
      <c r="AS203" s="25">
        <v>5.7</v>
      </c>
      <c r="AT203" s="25">
        <v>14.7</v>
      </c>
      <c r="AU203" s="25">
        <f t="shared" si="39"/>
        <v>29.7</v>
      </c>
      <c r="AV203" s="25">
        <v>1.7</v>
      </c>
      <c r="AW203" s="19">
        <v>175.82</v>
      </c>
      <c r="AX203" s="25">
        <v>263.04</v>
      </c>
      <c r="AY203" s="19">
        <v>438.859</v>
      </c>
      <c r="AZ203" s="25">
        <v>116.306</v>
      </c>
      <c r="BA203" s="25">
        <v>443.319</v>
      </c>
      <c r="BB203" s="25">
        <v>559.625</v>
      </c>
      <c r="BC203" s="25">
        <f t="shared" si="30"/>
        <v>0.60845827159883</v>
      </c>
    </row>
    <row r="204" ht="14" spans="1:55">
      <c r="A204" s="29">
        <v>2013</v>
      </c>
      <c r="B204" s="29">
        <v>370000</v>
      </c>
      <c r="C204" s="30" t="s">
        <v>71</v>
      </c>
      <c r="D204" s="25">
        <v>0</v>
      </c>
      <c r="E204" s="25">
        <v>1</v>
      </c>
      <c r="F204" s="25">
        <v>0</v>
      </c>
      <c r="G204" s="25">
        <v>0</v>
      </c>
      <c r="H204" s="19">
        <v>50.1059999999998</v>
      </c>
      <c r="I204" s="19">
        <v>49.8940000000002</v>
      </c>
      <c r="J204" s="25">
        <v>1.997</v>
      </c>
      <c r="K204" s="25">
        <v>14.848</v>
      </c>
      <c r="L204" s="25">
        <f t="shared" si="31"/>
        <v>16.845</v>
      </c>
      <c r="M204" s="25">
        <v>47.544</v>
      </c>
      <c r="N204" s="25">
        <v>19.579</v>
      </c>
      <c r="O204" s="25">
        <v>9.372</v>
      </c>
      <c r="P204" s="25">
        <f t="shared" si="32"/>
        <v>76.495</v>
      </c>
      <c r="Q204" s="25">
        <v>6.179</v>
      </c>
      <c r="R204" s="19">
        <v>0.481</v>
      </c>
      <c r="S204" s="19">
        <f t="shared" si="33"/>
        <v>6.66</v>
      </c>
      <c r="T204" s="19">
        <v>1973.9</v>
      </c>
      <c r="U204" s="19">
        <f t="shared" si="34"/>
        <v>0.337996575342466</v>
      </c>
      <c r="V204" s="19">
        <v>1915.5</v>
      </c>
      <c r="W204" s="19">
        <f t="shared" si="35"/>
        <v>0.327996575342466</v>
      </c>
      <c r="X204" s="19">
        <v>1950.6</v>
      </c>
      <c r="Y204" s="14">
        <f t="shared" si="36"/>
        <v>0.334006849315068</v>
      </c>
      <c r="Z204" s="14">
        <v>5840</v>
      </c>
      <c r="AA204" s="25">
        <v>1.8</v>
      </c>
      <c r="AB204" s="25">
        <v>74.6</v>
      </c>
      <c r="AC204" s="25">
        <v>437.2</v>
      </c>
      <c r="AD204" s="25">
        <v>23.9</v>
      </c>
      <c r="AE204" s="25">
        <v>188.6</v>
      </c>
      <c r="AF204" s="25">
        <v>50.6</v>
      </c>
      <c r="AG204" s="25">
        <v>17.5</v>
      </c>
      <c r="AH204" s="25">
        <v>34.8</v>
      </c>
      <c r="AI204" s="25">
        <v>16.9</v>
      </c>
      <c r="AJ204" s="25">
        <v>20.8</v>
      </c>
      <c r="AK204" s="25">
        <f t="shared" si="37"/>
        <v>140.6</v>
      </c>
      <c r="AL204" s="25">
        <v>67.3</v>
      </c>
      <c r="AM204" s="25">
        <v>19.3</v>
      </c>
      <c r="AN204" s="19">
        <v>3.3</v>
      </c>
      <c r="AO204" s="25">
        <v>7.2</v>
      </c>
      <c r="AP204" s="25">
        <f t="shared" si="38"/>
        <v>97.1</v>
      </c>
      <c r="AQ204" s="25">
        <v>14.9</v>
      </c>
      <c r="AR204" s="25">
        <v>120.1</v>
      </c>
      <c r="AS204" s="25">
        <v>56.2</v>
      </c>
      <c r="AT204" s="25">
        <v>112.1</v>
      </c>
      <c r="AU204" s="25">
        <f t="shared" si="39"/>
        <v>303.3</v>
      </c>
      <c r="AV204" s="25">
        <v>23.7</v>
      </c>
      <c r="AW204" s="19">
        <v>2259.564</v>
      </c>
      <c r="AX204" s="25">
        <v>4512.808</v>
      </c>
      <c r="AY204" s="19">
        <v>6772.372</v>
      </c>
      <c r="AZ204" s="25">
        <v>1809.743</v>
      </c>
      <c r="BA204" s="25">
        <v>1838.193</v>
      </c>
      <c r="BB204" s="25">
        <v>3647.936</v>
      </c>
      <c r="BC204" s="25">
        <f t="shared" si="30"/>
        <v>0.829744935763463</v>
      </c>
    </row>
    <row r="205" ht="14" spans="1:55">
      <c r="A205" s="29">
        <v>2014</v>
      </c>
      <c r="B205" s="29">
        <v>370000</v>
      </c>
      <c r="C205" s="30" t="s">
        <v>71</v>
      </c>
      <c r="D205" s="25">
        <v>0</v>
      </c>
      <c r="E205" s="25">
        <v>1</v>
      </c>
      <c r="F205" s="25">
        <v>0</v>
      </c>
      <c r="G205" s="25">
        <v>0</v>
      </c>
      <c r="H205" s="19">
        <v>53.9</v>
      </c>
      <c r="I205" s="19">
        <v>46.1</v>
      </c>
      <c r="J205" s="25">
        <v>1.9</v>
      </c>
      <c r="K205" s="25">
        <v>16.7</v>
      </c>
      <c r="L205" s="25">
        <f t="shared" si="31"/>
        <v>18.6</v>
      </c>
      <c r="M205" s="25">
        <v>45.2</v>
      </c>
      <c r="N205" s="25">
        <v>18.8</v>
      </c>
      <c r="O205" s="25">
        <v>9.8</v>
      </c>
      <c r="P205" s="25">
        <f t="shared" si="32"/>
        <v>73.8</v>
      </c>
      <c r="Q205" s="25">
        <v>7</v>
      </c>
      <c r="R205" s="19">
        <v>0.5</v>
      </c>
      <c r="S205" s="19">
        <f t="shared" si="33"/>
        <v>7.5</v>
      </c>
      <c r="T205" s="19">
        <v>1878.6</v>
      </c>
      <c r="U205" s="19">
        <f t="shared" si="34"/>
        <v>0.324008278716799</v>
      </c>
      <c r="V205" s="19">
        <v>1919.1</v>
      </c>
      <c r="W205" s="19">
        <f t="shared" si="35"/>
        <v>0.330993446015867</v>
      </c>
      <c r="X205" s="19">
        <v>2000.3</v>
      </c>
      <c r="Y205" s="14">
        <f t="shared" si="36"/>
        <v>0.344998275267334</v>
      </c>
      <c r="Z205" s="14">
        <v>5798</v>
      </c>
      <c r="AA205" s="25">
        <v>1.7</v>
      </c>
      <c r="AB205" s="25">
        <v>71.2</v>
      </c>
      <c r="AC205" s="25">
        <v>425.8</v>
      </c>
      <c r="AD205" s="25">
        <v>23.7</v>
      </c>
      <c r="AE205" s="25">
        <v>177.5</v>
      </c>
      <c r="AF205" s="25">
        <v>49.7</v>
      </c>
      <c r="AG205" s="25">
        <v>17</v>
      </c>
      <c r="AH205" s="25">
        <v>38.8</v>
      </c>
      <c r="AI205" s="25">
        <v>18.4</v>
      </c>
      <c r="AJ205" s="25">
        <v>21.6</v>
      </c>
      <c r="AK205" s="25">
        <f t="shared" si="37"/>
        <v>145.5</v>
      </c>
      <c r="AL205" s="25">
        <v>62.8</v>
      </c>
      <c r="AM205" s="25">
        <v>15.6</v>
      </c>
      <c r="AN205" s="19">
        <v>3.1</v>
      </c>
      <c r="AO205" s="25">
        <v>7.1</v>
      </c>
      <c r="AP205" s="25">
        <f t="shared" si="38"/>
        <v>88.6</v>
      </c>
      <c r="AQ205" s="25">
        <v>16.8</v>
      </c>
      <c r="AR205" s="25">
        <v>120.3</v>
      </c>
      <c r="AS205" s="25">
        <v>58.7</v>
      </c>
      <c r="AT205" s="25">
        <v>111</v>
      </c>
      <c r="AU205" s="25">
        <f t="shared" si="39"/>
        <v>306.8</v>
      </c>
      <c r="AV205" s="25">
        <v>25.6</v>
      </c>
      <c r="AW205" s="19">
        <v>2370.2</v>
      </c>
      <c r="AX205" s="25">
        <v>4539.9</v>
      </c>
      <c r="AY205" s="19">
        <v>6910.1</v>
      </c>
      <c r="AZ205" s="25">
        <v>1860.2</v>
      </c>
      <c r="BA205" s="25">
        <v>2127.8</v>
      </c>
      <c r="BB205" s="25">
        <v>3988</v>
      </c>
      <c r="BC205" s="25">
        <f t="shared" si="30"/>
        <v>0.809454514394836</v>
      </c>
    </row>
    <row r="206" ht="14" spans="1:55">
      <c r="A206" s="29">
        <v>2015</v>
      </c>
      <c r="B206" s="29">
        <v>370000</v>
      </c>
      <c r="C206" s="30" t="s">
        <v>71</v>
      </c>
      <c r="D206" s="25">
        <v>0</v>
      </c>
      <c r="E206" s="25">
        <v>1</v>
      </c>
      <c r="F206" s="25">
        <v>0</v>
      </c>
      <c r="G206" s="25">
        <v>0</v>
      </c>
      <c r="H206" s="19">
        <v>57.694</v>
      </c>
      <c r="I206" s="19">
        <v>42.306</v>
      </c>
      <c r="J206" s="25">
        <v>2.712</v>
      </c>
      <c r="K206" s="25">
        <v>13.989</v>
      </c>
      <c r="L206" s="25">
        <f t="shared" si="31"/>
        <v>16.701</v>
      </c>
      <c r="M206" s="25">
        <v>47.939</v>
      </c>
      <c r="N206" s="25">
        <v>13.076</v>
      </c>
      <c r="O206" s="25">
        <v>8.301</v>
      </c>
      <c r="P206" s="25">
        <f t="shared" si="32"/>
        <v>69.316</v>
      </c>
      <c r="Q206" s="25">
        <v>5.9</v>
      </c>
      <c r="R206" s="19">
        <v>0.545</v>
      </c>
      <c r="S206" s="19">
        <f t="shared" si="33"/>
        <v>6.445</v>
      </c>
      <c r="T206" s="19">
        <v>1795.4</v>
      </c>
      <c r="U206" s="19">
        <f t="shared" si="34"/>
        <v>0.310999480339512</v>
      </c>
      <c r="V206" s="19">
        <v>1922.4</v>
      </c>
      <c r="W206" s="19">
        <f t="shared" si="35"/>
        <v>0.332998441018535</v>
      </c>
      <c r="X206" s="19">
        <v>2055.2</v>
      </c>
      <c r="Y206" s="14">
        <f t="shared" si="36"/>
        <v>0.356002078641954</v>
      </c>
      <c r="Z206" s="14">
        <v>5773</v>
      </c>
      <c r="AA206" s="25">
        <v>1.7</v>
      </c>
      <c r="AB206" s="25">
        <v>64.5</v>
      </c>
      <c r="AC206" s="25">
        <v>417.5</v>
      </c>
      <c r="AD206" s="25">
        <v>23.5</v>
      </c>
      <c r="AE206" s="25">
        <v>163.7</v>
      </c>
      <c r="AF206" s="25">
        <v>48.4</v>
      </c>
      <c r="AG206" s="25">
        <v>17.4</v>
      </c>
      <c r="AH206" s="25">
        <v>41.6</v>
      </c>
      <c r="AI206" s="25">
        <v>18</v>
      </c>
      <c r="AJ206" s="25">
        <v>21.5</v>
      </c>
      <c r="AK206" s="25">
        <f t="shared" si="37"/>
        <v>146.9</v>
      </c>
      <c r="AL206" s="25">
        <v>59.9</v>
      </c>
      <c r="AM206" s="25">
        <v>14</v>
      </c>
      <c r="AN206" s="19">
        <v>3.1</v>
      </c>
      <c r="AO206" s="25">
        <v>7</v>
      </c>
      <c r="AP206" s="25">
        <f t="shared" si="38"/>
        <v>84</v>
      </c>
      <c r="AQ206" s="25">
        <v>18.3</v>
      </c>
      <c r="AR206" s="25">
        <v>117.2</v>
      </c>
      <c r="AS206" s="25">
        <v>60.7</v>
      </c>
      <c r="AT206" s="25">
        <v>112.8</v>
      </c>
      <c r="AU206" s="25">
        <f t="shared" si="39"/>
        <v>309</v>
      </c>
      <c r="AV206" s="25">
        <v>26.1</v>
      </c>
      <c r="AW206" s="19">
        <v>2477.458</v>
      </c>
      <c r="AX206" s="25">
        <v>4534.317</v>
      </c>
      <c r="AY206" s="19">
        <v>7011.775</v>
      </c>
      <c r="AZ206" s="25">
        <v>1904.375</v>
      </c>
      <c r="BA206" s="25">
        <v>7331.396</v>
      </c>
      <c r="BB206" s="25">
        <v>9235.772</v>
      </c>
      <c r="BC206" s="25">
        <f t="shared" si="30"/>
        <v>0.559523763439093</v>
      </c>
    </row>
    <row r="207" ht="14" spans="1:55">
      <c r="A207" s="29">
        <v>2016</v>
      </c>
      <c r="B207" s="29">
        <v>370000</v>
      </c>
      <c r="C207" s="30" t="s">
        <v>71</v>
      </c>
      <c r="D207" s="25">
        <v>0</v>
      </c>
      <c r="E207" s="25">
        <v>1</v>
      </c>
      <c r="F207" s="25">
        <v>0</v>
      </c>
      <c r="G207" s="25">
        <v>0</v>
      </c>
      <c r="H207" s="19">
        <v>56.865</v>
      </c>
      <c r="I207" s="19">
        <v>43.135</v>
      </c>
      <c r="J207" s="25">
        <v>2.513</v>
      </c>
      <c r="K207" s="25">
        <v>14.29</v>
      </c>
      <c r="L207" s="25">
        <f t="shared" si="31"/>
        <v>16.803</v>
      </c>
      <c r="M207" s="25">
        <v>48.141</v>
      </c>
      <c r="N207" s="25">
        <v>12.168</v>
      </c>
      <c r="O207" s="25">
        <v>8.426</v>
      </c>
      <c r="P207" s="25">
        <f t="shared" si="32"/>
        <v>68.735</v>
      </c>
      <c r="Q207" s="25">
        <v>6.167</v>
      </c>
      <c r="R207" s="19">
        <v>0.589</v>
      </c>
      <c r="S207" s="19">
        <f t="shared" si="33"/>
        <v>6.756</v>
      </c>
      <c r="T207" s="19">
        <v>1706.9</v>
      </c>
      <c r="U207" s="19">
        <f t="shared" si="34"/>
        <v>0.297992318435754</v>
      </c>
      <c r="V207" s="19">
        <v>1907.4</v>
      </c>
      <c r="W207" s="19">
        <f t="shared" si="35"/>
        <v>0.332995810055866</v>
      </c>
      <c r="X207" s="19">
        <v>2113.6</v>
      </c>
      <c r="Y207" s="14">
        <f t="shared" si="36"/>
        <v>0.368994413407821</v>
      </c>
      <c r="Z207" s="14">
        <v>5728</v>
      </c>
      <c r="AA207" s="25">
        <v>1.6</v>
      </c>
      <c r="AB207" s="25">
        <v>57.4</v>
      </c>
      <c r="AC207" s="25">
        <v>403.2</v>
      </c>
      <c r="AD207" s="25">
        <v>23.1</v>
      </c>
      <c r="AE207" s="25">
        <v>160.3</v>
      </c>
      <c r="AF207" s="25">
        <v>49.4</v>
      </c>
      <c r="AG207" s="25">
        <v>18.2</v>
      </c>
      <c r="AH207" s="25">
        <v>45.4</v>
      </c>
      <c r="AI207" s="25">
        <v>17.8</v>
      </c>
      <c r="AJ207" s="25">
        <v>20.7</v>
      </c>
      <c r="AK207" s="25">
        <f t="shared" si="37"/>
        <v>151.5</v>
      </c>
      <c r="AL207" s="25">
        <v>57.1</v>
      </c>
      <c r="AM207" s="25">
        <v>14.2</v>
      </c>
      <c r="AN207" s="19">
        <v>3.2</v>
      </c>
      <c r="AO207" s="25">
        <v>7</v>
      </c>
      <c r="AP207" s="25">
        <f t="shared" si="38"/>
        <v>81.5</v>
      </c>
      <c r="AQ207" s="25">
        <v>17.6</v>
      </c>
      <c r="AR207" s="25">
        <v>117.2</v>
      </c>
      <c r="AS207" s="25">
        <v>62.5</v>
      </c>
      <c r="AT207" s="25">
        <v>112.8</v>
      </c>
      <c r="AU207" s="25">
        <f t="shared" si="39"/>
        <v>310.1</v>
      </c>
      <c r="AV207" s="25">
        <v>26.8</v>
      </c>
      <c r="AW207" s="19">
        <v>2576.385</v>
      </c>
      <c r="AX207" s="25">
        <v>4538.638</v>
      </c>
      <c r="AY207" s="19">
        <v>7115.023</v>
      </c>
      <c r="AZ207" s="25">
        <v>1960.04</v>
      </c>
      <c r="BA207" s="25">
        <v>7228.751</v>
      </c>
      <c r="BB207" s="25">
        <v>9188.791</v>
      </c>
      <c r="BC207" s="25">
        <f t="shared" ref="BC207:BC270" si="40">AW207/AY207+AZ207/BB207</f>
        <v>0.575412657014327</v>
      </c>
    </row>
    <row r="208" ht="14" spans="1:55">
      <c r="A208" s="29">
        <v>2017</v>
      </c>
      <c r="B208" s="29">
        <v>370000</v>
      </c>
      <c r="C208" s="30" t="s">
        <v>71</v>
      </c>
      <c r="D208" s="25">
        <v>0</v>
      </c>
      <c r="E208" s="25">
        <v>1</v>
      </c>
      <c r="F208" s="25">
        <v>0</v>
      </c>
      <c r="G208" s="25">
        <v>0</v>
      </c>
      <c r="H208" s="19">
        <v>56.368</v>
      </c>
      <c r="I208" s="19">
        <v>43.632</v>
      </c>
      <c r="J208" s="25">
        <v>2.446</v>
      </c>
      <c r="K208" s="25">
        <v>14.648</v>
      </c>
      <c r="L208" s="25">
        <f t="shared" si="31"/>
        <v>17.094</v>
      </c>
      <c r="M208" s="25">
        <v>46.52</v>
      </c>
      <c r="N208" s="25">
        <v>12.536</v>
      </c>
      <c r="O208" s="25">
        <v>8.463</v>
      </c>
      <c r="P208" s="25">
        <f t="shared" si="32"/>
        <v>67.519</v>
      </c>
      <c r="Q208" s="25">
        <v>6.548</v>
      </c>
      <c r="R208" s="19">
        <v>0.633</v>
      </c>
      <c r="S208" s="19">
        <f t="shared" si="33"/>
        <v>7.181</v>
      </c>
      <c r="T208" s="19">
        <v>1622.5</v>
      </c>
      <c r="U208" s="19">
        <f t="shared" si="34"/>
        <v>0.284999121728438</v>
      </c>
      <c r="V208" s="19">
        <v>1907.2</v>
      </c>
      <c r="W208" s="19">
        <f t="shared" si="35"/>
        <v>0.335007904444054</v>
      </c>
      <c r="X208" s="19">
        <v>2163.3</v>
      </c>
      <c r="Y208" s="14">
        <f t="shared" si="36"/>
        <v>0.379992973827508</v>
      </c>
      <c r="Z208" s="14">
        <v>5693</v>
      </c>
      <c r="AA208" s="25">
        <v>1.4</v>
      </c>
      <c r="AB208" s="25">
        <v>51.3</v>
      </c>
      <c r="AC208" s="25">
        <v>383.2</v>
      </c>
      <c r="AD208" s="25">
        <v>26.1</v>
      </c>
      <c r="AE208" s="25">
        <v>159.9</v>
      </c>
      <c r="AF208" s="25">
        <v>47.7</v>
      </c>
      <c r="AG208" s="25">
        <v>18.9</v>
      </c>
      <c r="AH208" s="25">
        <v>46.1</v>
      </c>
      <c r="AI208" s="25">
        <v>18.3</v>
      </c>
      <c r="AJ208" s="25">
        <v>21.8</v>
      </c>
      <c r="AK208" s="25">
        <f t="shared" si="37"/>
        <v>152.8</v>
      </c>
      <c r="AL208" s="25">
        <v>52.7</v>
      </c>
      <c r="AM208" s="25">
        <v>14.1</v>
      </c>
      <c r="AN208" s="19">
        <v>3.1</v>
      </c>
      <c r="AO208" s="25">
        <v>7.1</v>
      </c>
      <c r="AP208" s="25">
        <f t="shared" si="38"/>
        <v>77</v>
      </c>
      <c r="AQ208" s="25">
        <v>18.1</v>
      </c>
      <c r="AR208" s="25">
        <v>116.6</v>
      </c>
      <c r="AS208" s="25">
        <v>64.2</v>
      </c>
      <c r="AT208" s="25">
        <v>116.2</v>
      </c>
      <c r="AU208" s="25">
        <f t="shared" si="39"/>
        <v>315.1</v>
      </c>
      <c r="AV208" s="25">
        <v>26.1</v>
      </c>
      <c r="AW208" s="19">
        <v>2660.939</v>
      </c>
      <c r="AX208" s="25">
        <v>4530.64</v>
      </c>
      <c r="AY208" s="19">
        <v>7191.578</v>
      </c>
      <c r="AZ208" s="25">
        <v>2013.097</v>
      </c>
      <c r="BA208" s="25">
        <v>7282.588</v>
      </c>
      <c r="BB208" s="25">
        <v>9295.685</v>
      </c>
      <c r="BC208" s="25">
        <f t="shared" si="40"/>
        <v>0.586570190666282</v>
      </c>
    </row>
    <row r="209" ht="14" spans="1:55">
      <c r="A209" s="29">
        <v>2018</v>
      </c>
      <c r="B209" s="29">
        <v>370000</v>
      </c>
      <c r="C209" s="30" t="s">
        <v>71</v>
      </c>
      <c r="D209" s="25">
        <v>0</v>
      </c>
      <c r="E209" s="25">
        <v>1</v>
      </c>
      <c r="F209" s="25">
        <v>0</v>
      </c>
      <c r="G209" s="25">
        <v>0</v>
      </c>
      <c r="H209" s="19">
        <v>56.071</v>
      </c>
      <c r="I209" s="19">
        <v>43.929</v>
      </c>
      <c r="J209" s="25">
        <v>2.258</v>
      </c>
      <c r="K209" s="25">
        <v>14.24</v>
      </c>
      <c r="L209" s="25">
        <f t="shared" si="31"/>
        <v>16.498</v>
      </c>
      <c r="M209" s="25">
        <v>46.389</v>
      </c>
      <c r="N209" s="25">
        <v>12.278</v>
      </c>
      <c r="O209" s="25">
        <v>8.786</v>
      </c>
      <c r="P209" s="25">
        <f t="shared" si="32"/>
        <v>67.453</v>
      </c>
      <c r="Q209" s="25">
        <v>6.784</v>
      </c>
      <c r="R209" s="19">
        <v>0.762</v>
      </c>
      <c r="S209" s="19">
        <f t="shared" si="33"/>
        <v>7.546</v>
      </c>
      <c r="T209" s="19">
        <v>1534.5</v>
      </c>
      <c r="U209" s="19">
        <f t="shared" si="34"/>
        <v>0.272994129158513</v>
      </c>
      <c r="V209" s="19">
        <v>1877.4</v>
      </c>
      <c r="W209" s="19">
        <f t="shared" si="35"/>
        <v>0.333997509339975</v>
      </c>
      <c r="X209" s="19">
        <v>2209.1</v>
      </c>
      <c r="Y209" s="14">
        <f t="shared" si="36"/>
        <v>0.393008361501512</v>
      </c>
      <c r="Z209" s="14">
        <v>5621</v>
      </c>
      <c r="AA209" s="25">
        <v>0.7</v>
      </c>
      <c r="AB209" s="25">
        <v>40.3</v>
      </c>
      <c r="AC209" s="25">
        <v>341.9</v>
      </c>
      <c r="AD209" s="25">
        <v>25.6</v>
      </c>
      <c r="AE209" s="25">
        <v>159.1</v>
      </c>
      <c r="AF209" s="25">
        <v>47.6</v>
      </c>
      <c r="AG209" s="25">
        <v>18</v>
      </c>
      <c r="AH209" s="25">
        <v>46.5</v>
      </c>
      <c r="AI209" s="25">
        <v>17.3</v>
      </c>
      <c r="AJ209" s="25">
        <v>17.7</v>
      </c>
      <c r="AK209" s="25">
        <f t="shared" si="37"/>
        <v>147.1</v>
      </c>
      <c r="AL209" s="25">
        <v>49.9</v>
      </c>
      <c r="AM209" s="25">
        <v>12.3</v>
      </c>
      <c r="AN209" s="19">
        <v>2.9</v>
      </c>
      <c r="AO209" s="25">
        <v>7.1</v>
      </c>
      <c r="AP209" s="25">
        <f t="shared" si="38"/>
        <v>72.2</v>
      </c>
      <c r="AQ209" s="25">
        <v>20.4</v>
      </c>
      <c r="AR209" s="25">
        <v>113</v>
      </c>
      <c r="AS209" s="25">
        <v>65.7</v>
      </c>
      <c r="AT209" s="25">
        <v>117.7</v>
      </c>
      <c r="AU209" s="25">
        <f t="shared" si="39"/>
        <v>316.8</v>
      </c>
      <c r="AV209" s="25">
        <v>25.3</v>
      </c>
      <c r="AW209" s="19">
        <v>2762.672</v>
      </c>
      <c r="AX209" s="25">
        <v>4551.91</v>
      </c>
      <c r="AY209" s="19">
        <v>7314.582</v>
      </c>
      <c r="AZ209" s="25">
        <v>2072.144</v>
      </c>
      <c r="BA209" s="25">
        <v>7364.927</v>
      </c>
      <c r="BB209" s="25">
        <v>9437.071</v>
      </c>
      <c r="BC209" s="25">
        <f t="shared" si="40"/>
        <v>0.597268671310616</v>
      </c>
    </row>
    <row r="210" ht="14" spans="1:55">
      <c r="A210" s="29">
        <v>2019</v>
      </c>
      <c r="B210" s="29">
        <v>370000</v>
      </c>
      <c r="C210" s="30" t="s">
        <v>71</v>
      </c>
      <c r="D210" s="25">
        <v>0</v>
      </c>
      <c r="E210" s="25">
        <v>1</v>
      </c>
      <c r="F210" s="25">
        <v>0</v>
      </c>
      <c r="G210" s="25">
        <v>0</v>
      </c>
      <c r="H210" s="19">
        <v>57</v>
      </c>
      <c r="I210" s="19">
        <v>43</v>
      </c>
      <c r="J210" s="25">
        <v>2.3</v>
      </c>
      <c r="K210" s="25">
        <v>14.2</v>
      </c>
      <c r="L210" s="25">
        <f t="shared" si="31"/>
        <v>16.5</v>
      </c>
      <c r="M210" s="25">
        <v>44.4</v>
      </c>
      <c r="N210" s="25">
        <v>19.7</v>
      </c>
      <c r="O210" s="25">
        <v>10.1</v>
      </c>
      <c r="P210" s="25">
        <f t="shared" si="32"/>
        <v>74.2</v>
      </c>
      <c r="Q210" s="25">
        <v>8.3</v>
      </c>
      <c r="R210" s="19">
        <v>0.9</v>
      </c>
      <c r="S210" s="19">
        <f t="shared" si="33"/>
        <v>9.2</v>
      </c>
      <c r="T210" s="19">
        <v>1445.9</v>
      </c>
      <c r="U210" s="19">
        <f t="shared" si="34"/>
        <v>0.260007192950908</v>
      </c>
      <c r="V210" s="19">
        <v>1851.8</v>
      </c>
      <c r="W210" s="19">
        <f t="shared" si="35"/>
        <v>0.332997662290955</v>
      </c>
      <c r="X210" s="19">
        <v>2263.3</v>
      </c>
      <c r="Y210" s="14">
        <f t="shared" si="36"/>
        <v>0.406995144758137</v>
      </c>
      <c r="Z210" s="14">
        <v>5561</v>
      </c>
      <c r="AA210" s="25">
        <v>1.2</v>
      </c>
      <c r="AB210" s="25">
        <v>29.7</v>
      </c>
      <c r="AC210" s="25">
        <v>271.7</v>
      </c>
      <c r="AD210" s="25">
        <v>27.9</v>
      </c>
      <c r="AE210" s="25">
        <v>150.5</v>
      </c>
      <c r="AF210" s="25">
        <v>44.7</v>
      </c>
      <c r="AG210" s="25">
        <v>17.3</v>
      </c>
      <c r="AH210" s="25">
        <v>55.6</v>
      </c>
      <c r="AI210" s="25">
        <v>18.2</v>
      </c>
      <c r="AJ210" s="25">
        <v>22.9</v>
      </c>
      <c r="AK210" s="25">
        <f t="shared" si="37"/>
        <v>158.7</v>
      </c>
      <c r="AL210" s="25">
        <v>46.7</v>
      </c>
      <c r="AM210" s="25">
        <v>11.6</v>
      </c>
      <c r="AN210" s="19">
        <v>3.3</v>
      </c>
      <c r="AO210" s="25">
        <v>6.9</v>
      </c>
      <c r="AP210" s="25">
        <f t="shared" si="38"/>
        <v>68.5</v>
      </c>
      <c r="AQ210" s="25">
        <v>17.8</v>
      </c>
      <c r="AR210" s="25">
        <v>121.4</v>
      </c>
      <c r="AS210" s="25">
        <v>70.6</v>
      </c>
      <c r="AT210" s="25">
        <v>128</v>
      </c>
      <c r="AU210" s="25">
        <f t="shared" si="39"/>
        <v>337.8</v>
      </c>
      <c r="AV210" s="25">
        <v>26</v>
      </c>
      <c r="AW210" s="19">
        <v>2868</v>
      </c>
      <c r="AX210" s="25">
        <v>4560.3</v>
      </c>
      <c r="AY210" s="19">
        <v>7428.3</v>
      </c>
      <c r="AZ210" s="25">
        <v>2173.8</v>
      </c>
      <c r="BA210" s="25">
        <v>7395.8</v>
      </c>
      <c r="BB210" s="25">
        <v>9569.6</v>
      </c>
      <c r="BC210" s="25">
        <f t="shared" si="40"/>
        <v>0.613247860210727</v>
      </c>
    </row>
    <row r="211" ht="14" spans="1:55">
      <c r="A211" s="29">
        <v>2020</v>
      </c>
      <c r="B211" s="29">
        <v>370000</v>
      </c>
      <c r="C211" s="30" t="s">
        <v>71</v>
      </c>
      <c r="D211" s="25">
        <v>0</v>
      </c>
      <c r="E211" s="25">
        <v>1</v>
      </c>
      <c r="F211" s="25">
        <v>0</v>
      </c>
      <c r="G211" s="25">
        <v>0</v>
      </c>
      <c r="H211" s="19">
        <v>55.9</v>
      </c>
      <c r="I211" s="19">
        <v>44.1</v>
      </c>
      <c r="J211" s="25">
        <v>3.8</v>
      </c>
      <c r="K211" s="25">
        <v>14.9</v>
      </c>
      <c r="L211" s="25">
        <f t="shared" si="31"/>
        <v>18.7</v>
      </c>
      <c r="M211" s="25">
        <v>45</v>
      </c>
      <c r="N211" s="25">
        <v>17.6</v>
      </c>
      <c r="O211" s="25">
        <v>9.8</v>
      </c>
      <c r="P211" s="25">
        <f t="shared" si="32"/>
        <v>72.4</v>
      </c>
      <c r="Q211" s="25">
        <v>7.9</v>
      </c>
      <c r="R211" s="19">
        <v>1</v>
      </c>
      <c r="S211" s="19">
        <f t="shared" si="33"/>
        <v>8.9</v>
      </c>
      <c r="T211" s="19">
        <v>1373</v>
      </c>
      <c r="U211" s="19">
        <f t="shared" si="34"/>
        <v>0.249183303085299</v>
      </c>
      <c r="V211" s="19">
        <v>1838</v>
      </c>
      <c r="W211" s="19">
        <f t="shared" si="35"/>
        <v>0.333575317604356</v>
      </c>
      <c r="X211" s="19">
        <v>2299</v>
      </c>
      <c r="Y211" s="14">
        <f t="shared" si="36"/>
        <v>0.417241379310345</v>
      </c>
      <c r="Z211" s="14">
        <v>5510</v>
      </c>
      <c r="AA211" s="25">
        <v>1.3</v>
      </c>
      <c r="AB211" s="25">
        <v>28.5</v>
      </c>
      <c r="AC211" s="25">
        <v>273.3</v>
      </c>
      <c r="AD211" s="25">
        <v>28.3</v>
      </c>
      <c r="AE211" s="25">
        <v>139.6</v>
      </c>
      <c r="AF211" s="25">
        <v>47.6</v>
      </c>
      <c r="AG211" s="25">
        <v>19.9</v>
      </c>
      <c r="AH211" s="25">
        <v>65.7</v>
      </c>
      <c r="AI211" s="25">
        <v>20.5</v>
      </c>
      <c r="AJ211" s="25">
        <v>23.5</v>
      </c>
      <c r="AK211" s="25">
        <f t="shared" si="37"/>
        <v>177.2</v>
      </c>
      <c r="AL211" s="25">
        <v>44.4</v>
      </c>
      <c r="AM211" s="25">
        <v>11.3</v>
      </c>
      <c r="AN211" s="19">
        <v>3</v>
      </c>
      <c r="AO211" s="25">
        <v>7.5</v>
      </c>
      <c r="AP211" s="25">
        <f t="shared" si="38"/>
        <v>66.2</v>
      </c>
      <c r="AQ211" s="25">
        <v>17.7</v>
      </c>
      <c r="AR211" s="25">
        <v>129.1</v>
      </c>
      <c r="AS211" s="25">
        <v>73</v>
      </c>
      <c r="AT211" s="25">
        <v>136.5</v>
      </c>
      <c r="AU211" s="25">
        <f t="shared" si="39"/>
        <v>356.3</v>
      </c>
      <c r="AV211" s="25">
        <v>27.6</v>
      </c>
      <c r="AW211" s="19">
        <v>3046.3</v>
      </c>
      <c r="AX211" s="25">
        <v>4590.4</v>
      </c>
      <c r="AY211" s="19">
        <v>7636.7</v>
      </c>
      <c r="AZ211" s="25">
        <v>2323.3</v>
      </c>
      <c r="BA211" s="25">
        <v>7374.5</v>
      </c>
      <c r="BB211" s="25">
        <v>9697.8</v>
      </c>
      <c r="BC211" s="25">
        <f t="shared" si="40"/>
        <v>0.63847246671844</v>
      </c>
    </row>
    <row r="212" ht="14" spans="1:55">
      <c r="A212" s="29">
        <v>2021</v>
      </c>
      <c r="B212" s="29">
        <v>370000</v>
      </c>
      <c r="C212" s="30" t="s">
        <v>71</v>
      </c>
      <c r="D212" s="25">
        <v>0</v>
      </c>
      <c r="E212" s="25">
        <v>1</v>
      </c>
      <c r="F212" s="25">
        <v>0</v>
      </c>
      <c r="G212" s="25">
        <v>0</v>
      </c>
      <c r="H212" s="19">
        <v>55.555</v>
      </c>
      <c r="I212" s="19">
        <v>44.445</v>
      </c>
      <c r="J212" s="25">
        <v>2.483</v>
      </c>
      <c r="K212" s="25">
        <v>14.208</v>
      </c>
      <c r="L212" s="25">
        <f t="shared" si="31"/>
        <v>16.691</v>
      </c>
      <c r="M212" s="25">
        <v>44.407</v>
      </c>
      <c r="N212" s="25">
        <v>18.565</v>
      </c>
      <c r="O212" s="25">
        <v>10.447</v>
      </c>
      <c r="P212" s="25">
        <f t="shared" si="32"/>
        <v>73.419</v>
      </c>
      <c r="Q212" s="25">
        <v>8.747</v>
      </c>
      <c r="R212" s="19">
        <v>1.145</v>
      </c>
      <c r="S212" s="19">
        <f t="shared" si="33"/>
        <v>9.892</v>
      </c>
      <c r="T212" s="19">
        <v>1316</v>
      </c>
      <c r="U212" s="19">
        <f t="shared" si="34"/>
        <v>0.240365296803653</v>
      </c>
      <c r="V212" s="19">
        <v>1850</v>
      </c>
      <c r="W212" s="19">
        <f t="shared" si="35"/>
        <v>0.337899543378995</v>
      </c>
      <c r="X212" s="19">
        <v>2309</v>
      </c>
      <c r="Y212" s="14">
        <f t="shared" si="36"/>
        <v>0.421735159817352</v>
      </c>
      <c r="Z212" s="14">
        <v>5475</v>
      </c>
      <c r="AA212" s="25">
        <v>1</v>
      </c>
      <c r="AB212" s="25">
        <v>27.5</v>
      </c>
      <c r="AC212" s="25">
        <v>276.3</v>
      </c>
      <c r="AD212" s="25">
        <v>28.4</v>
      </c>
      <c r="AE212" s="25">
        <v>139.3</v>
      </c>
      <c r="AF212" s="25">
        <v>45.5</v>
      </c>
      <c r="AG212" s="25">
        <v>21</v>
      </c>
      <c r="AH212" s="25">
        <v>65.9</v>
      </c>
      <c r="AI212" s="25">
        <v>22.6</v>
      </c>
      <c r="AJ212" s="25">
        <v>24.7</v>
      </c>
      <c r="AK212" s="25">
        <f t="shared" si="37"/>
        <v>179.7</v>
      </c>
      <c r="AL212" s="25">
        <v>44</v>
      </c>
      <c r="AM212" s="25">
        <v>11.9</v>
      </c>
      <c r="AN212" s="19">
        <v>3.5</v>
      </c>
      <c r="AO212" s="25">
        <v>8</v>
      </c>
      <c r="AP212" s="25">
        <f t="shared" si="38"/>
        <v>67.4</v>
      </c>
      <c r="AQ212" s="25">
        <v>15.8</v>
      </c>
      <c r="AR212" s="25">
        <v>133.5</v>
      </c>
      <c r="AS212" s="25">
        <v>76</v>
      </c>
      <c r="AT212" s="25">
        <v>134.9</v>
      </c>
      <c r="AU212" s="25">
        <f t="shared" si="39"/>
        <v>360.2</v>
      </c>
      <c r="AV212" s="25">
        <v>28.5</v>
      </c>
      <c r="AW212" s="19">
        <v>3226.708</v>
      </c>
      <c r="AX212" s="25">
        <v>4614.095</v>
      </c>
      <c r="AY212" s="19">
        <v>7840.803</v>
      </c>
      <c r="AZ212" s="25">
        <v>2435.645</v>
      </c>
      <c r="BA212" s="25">
        <v>7296.731</v>
      </c>
      <c r="BB212" s="25">
        <v>9732.376</v>
      </c>
      <c r="BC212" s="25">
        <f t="shared" si="40"/>
        <v>0.661789862681203</v>
      </c>
    </row>
    <row r="213" ht="14" spans="1:55">
      <c r="A213" s="29">
        <v>2022</v>
      </c>
      <c r="B213" s="29">
        <v>370000</v>
      </c>
      <c r="C213" s="30" t="s">
        <v>71</v>
      </c>
      <c r="D213" s="25">
        <v>0</v>
      </c>
      <c r="E213" s="25">
        <v>1</v>
      </c>
      <c r="F213" s="25">
        <v>0</v>
      </c>
      <c r="G213" s="25">
        <v>0</v>
      </c>
      <c r="H213" s="19">
        <v>56.341</v>
      </c>
      <c r="I213" s="19">
        <v>43.659</v>
      </c>
      <c r="J213" s="25">
        <v>2.69</v>
      </c>
      <c r="K213" s="25">
        <v>15.779</v>
      </c>
      <c r="L213" s="25">
        <f t="shared" si="31"/>
        <v>18.469</v>
      </c>
      <c r="M213" s="25">
        <v>42.65</v>
      </c>
      <c r="N213" s="25">
        <v>16.686</v>
      </c>
      <c r="O213" s="25">
        <v>10.863</v>
      </c>
      <c r="P213" s="25">
        <f t="shared" si="32"/>
        <v>70.199</v>
      </c>
      <c r="Q213" s="25">
        <v>10.127</v>
      </c>
      <c r="R213" s="19">
        <v>1.205</v>
      </c>
      <c r="S213" s="19">
        <f t="shared" si="33"/>
        <v>11.332</v>
      </c>
      <c r="T213" s="19">
        <v>1284</v>
      </c>
      <c r="U213" s="19">
        <f t="shared" si="34"/>
        <v>0.240539527913076</v>
      </c>
      <c r="V213" s="19">
        <v>1804</v>
      </c>
      <c r="W213" s="19">
        <f t="shared" si="35"/>
        <v>0.337954289996253</v>
      </c>
      <c r="X213" s="19">
        <v>2250</v>
      </c>
      <c r="Y213" s="14">
        <f t="shared" si="36"/>
        <v>0.421506182090671</v>
      </c>
      <c r="Z213" s="14">
        <v>5338</v>
      </c>
      <c r="AA213" s="25">
        <v>1.1</v>
      </c>
      <c r="AB213" s="25">
        <v>25.1</v>
      </c>
      <c r="AC213" s="25">
        <v>273.6</v>
      </c>
      <c r="AD213" s="25">
        <v>27.9</v>
      </c>
      <c r="AE213" s="25">
        <v>128.8</v>
      </c>
      <c r="AF213" s="25">
        <v>45.3</v>
      </c>
      <c r="AG213" s="25">
        <v>19.7</v>
      </c>
      <c r="AH213" s="25">
        <v>57.7</v>
      </c>
      <c r="AI213" s="25">
        <v>23.1</v>
      </c>
      <c r="AJ213" s="25">
        <v>25.8</v>
      </c>
      <c r="AK213" s="25">
        <f t="shared" si="37"/>
        <v>171.6</v>
      </c>
      <c r="AL213" s="25">
        <v>43.4</v>
      </c>
      <c r="AM213" s="25">
        <v>11.9</v>
      </c>
      <c r="AN213" s="19">
        <v>3.5</v>
      </c>
      <c r="AO213" s="25">
        <v>7.9</v>
      </c>
      <c r="AP213" s="25">
        <f t="shared" si="38"/>
        <v>66.7</v>
      </c>
      <c r="AQ213" s="25">
        <v>15.7</v>
      </c>
      <c r="AR213" s="25">
        <v>129.2</v>
      </c>
      <c r="AS213" s="25">
        <v>77.3</v>
      </c>
      <c r="AT213" s="25">
        <v>135.9</v>
      </c>
      <c r="AU213" s="25">
        <f t="shared" si="39"/>
        <v>358.1</v>
      </c>
      <c r="AV213" s="25">
        <v>28.7</v>
      </c>
      <c r="AW213" s="19">
        <v>3407.11599999998</v>
      </c>
      <c r="AX213" s="25">
        <v>4636.184</v>
      </c>
      <c r="AY213" s="19">
        <v>8044.90600000002</v>
      </c>
      <c r="AZ213" s="25">
        <v>2498.308</v>
      </c>
      <c r="BA213" s="25">
        <v>7134.794</v>
      </c>
      <c r="BB213" s="25">
        <v>9633.102</v>
      </c>
      <c r="BC213" s="25">
        <f t="shared" si="40"/>
        <v>0.68285837872413</v>
      </c>
    </row>
    <row r="214" ht="14" spans="1:55">
      <c r="A214" s="29">
        <v>2013</v>
      </c>
      <c r="B214" s="29">
        <v>140000</v>
      </c>
      <c r="C214" s="30" t="s">
        <v>72</v>
      </c>
      <c r="D214" s="25">
        <v>0</v>
      </c>
      <c r="E214" s="25">
        <v>0</v>
      </c>
      <c r="F214" s="25">
        <v>1</v>
      </c>
      <c r="G214" s="25">
        <v>0</v>
      </c>
      <c r="H214" s="19">
        <v>57.8090000000002</v>
      </c>
      <c r="I214" s="19">
        <v>42.1909999999998</v>
      </c>
      <c r="J214" s="25">
        <v>0.843</v>
      </c>
      <c r="K214" s="25">
        <v>10.377</v>
      </c>
      <c r="L214" s="25">
        <f t="shared" si="31"/>
        <v>11.22</v>
      </c>
      <c r="M214" s="25">
        <v>53.205</v>
      </c>
      <c r="N214" s="25">
        <v>20.283</v>
      </c>
      <c r="O214" s="25">
        <v>9.687</v>
      </c>
      <c r="P214" s="25">
        <f t="shared" si="32"/>
        <v>83.175</v>
      </c>
      <c r="Q214" s="25">
        <v>5.408</v>
      </c>
      <c r="R214" s="19">
        <v>0.198</v>
      </c>
      <c r="S214" s="19">
        <f t="shared" si="33"/>
        <v>5.606</v>
      </c>
      <c r="T214" s="19">
        <v>592</v>
      </c>
      <c r="U214" s="19">
        <f t="shared" si="34"/>
        <v>0.319137466307278</v>
      </c>
      <c r="V214" s="19">
        <v>536</v>
      </c>
      <c r="W214" s="19">
        <f t="shared" si="35"/>
        <v>0.288948787061995</v>
      </c>
      <c r="X214" s="19">
        <v>727</v>
      </c>
      <c r="Y214" s="14">
        <f t="shared" si="36"/>
        <v>0.391913746630728</v>
      </c>
      <c r="Z214" s="14">
        <v>1855</v>
      </c>
      <c r="AA214" s="25">
        <v>2.2</v>
      </c>
      <c r="AB214" s="25">
        <v>103</v>
      </c>
      <c r="AC214" s="25">
        <v>73.1</v>
      </c>
      <c r="AD214" s="25">
        <v>11.5</v>
      </c>
      <c r="AE214" s="25">
        <v>38.4</v>
      </c>
      <c r="AF214" s="25">
        <v>23.6</v>
      </c>
      <c r="AG214" s="25">
        <v>6</v>
      </c>
      <c r="AH214" s="25">
        <v>15.6</v>
      </c>
      <c r="AI214" s="25">
        <v>7</v>
      </c>
      <c r="AJ214" s="25">
        <v>7.3</v>
      </c>
      <c r="AK214" s="25">
        <f t="shared" si="37"/>
        <v>59.5</v>
      </c>
      <c r="AL214" s="25">
        <v>21.2</v>
      </c>
      <c r="AM214" s="25">
        <v>5.6</v>
      </c>
      <c r="AN214" s="19">
        <v>1.5</v>
      </c>
      <c r="AO214" s="25">
        <v>4.7</v>
      </c>
      <c r="AP214" s="25">
        <f t="shared" si="38"/>
        <v>33</v>
      </c>
      <c r="AQ214" s="25">
        <v>8.8</v>
      </c>
      <c r="AR214" s="25">
        <v>52.4</v>
      </c>
      <c r="AS214" s="25">
        <v>18.8</v>
      </c>
      <c r="AT214" s="25">
        <v>60.1</v>
      </c>
      <c r="AU214" s="25">
        <f t="shared" si="39"/>
        <v>140.1</v>
      </c>
      <c r="AV214" s="25">
        <v>3.2</v>
      </c>
      <c r="AW214" s="19">
        <v>672.442</v>
      </c>
      <c r="AX214" s="25">
        <v>1533.749</v>
      </c>
      <c r="AY214" s="19">
        <v>2206.192</v>
      </c>
      <c r="AZ214" s="25">
        <v>646.532</v>
      </c>
      <c r="BA214" s="25">
        <v>439.746</v>
      </c>
      <c r="BB214" s="25">
        <v>1086.279</v>
      </c>
      <c r="BC214" s="25">
        <f t="shared" si="40"/>
        <v>0.899978015744227</v>
      </c>
    </row>
    <row r="215" ht="14" spans="1:55">
      <c r="A215" s="29">
        <v>2014</v>
      </c>
      <c r="B215" s="29">
        <v>140000</v>
      </c>
      <c r="C215" s="30" t="s">
        <v>72</v>
      </c>
      <c r="D215" s="25">
        <v>0</v>
      </c>
      <c r="E215" s="25">
        <v>0</v>
      </c>
      <c r="F215" s="25">
        <v>1</v>
      </c>
      <c r="G215" s="25">
        <v>0</v>
      </c>
      <c r="H215" s="19">
        <v>59.8</v>
      </c>
      <c r="I215" s="19">
        <v>40.2</v>
      </c>
      <c r="J215" s="25">
        <v>1</v>
      </c>
      <c r="K215" s="25">
        <v>11.1</v>
      </c>
      <c r="L215" s="25">
        <f t="shared" si="31"/>
        <v>12.1</v>
      </c>
      <c r="M215" s="25">
        <v>51.4</v>
      </c>
      <c r="N215" s="25">
        <v>19.6</v>
      </c>
      <c r="O215" s="25">
        <v>10.8</v>
      </c>
      <c r="P215" s="25">
        <f t="shared" si="32"/>
        <v>81.8</v>
      </c>
      <c r="Q215" s="25">
        <v>5.7</v>
      </c>
      <c r="R215" s="19">
        <v>0.3</v>
      </c>
      <c r="S215" s="19">
        <f t="shared" si="33"/>
        <v>6</v>
      </c>
      <c r="T215" s="19">
        <v>595</v>
      </c>
      <c r="U215" s="19">
        <f t="shared" si="34"/>
        <v>0.323018458197611</v>
      </c>
      <c r="V215" s="19">
        <v>484</v>
      </c>
      <c r="W215" s="19">
        <f t="shared" si="35"/>
        <v>0.262757871878393</v>
      </c>
      <c r="X215" s="19">
        <v>763</v>
      </c>
      <c r="Y215" s="14">
        <f t="shared" si="36"/>
        <v>0.414223669923996</v>
      </c>
      <c r="Z215" s="14">
        <v>1842</v>
      </c>
      <c r="AA215" s="25">
        <v>2</v>
      </c>
      <c r="AB215" s="25">
        <v>98.5</v>
      </c>
      <c r="AC215" s="25">
        <v>69.1</v>
      </c>
      <c r="AD215" s="25">
        <v>11.8</v>
      </c>
      <c r="AE215" s="25">
        <v>35.5</v>
      </c>
      <c r="AF215" s="25">
        <v>24.6</v>
      </c>
      <c r="AG215" s="25">
        <v>5.5</v>
      </c>
      <c r="AH215" s="25">
        <v>15.6</v>
      </c>
      <c r="AI215" s="25">
        <v>7.3</v>
      </c>
      <c r="AJ215" s="25">
        <v>8</v>
      </c>
      <c r="AK215" s="25">
        <f t="shared" si="37"/>
        <v>61</v>
      </c>
      <c r="AL215" s="25">
        <v>19</v>
      </c>
      <c r="AM215" s="25">
        <v>5</v>
      </c>
      <c r="AN215" s="19">
        <v>1.4</v>
      </c>
      <c r="AO215" s="25">
        <v>4.9</v>
      </c>
      <c r="AP215" s="25">
        <f t="shared" si="38"/>
        <v>30.3</v>
      </c>
      <c r="AQ215" s="25">
        <v>9.4</v>
      </c>
      <c r="AR215" s="25">
        <v>52.7</v>
      </c>
      <c r="AS215" s="25">
        <v>19.5</v>
      </c>
      <c r="AT215" s="25">
        <v>58.5</v>
      </c>
      <c r="AU215" s="25">
        <f t="shared" si="39"/>
        <v>140.1</v>
      </c>
      <c r="AV215" s="25">
        <v>3.6</v>
      </c>
      <c r="AW215" s="19">
        <v>692</v>
      </c>
      <c r="AX215" s="25">
        <v>1537.4</v>
      </c>
      <c r="AY215" s="19">
        <v>2229.4</v>
      </c>
      <c r="AZ215" s="25">
        <v>657.3</v>
      </c>
      <c r="BA215" s="25">
        <v>443.9</v>
      </c>
      <c r="BB215" s="25">
        <v>1101.2</v>
      </c>
      <c r="BC215" s="25">
        <f t="shared" si="40"/>
        <v>0.907291713475608</v>
      </c>
    </row>
    <row r="216" ht="14" spans="1:55">
      <c r="A216" s="29">
        <v>2015</v>
      </c>
      <c r="B216" s="29">
        <v>140000</v>
      </c>
      <c r="C216" s="30" t="s">
        <v>72</v>
      </c>
      <c r="D216" s="25">
        <v>0</v>
      </c>
      <c r="E216" s="25">
        <v>0</v>
      </c>
      <c r="F216" s="25">
        <v>1</v>
      </c>
      <c r="G216" s="25">
        <v>0</v>
      </c>
      <c r="H216" s="19">
        <v>61.791</v>
      </c>
      <c r="I216" s="19">
        <v>38.209</v>
      </c>
      <c r="J216" s="25">
        <v>1.324</v>
      </c>
      <c r="K216" s="25">
        <v>11.563</v>
      </c>
      <c r="L216" s="25">
        <f t="shared" si="31"/>
        <v>12.887</v>
      </c>
      <c r="M216" s="25">
        <v>47.452</v>
      </c>
      <c r="N216" s="25">
        <v>13.046</v>
      </c>
      <c r="O216" s="25">
        <v>10.871</v>
      </c>
      <c r="P216" s="25">
        <f t="shared" si="32"/>
        <v>71.369</v>
      </c>
      <c r="Q216" s="25">
        <v>9.107</v>
      </c>
      <c r="R216" s="19">
        <v>0.821</v>
      </c>
      <c r="S216" s="19">
        <f t="shared" si="33"/>
        <v>9.928</v>
      </c>
      <c r="T216" s="19">
        <v>550</v>
      </c>
      <c r="U216" s="19">
        <f t="shared" si="34"/>
        <v>0.30103995621237</v>
      </c>
      <c r="V216" s="19">
        <v>468</v>
      </c>
      <c r="W216" s="19">
        <f t="shared" si="35"/>
        <v>0.25615763546798</v>
      </c>
      <c r="X216" s="19">
        <v>809</v>
      </c>
      <c r="Y216" s="14">
        <f t="shared" si="36"/>
        <v>0.44280240831965</v>
      </c>
      <c r="Z216" s="14">
        <v>1827</v>
      </c>
      <c r="AA216" s="25">
        <v>1.8</v>
      </c>
      <c r="AB216" s="25">
        <v>95.3</v>
      </c>
      <c r="AC216" s="25">
        <v>65.4</v>
      </c>
      <c r="AD216" s="25">
        <v>11.7</v>
      </c>
      <c r="AE216" s="25">
        <v>33.3</v>
      </c>
      <c r="AF216" s="25">
        <v>24.1</v>
      </c>
      <c r="AG216" s="25">
        <v>5.5</v>
      </c>
      <c r="AH216" s="25">
        <v>16.8</v>
      </c>
      <c r="AI216" s="25">
        <v>7.5</v>
      </c>
      <c r="AJ216" s="25">
        <v>8.9</v>
      </c>
      <c r="AK216" s="25">
        <f t="shared" si="37"/>
        <v>62.8</v>
      </c>
      <c r="AL216" s="25">
        <v>17.5</v>
      </c>
      <c r="AM216" s="25">
        <v>4.2</v>
      </c>
      <c r="AN216" s="19">
        <v>0.6</v>
      </c>
      <c r="AO216" s="25">
        <v>4.6</v>
      </c>
      <c r="AP216" s="25">
        <f t="shared" si="38"/>
        <v>26.9</v>
      </c>
      <c r="AQ216" s="25">
        <v>9.6</v>
      </c>
      <c r="AR216" s="25">
        <v>51.7</v>
      </c>
      <c r="AS216" s="25">
        <v>20</v>
      </c>
      <c r="AT216" s="25">
        <v>58</v>
      </c>
      <c r="AU216" s="25">
        <f t="shared" si="39"/>
        <v>139.3</v>
      </c>
      <c r="AV216" s="25">
        <v>3.6</v>
      </c>
      <c r="AW216" s="19">
        <v>714.27</v>
      </c>
      <c r="AX216" s="25">
        <v>1540.264</v>
      </c>
      <c r="AY216" s="19">
        <v>2254.534</v>
      </c>
      <c r="AZ216" s="25">
        <v>650.474</v>
      </c>
      <c r="BA216" s="25">
        <v>463.342</v>
      </c>
      <c r="BB216" s="25">
        <v>1113.816</v>
      </c>
      <c r="BC216" s="25">
        <f t="shared" si="40"/>
        <v>0.900819814550935</v>
      </c>
    </row>
    <row r="217" ht="14" spans="1:55">
      <c r="A217" s="29">
        <v>2016</v>
      </c>
      <c r="B217" s="29">
        <v>140000</v>
      </c>
      <c r="C217" s="30" t="s">
        <v>72</v>
      </c>
      <c r="D217" s="25">
        <v>0</v>
      </c>
      <c r="E217" s="25">
        <v>0</v>
      </c>
      <c r="F217" s="25">
        <v>1</v>
      </c>
      <c r="G217" s="25">
        <v>0</v>
      </c>
      <c r="H217" s="19">
        <v>61.473</v>
      </c>
      <c r="I217" s="19">
        <v>38.527</v>
      </c>
      <c r="J217" s="25">
        <v>1.297</v>
      </c>
      <c r="K217" s="25">
        <v>11.641</v>
      </c>
      <c r="L217" s="25">
        <f t="shared" si="31"/>
        <v>12.938</v>
      </c>
      <c r="M217" s="25">
        <v>46.166</v>
      </c>
      <c r="N217" s="25">
        <v>13.187</v>
      </c>
      <c r="O217" s="25">
        <v>11.443</v>
      </c>
      <c r="P217" s="25">
        <f t="shared" si="32"/>
        <v>70.796</v>
      </c>
      <c r="Q217" s="25">
        <v>9.178</v>
      </c>
      <c r="R217" s="19">
        <v>0.654</v>
      </c>
      <c r="S217" s="19">
        <f t="shared" si="33"/>
        <v>9.832</v>
      </c>
      <c r="T217" s="19">
        <v>522</v>
      </c>
      <c r="U217" s="19">
        <f t="shared" si="34"/>
        <v>0.284934497816594</v>
      </c>
      <c r="V217" s="19">
        <v>469</v>
      </c>
      <c r="W217" s="19">
        <f t="shared" si="35"/>
        <v>0.256004366812227</v>
      </c>
      <c r="X217" s="19">
        <v>841</v>
      </c>
      <c r="Y217" s="14">
        <f t="shared" si="36"/>
        <v>0.459061135371179</v>
      </c>
      <c r="Z217" s="14">
        <v>1832</v>
      </c>
      <c r="AA217" s="25">
        <v>1.7</v>
      </c>
      <c r="AB217" s="25">
        <v>91.1</v>
      </c>
      <c r="AC217" s="25">
        <v>63.8</v>
      </c>
      <c r="AD217" s="25">
        <v>12.5</v>
      </c>
      <c r="AE217" s="25">
        <v>29.4</v>
      </c>
      <c r="AF217" s="25">
        <v>23.4</v>
      </c>
      <c r="AG217" s="25">
        <v>5</v>
      </c>
      <c r="AH217" s="25">
        <v>17.9</v>
      </c>
      <c r="AI217" s="25">
        <v>7.2</v>
      </c>
      <c r="AJ217" s="25">
        <v>9.1</v>
      </c>
      <c r="AK217" s="25">
        <f t="shared" si="37"/>
        <v>62.6</v>
      </c>
      <c r="AL217" s="25">
        <v>17.1</v>
      </c>
      <c r="AM217" s="25">
        <v>3.9</v>
      </c>
      <c r="AN217" s="19">
        <v>0.6</v>
      </c>
      <c r="AO217" s="25">
        <v>4.6</v>
      </c>
      <c r="AP217" s="25">
        <f t="shared" si="38"/>
        <v>26.2</v>
      </c>
      <c r="AQ217" s="25">
        <v>9.8</v>
      </c>
      <c r="AR217" s="25">
        <v>51.3</v>
      </c>
      <c r="AS217" s="25">
        <v>20.5</v>
      </c>
      <c r="AT217" s="25">
        <v>58.2</v>
      </c>
      <c r="AU217" s="25">
        <f t="shared" si="39"/>
        <v>139.8</v>
      </c>
      <c r="AV217" s="25">
        <v>3.5</v>
      </c>
      <c r="AW217" s="19">
        <v>760.21</v>
      </c>
      <c r="AX217" s="25">
        <v>1549.575</v>
      </c>
      <c r="AY217" s="19">
        <v>2309.785</v>
      </c>
      <c r="AZ217" s="25">
        <v>660.194</v>
      </c>
      <c r="BA217" s="25">
        <v>460.97</v>
      </c>
      <c r="BB217" s="25">
        <v>1121.164</v>
      </c>
      <c r="BC217" s="25">
        <f t="shared" si="40"/>
        <v>0.917972819372735</v>
      </c>
    </row>
    <row r="218" ht="14" spans="1:55">
      <c r="A218" s="29">
        <v>2017</v>
      </c>
      <c r="B218" s="29">
        <v>140000</v>
      </c>
      <c r="C218" s="30" t="s">
        <v>72</v>
      </c>
      <c r="D218" s="25">
        <v>0</v>
      </c>
      <c r="E218" s="25">
        <v>0</v>
      </c>
      <c r="F218" s="25">
        <v>1</v>
      </c>
      <c r="G218" s="25">
        <v>0</v>
      </c>
      <c r="H218" s="19">
        <v>62.07</v>
      </c>
      <c r="I218" s="19">
        <v>37.93</v>
      </c>
      <c r="J218" s="25">
        <v>1.152</v>
      </c>
      <c r="K218" s="25">
        <v>11.686</v>
      </c>
      <c r="L218" s="25">
        <f t="shared" si="31"/>
        <v>12.838</v>
      </c>
      <c r="M218" s="25">
        <v>45.169</v>
      </c>
      <c r="N218" s="25">
        <v>14.014</v>
      </c>
      <c r="O218" s="25">
        <v>11.556</v>
      </c>
      <c r="P218" s="25">
        <f t="shared" si="32"/>
        <v>70.739</v>
      </c>
      <c r="Q218" s="25">
        <v>8.876</v>
      </c>
      <c r="R218" s="19">
        <v>0.758</v>
      </c>
      <c r="S218" s="19">
        <f t="shared" si="33"/>
        <v>9.634</v>
      </c>
      <c r="T218" s="19">
        <v>500</v>
      </c>
      <c r="U218" s="19">
        <f t="shared" si="34"/>
        <v>0.275938189845475</v>
      </c>
      <c r="V218" s="19">
        <v>458</v>
      </c>
      <c r="W218" s="19">
        <f t="shared" si="35"/>
        <v>0.252759381898455</v>
      </c>
      <c r="X218" s="19">
        <v>853</v>
      </c>
      <c r="Y218" s="14">
        <f t="shared" si="36"/>
        <v>0.47075055187638</v>
      </c>
      <c r="Z218" s="14">
        <v>1812</v>
      </c>
      <c r="AA218" s="25">
        <v>1.6</v>
      </c>
      <c r="AB218" s="25">
        <v>89.3</v>
      </c>
      <c r="AC218" s="25">
        <v>64</v>
      </c>
      <c r="AD218" s="25">
        <v>12.9</v>
      </c>
      <c r="AE218" s="25">
        <v>29.2</v>
      </c>
      <c r="AF218" s="25">
        <v>23.5</v>
      </c>
      <c r="AG218" s="25">
        <v>4.9</v>
      </c>
      <c r="AH218" s="25">
        <v>18.6</v>
      </c>
      <c r="AI218" s="25">
        <v>7.1</v>
      </c>
      <c r="AJ218" s="25">
        <v>8.2</v>
      </c>
      <c r="AK218" s="25">
        <f t="shared" si="37"/>
        <v>62.3</v>
      </c>
      <c r="AL218" s="25">
        <v>14.8</v>
      </c>
      <c r="AM218" s="25">
        <v>3.7</v>
      </c>
      <c r="AN218" s="19">
        <v>1</v>
      </c>
      <c r="AO218" s="25">
        <v>4.4</v>
      </c>
      <c r="AP218" s="25">
        <f t="shared" si="38"/>
        <v>23.9</v>
      </c>
      <c r="AQ218" s="25">
        <v>10.1</v>
      </c>
      <c r="AR218" s="25">
        <v>51.3</v>
      </c>
      <c r="AS218" s="25">
        <v>21.1</v>
      </c>
      <c r="AT218" s="25">
        <v>59.3</v>
      </c>
      <c r="AU218" s="25">
        <f t="shared" si="39"/>
        <v>141.8</v>
      </c>
      <c r="AV218" s="25">
        <v>3.8</v>
      </c>
      <c r="AW218" s="19">
        <v>798.719</v>
      </c>
      <c r="AX218" s="25">
        <v>1554.212</v>
      </c>
      <c r="AY218" s="19">
        <v>2352.931</v>
      </c>
      <c r="AZ218" s="25">
        <v>664.051</v>
      </c>
      <c r="BA218" s="25">
        <v>2551.29</v>
      </c>
      <c r="BB218" s="25">
        <v>3215.341</v>
      </c>
      <c r="BC218" s="25">
        <f t="shared" si="40"/>
        <v>0.545982882868246</v>
      </c>
    </row>
    <row r="219" ht="14" spans="1:55">
      <c r="A219" s="29">
        <v>2018</v>
      </c>
      <c r="B219" s="29">
        <v>140000</v>
      </c>
      <c r="C219" s="30" t="s">
        <v>72</v>
      </c>
      <c r="D219" s="25">
        <v>0</v>
      </c>
      <c r="E219" s="25">
        <v>0</v>
      </c>
      <c r="F219" s="25">
        <v>1</v>
      </c>
      <c r="G219" s="25">
        <v>0</v>
      </c>
      <c r="H219" s="19">
        <v>61.435</v>
      </c>
      <c r="I219" s="19">
        <v>38.565</v>
      </c>
      <c r="J219" s="25">
        <v>0.994</v>
      </c>
      <c r="K219" s="25">
        <v>10.766</v>
      </c>
      <c r="L219" s="25">
        <f t="shared" si="31"/>
        <v>11.76</v>
      </c>
      <c r="M219" s="25">
        <v>44.5</v>
      </c>
      <c r="N219" s="25">
        <v>14.792</v>
      </c>
      <c r="O219" s="25">
        <v>12.099</v>
      </c>
      <c r="P219" s="25">
        <f t="shared" si="32"/>
        <v>71.391</v>
      </c>
      <c r="Q219" s="25">
        <v>9.554</v>
      </c>
      <c r="R219" s="19">
        <v>0.742</v>
      </c>
      <c r="S219" s="19">
        <f t="shared" si="33"/>
        <v>10.296</v>
      </c>
      <c r="T219" s="19">
        <v>478</v>
      </c>
      <c r="U219" s="19">
        <f t="shared" si="34"/>
        <v>0.267188373392957</v>
      </c>
      <c r="V219" s="19">
        <v>437</v>
      </c>
      <c r="W219" s="19">
        <f t="shared" si="35"/>
        <v>0.244270542202348</v>
      </c>
      <c r="X219" s="19">
        <v>875</v>
      </c>
      <c r="Y219" s="14">
        <f t="shared" si="36"/>
        <v>0.489100055897149</v>
      </c>
      <c r="Z219" s="14">
        <v>1789</v>
      </c>
      <c r="AA219" s="25">
        <v>1.4</v>
      </c>
      <c r="AB219" s="25">
        <v>88.4</v>
      </c>
      <c r="AC219" s="25">
        <v>60.3</v>
      </c>
      <c r="AD219" s="25">
        <v>13</v>
      </c>
      <c r="AE219" s="25">
        <v>29.7</v>
      </c>
      <c r="AF219" s="25">
        <v>21.4</v>
      </c>
      <c r="AG219" s="25">
        <v>4.9</v>
      </c>
      <c r="AH219" s="25">
        <v>20.8</v>
      </c>
      <c r="AI219" s="25">
        <v>7.3</v>
      </c>
      <c r="AJ219" s="25">
        <v>8.6</v>
      </c>
      <c r="AK219" s="25">
        <f t="shared" si="37"/>
        <v>63</v>
      </c>
      <c r="AL219" s="25">
        <v>15.7</v>
      </c>
      <c r="AM219" s="25">
        <v>3.5</v>
      </c>
      <c r="AN219" s="19">
        <v>0.9</v>
      </c>
      <c r="AO219" s="25">
        <v>4.7</v>
      </c>
      <c r="AP219" s="25">
        <f t="shared" si="38"/>
        <v>24.8</v>
      </c>
      <c r="AQ219" s="25">
        <v>9</v>
      </c>
      <c r="AR219" s="25">
        <v>50</v>
      </c>
      <c r="AS219" s="25">
        <v>21.7</v>
      </c>
      <c r="AT219" s="25">
        <v>60.8</v>
      </c>
      <c r="AU219" s="25">
        <f t="shared" si="39"/>
        <v>141.5</v>
      </c>
      <c r="AV219" s="25">
        <v>3.6</v>
      </c>
      <c r="AW219" s="19">
        <v>837.644</v>
      </c>
      <c r="AX219" s="25">
        <v>1579.29</v>
      </c>
      <c r="AY219" s="19">
        <v>2416.934</v>
      </c>
      <c r="AZ219" s="25">
        <v>686.629</v>
      </c>
      <c r="BA219" s="25">
        <v>2580.302</v>
      </c>
      <c r="BB219" s="25">
        <v>3266.931</v>
      </c>
      <c r="BC219" s="25">
        <f t="shared" si="40"/>
        <v>0.556748516162161</v>
      </c>
    </row>
    <row r="220" ht="14" spans="1:55">
      <c r="A220" s="29">
        <v>2019</v>
      </c>
      <c r="B220" s="29">
        <v>140000</v>
      </c>
      <c r="C220" s="30" t="s">
        <v>72</v>
      </c>
      <c r="D220" s="25">
        <v>0</v>
      </c>
      <c r="E220" s="25">
        <v>0</v>
      </c>
      <c r="F220" s="25">
        <v>1</v>
      </c>
      <c r="G220" s="25">
        <v>0</v>
      </c>
      <c r="H220" s="19">
        <v>59.3</v>
      </c>
      <c r="I220" s="19">
        <v>40.7</v>
      </c>
      <c r="J220" s="25">
        <v>0.9</v>
      </c>
      <c r="K220" s="25">
        <v>11.1</v>
      </c>
      <c r="L220" s="25">
        <f t="shared" si="31"/>
        <v>12</v>
      </c>
      <c r="M220" s="25">
        <v>42.8</v>
      </c>
      <c r="N220" s="25">
        <v>20.8</v>
      </c>
      <c r="O220" s="25">
        <v>13.3</v>
      </c>
      <c r="P220" s="25">
        <f t="shared" si="32"/>
        <v>76.9</v>
      </c>
      <c r="Q220" s="25">
        <v>10.2</v>
      </c>
      <c r="R220" s="19">
        <v>0.8</v>
      </c>
      <c r="S220" s="19">
        <f t="shared" si="33"/>
        <v>11</v>
      </c>
      <c r="T220" s="19">
        <v>462</v>
      </c>
      <c r="U220" s="19">
        <f t="shared" si="34"/>
        <v>0.262202043132804</v>
      </c>
      <c r="V220" s="19">
        <v>425</v>
      </c>
      <c r="W220" s="19">
        <f t="shared" si="35"/>
        <v>0.241203178206583</v>
      </c>
      <c r="X220" s="19">
        <v>876</v>
      </c>
      <c r="Y220" s="14">
        <f t="shared" si="36"/>
        <v>0.497162315550511</v>
      </c>
      <c r="Z220" s="14">
        <v>1762</v>
      </c>
      <c r="AA220" s="25">
        <v>1</v>
      </c>
      <c r="AB220" s="25">
        <v>81.5</v>
      </c>
      <c r="AC220" s="25">
        <v>56.4</v>
      </c>
      <c r="AD220" s="25">
        <v>15.8</v>
      </c>
      <c r="AE220" s="25">
        <v>29</v>
      </c>
      <c r="AF220" s="25">
        <v>21.1</v>
      </c>
      <c r="AG220" s="25">
        <v>5.2</v>
      </c>
      <c r="AH220" s="25">
        <v>30</v>
      </c>
      <c r="AI220" s="25">
        <v>7.7</v>
      </c>
      <c r="AJ220" s="25">
        <v>11.8</v>
      </c>
      <c r="AK220" s="25">
        <f t="shared" si="37"/>
        <v>75.8</v>
      </c>
      <c r="AL220" s="25">
        <v>13.6</v>
      </c>
      <c r="AM220" s="25">
        <v>3.5</v>
      </c>
      <c r="AN220" s="19">
        <v>0.8</v>
      </c>
      <c r="AO220" s="25">
        <v>4.4</v>
      </c>
      <c r="AP220" s="25">
        <f t="shared" si="38"/>
        <v>22.3</v>
      </c>
      <c r="AQ220" s="25">
        <v>8</v>
      </c>
      <c r="AR220" s="25">
        <v>55.2</v>
      </c>
      <c r="AS220" s="25">
        <v>24.7</v>
      </c>
      <c r="AT220" s="25">
        <v>65.8</v>
      </c>
      <c r="AU220" s="25">
        <f t="shared" si="39"/>
        <v>153.7</v>
      </c>
      <c r="AV220" s="25">
        <v>5.5</v>
      </c>
      <c r="AW220" s="19">
        <v>871.5</v>
      </c>
      <c r="AX220" s="25">
        <v>1627.8</v>
      </c>
      <c r="AY220" s="19">
        <v>2499.3</v>
      </c>
      <c r="AZ220" s="25">
        <v>702</v>
      </c>
      <c r="BA220" s="25">
        <v>2564.3</v>
      </c>
      <c r="BB220" s="25">
        <v>3266.4</v>
      </c>
      <c r="BC220" s="25">
        <f t="shared" si="40"/>
        <v>0.563613138644287</v>
      </c>
    </row>
    <row r="221" ht="14" spans="1:55">
      <c r="A221" s="29">
        <v>2020</v>
      </c>
      <c r="B221" s="29">
        <v>140000</v>
      </c>
      <c r="C221" s="30" t="s">
        <v>72</v>
      </c>
      <c r="D221" s="25">
        <v>0</v>
      </c>
      <c r="E221" s="25">
        <v>0</v>
      </c>
      <c r="F221" s="25">
        <v>1</v>
      </c>
      <c r="G221" s="25">
        <v>0</v>
      </c>
      <c r="H221" s="19">
        <v>60.2</v>
      </c>
      <c r="I221" s="19">
        <v>39.8</v>
      </c>
      <c r="J221" s="25">
        <v>1</v>
      </c>
      <c r="K221" s="25">
        <v>11.2</v>
      </c>
      <c r="L221" s="25">
        <f t="shared" si="31"/>
        <v>12.2</v>
      </c>
      <c r="M221" s="25">
        <v>44.5</v>
      </c>
      <c r="N221" s="25">
        <v>19</v>
      </c>
      <c r="O221" s="25">
        <v>12.8</v>
      </c>
      <c r="P221" s="25">
        <f t="shared" si="32"/>
        <v>76.3</v>
      </c>
      <c r="Q221" s="25">
        <v>10.6</v>
      </c>
      <c r="R221" s="19">
        <v>0.9</v>
      </c>
      <c r="S221" s="19">
        <f t="shared" si="33"/>
        <v>11.5</v>
      </c>
      <c r="T221" s="19">
        <v>424</v>
      </c>
      <c r="U221" s="19">
        <f t="shared" si="34"/>
        <v>0.243958573072497</v>
      </c>
      <c r="V221" s="19">
        <v>438</v>
      </c>
      <c r="W221" s="19">
        <f t="shared" si="35"/>
        <v>0.252013808975834</v>
      </c>
      <c r="X221" s="19">
        <v>876</v>
      </c>
      <c r="Y221" s="14">
        <f t="shared" si="36"/>
        <v>0.504027617951669</v>
      </c>
      <c r="Z221" s="14">
        <v>1738</v>
      </c>
      <c r="AA221" s="25">
        <v>1.3</v>
      </c>
      <c r="AB221" s="25">
        <v>82.6</v>
      </c>
      <c r="AC221" s="25">
        <v>57.9</v>
      </c>
      <c r="AD221" s="25">
        <v>15.7</v>
      </c>
      <c r="AE221" s="25">
        <v>28.9</v>
      </c>
      <c r="AF221" s="25">
        <v>23.5</v>
      </c>
      <c r="AG221" s="25">
        <v>5.2</v>
      </c>
      <c r="AH221" s="25">
        <v>27.2</v>
      </c>
      <c r="AI221" s="25">
        <v>7.9</v>
      </c>
      <c r="AJ221" s="25">
        <v>11.4</v>
      </c>
      <c r="AK221" s="25">
        <f t="shared" si="37"/>
        <v>75.2</v>
      </c>
      <c r="AL221" s="25">
        <v>13.7</v>
      </c>
      <c r="AM221" s="25">
        <v>3.7</v>
      </c>
      <c r="AN221" s="19">
        <v>1.1</v>
      </c>
      <c r="AO221" s="25">
        <v>4.6</v>
      </c>
      <c r="AP221" s="25">
        <f t="shared" si="38"/>
        <v>23.1</v>
      </c>
      <c r="AQ221" s="25">
        <v>7.6</v>
      </c>
      <c r="AR221" s="25">
        <v>54.7</v>
      </c>
      <c r="AS221" s="25">
        <v>26.1</v>
      </c>
      <c r="AT221" s="25">
        <v>63.8</v>
      </c>
      <c r="AU221" s="25">
        <f t="shared" si="39"/>
        <v>152.2</v>
      </c>
      <c r="AV221" s="25">
        <v>5.7</v>
      </c>
      <c r="AW221" s="19">
        <v>932.9</v>
      </c>
      <c r="AX221" s="25">
        <v>1638</v>
      </c>
      <c r="AY221" s="19">
        <v>2570.9</v>
      </c>
      <c r="AZ221" s="25">
        <v>716.4</v>
      </c>
      <c r="BA221" s="25">
        <v>2528.7</v>
      </c>
      <c r="BB221" s="25">
        <v>3245.1</v>
      </c>
      <c r="BC221" s="25">
        <f t="shared" si="40"/>
        <v>0.583632647022015</v>
      </c>
    </row>
    <row r="222" ht="14" spans="1:55">
      <c r="A222" s="29">
        <v>2021</v>
      </c>
      <c r="B222" s="29">
        <v>140000</v>
      </c>
      <c r="C222" s="30" t="s">
        <v>72</v>
      </c>
      <c r="D222" s="25">
        <v>0</v>
      </c>
      <c r="E222" s="25">
        <v>0</v>
      </c>
      <c r="F222" s="25">
        <v>1</v>
      </c>
      <c r="G222" s="25">
        <v>0</v>
      </c>
      <c r="H222" s="19">
        <v>60.395</v>
      </c>
      <c r="I222" s="19">
        <v>39.605</v>
      </c>
      <c r="J222" s="25">
        <v>0.819</v>
      </c>
      <c r="K222" s="25">
        <v>10.476</v>
      </c>
      <c r="L222" s="25">
        <f t="shared" si="31"/>
        <v>11.295</v>
      </c>
      <c r="M222" s="25">
        <v>44.615</v>
      </c>
      <c r="N222" s="25">
        <v>19.606</v>
      </c>
      <c r="O222" s="25">
        <v>13.199</v>
      </c>
      <c r="P222" s="25">
        <f t="shared" si="32"/>
        <v>77.42</v>
      </c>
      <c r="Q222" s="25">
        <v>10.418</v>
      </c>
      <c r="R222" s="19">
        <v>0.867</v>
      </c>
      <c r="S222" s="19">
        <f t="shared" si="33"/>
        <v>11.285</v>
      </c>
      <c r="T222" s="19">
        <v>401</v>
      </c>
      <c r="U222" s="19">
        <f t="shared" si="34"/>
        <v>0.233819241982507</v>
      </c>
      <c r="V222" s="19">
        <v>437</v>
      </c>
      <c r="W222" s="19">
        <f t="shared" si="35"/>
        <v>0.254810495626822</v>
      </c>
      <c r="X222" s="19">
        <v>877</v>
      </c>
      <c r="Y222" s="14">
        <f t="shared" si="36"/>
        <v>0.511370262390671</v>
      </c>
      <c r="Z222" s="14">
        <v>1715</v>
      </c>
      <c r="AA222" s="25">
        <v>1.3</v>
      </c>
      <c r="AB222" s="25">
        <v>84.6</v>
      </c>
      <c r="AC222" s="25">
        <v>56.5</v>
      </c>
      <c r="AD222" s="25">
        <v>16.1</v>
      </c>
      <c r="AE222" s="25">
        <v>26.9</v>
      </c>
      <c r="AF222" s="25">
        <v>23.2</v>
      </c>
      <c r="AG222" s="25">
        <v>5</v>
      </c>
      <c r="AH222" s="25">
        <v>26.3</v>
      </c>
      <c r="AI222" s="25">
        <v>7.6</v>
      </c>
      <c r="AJ222" s="25">
        <v>12</v>
      </c>
      <c r="AK222" s="25">
        <f t="shared" si="37"/>
        <v>74.1</v>
      </c>
      <c r="AL222" s="25">
        <v>13.7</v>
      </c>
      <c r="AM222" s="25">
        <v>4</v>
      </c>
      <c r="AN222" s="19">
        <v>0.8</v>
      </c>
      <c r="AO222" s="25">
        <v>4.4</v>
      </c>
      <c r="AP222" s="25">
        <f t="shared" si="38"/>
        <v>22.9</v>
      </c>
      <c r="AQ222" s="25">
        <v>8.1</v>
      </c>
      <c r="AR222" s="25">
        <v>55.9</v>
      </c>
      <c r="AS222" s="25">
        <v>27.2</v>
      </c>
      <c r="AT222" s="25">
        <v>63.3</v>
      </c>
      <c r="AU222" s="25">
        <f t="shared" si="39"/>
        <v>154.5</v>
      </c>
      <c r="AV222" s="25">
        <v>6</v>
      </c>
      <c r="AW222" s="19">
        <v>1002.335</v>
      </c>
      <c r="AX222" s="25">
        <v>1637.943</v>
      </c>
      <c r="AY222" s="19">
        <v>2640.278</v>
      </c>
      <c r="AZ222" s="25">
        <v>731.061</v>
      </c>
      <c r="BA222" s="25">
        <v>2514.982</v>
      </c>
      <c r="BB222" s="25">
        <v>3246.043</v>
      </c>
      <c r="BC222" s="25">
        <f t="shared" si="40"/>
        <v>0.604848427409078</v>
      </c>
    </row>
    <row r="223" ht="14" spans="1:55">
      <c r="A223" s="29">
        <v>2022</v>
      </c>
      <c r="B223" s="29">
        <v>140000</v>
      </c>
      <c r="C223" s="30" t="s">
        <v>72</v>
      </c>
      <c r="D223" s="25">
        <v>0</v>
      </c>
      <c r="E223" s="25">
        <v>0</v>
      </c>
      <c r="F223" s="25">
        <v>1</v>
      </c>
      <c r="G223" s="25">
        <v>0</v>
      </c>
      <c r="H223" s="19">
        <v>61.067</v>
      </c>
      <c r="I223" s="19">
        <v>38.933</v>
      </c>
      <c r="J223" s="25">
        <v>0.566</v>
      </c>
      <c r="K223" s="25">
        <v>12.12</v>
      </c>
      <c r="L223" s="25">
        <f t="shared" si="31"/>
        <v>12.686</v>
      </c>
      <c r="M223" s="25">
        <v>42.817</v>
      </c>
      <c r="N223" s="25">
        <v>18.252</v>
      </c>
      <c r="O223" s="25">
        <v>13.716</v>
      </c>
      <c r="P223" s="25">
        <f t="shared" si="32"/>
        <v>74.785</v>
      </c>
      <c r="Q223" s="25">
        <v>11.573</v>
      </c>
      <c r="R223" s="19">
        <v>0.955</v>
      </c>
      <c r="S223" s="19">
        <f t="shared" si="33"/>
        <v>12.528</v>
      </c>
      <c r="T223" s="19">
        <v>414</v>
      </c>
      <c r="U223" s="19">
        <f t="shared" si="34"/>
        <v>0.247607655502392</v>
      </c>
      <c r="V223" s="19">
        <v>431</v>
      </c>
      <c r="W223" s="19">
        <f t="shared" si="35"/>
        <v>0.257775119617225</v>
      </c>
      <c r="X223" s="19">
        <v>827</v>
      </c>
      <c r="Y223" s="14">
        <f t="shared" si="36"/>
        <v>0.494617224880383</v>
      </c>
      <c r="Z223" s="14">
        <v>1672</v>
      </c>
      <c r="AA223" s="25">
        <v>1.4</v>
      </c>
      <c r="AB223" s="25">
        <v>86.4</v>
      </c>
      <c r="AC223" s="25">
        <v>57.3</v>
      </c>
      <c r="AD223" s="25">
        <v>16.2</v>
      </c>
      <c r="AE223" s="25">
        <v>25.2</v>
      </c>
      <c r="AF223" s="25">
        <v>23.2</v>
      </c>
      <c r="AG223" s="25">
        <v>5.1</v>
      </c>
      <c r="AH223" s="25">
        <v>23.1</v>
      </c>
      <c r="AI223" s="25">
        <v>7.5</v>
      </c>
      <c r="AJ223" s="25">
        <v>11.6</v>
      </c>
      <c r="AK223" s="25">
        <f t="shared" si="37"/>
        <v>70.5</v>
      </c>
      <c r="AL223" s="25">
        <v>14.3</v>
      </c>
      <c r="AM223" s="25">
        <v>3.9</v>
      </c>
      <c r="AN223" s="19">
        <v>0.8</v>
      </c>
      <c r="AO223" s="25">
        <v>4.1</v>
      </c>
      <c r="AP223" s="25">
        <f t="shared" si="38"/>
        <v>23.1</v>
      </c>
      <c r="AQ223" s="25">
        <v>6.8</v>
      </c>
      <c r="AR223" s="25">
        <v>54.2</v>
      </c>
      <c r="AS223" s="25">
        <v>27.3</v>
      </c>
      <c r="AT223" s="25">
        <v>63.7</v>
      </c>
      <c r="AU223" s="25">
        <f t="shared" si="39"/>
        <v>152</v>
      </c>
      <c r="AV223" s="25">
        <v>6.2</v>
      </c>
      <c r="AW223" s="19">
        <v>1065.845</v>
      </c>
      <c r="AX223" s="25">
        <v>1628.186</v>
      </c>
      <c r="AY223" s="19">
        <v>2694.031</v>
      </c>
      <c r="AZ223" s="25">
        <v>739.189</v>
      </c>
      <c r="BA223" s="25">
        <v>2483.548</v>
      </c>
      <c r="BB223" s="25">
        <v>3222.737</v>
      </c>
      <c r="BC223" s="25">
        <f t="shared" si="40"/>
        <v>0.624998886721422</v>
      </c>
    </row>
    <row r="224" ht="14" spans="1:55">
      <c r="A224" s="29">
        <v>2013</v>
      </c>
      <c r="B224" s="29">
        <v>610000</v>
      </c>
      <c r="C224" s="30" t="s">
        <v>73</v>
      </c>
      <c r="D224" s="25">
        <v>1</v>
      </c>
      <c r="E224" s="25">
        <v>0</v>
      </c>
      <c r="F224" s="25">
        <v>0</v>
      </c>
      <c r="G224" s="25">
        <v>0</v>
      </c>
      <c r="H224" s="19">
        <v>52.5259999999998</v>
      </c>
      <c r="I224" s="19">
        <v>47.4740000000002</v>
      </c>
      <c r="J224" s="25">
        <v>1.296</v>
      </c>
      <c r="K224" s="25">
        <v>11.136</v>
      </c>
      <c r="L224" s="25">
        <f t="shared" si="31"/>
        <v>12.432</v>
      </c>
      <c r="M224" s="25">
        <v>50.232</v>
      </c>
      <c r="N224" s="25">
        <v>18.624</v>
      </c>
      <c r="O224" s="25">
        <v>11.53</v>
      </c>
      <c r="P224" s="25">
        <f t="shared" si="32"/>
        <v>80.386</v>
      </c>
      <c r="Q224" s="25">
        <v>6.405</v>
      </c>
      <c r="R224" s="19">
        <v>0.777</v>
      </c>
      <c r="S224" s="19">
        <f t="shared" si="33"/>
        <v>7.182</v>
      </c>
      <c r="T224" s="19">
        <v>791</v>
      </c>
      <c r="U224" s="19">
        <f t="shared" si="34"/>
        <v>0.378468899521531</v>
      </c>
      <c r="V224" s="19">
        <v>327</v>
      </c>
      <c r="W224" s="19">
        <f t="shared" si="35"/>
        <v>0.156459330143541</v>
      </c>
      <c r="X224" s="19">
        <v>482</v>
      </c>
      <c r="Y224" s="14">
        <f t="shared" si="36"/>
        <v>0.230622009569378</v>
      </c>
      <c r="Z224" s="14">
        <v>2090</v>
      </c>
      <c r="AA224" s="25">
        <v>2.6</v>
      </c>
      <c r="AB224" s="25">
        <v>36.3</v>
      </c>
      <c r="AC224" s="25">
        <v>107.9</v>
      </c>
      <c r="AD224" s="25">
        <v>12.2</v>
      </c>
      <c r="AE224" s="25">
        <v>72.1</v>
      </c>
      <c r="AF224" s="25">
        <v>25</v>
      </c>
      <c r="AG224" s="25">
        <v>9.5</v>
      </c>
      <c r="AH224" s="25">
        <v>15</v>
      </c>
      <c r="AI224" s="25">
        <v>16.7</v>
      </c>
      <c r="AJ224" s="25">
        <v>7.6</v>
      </c>
      <c r="AK224" s="25">
        <f t="shared" si="37"/>
        <v>73.8</v>
      </c>
      <c r="AL224" s="25">
        <v>26</v>
      </c>
      <c r="AM224" s="25">
        <v>12.6</v>
      </c>
      <c r="AN224" s="19">
        <v>2</v>
      </c>
      <c r="AO224" s="25">
        <v>4.6</v>
      </c>
      <c r="AP224" s="25">
        <f t="shared" si="38"/>
        <v>45.2</v>
      </c>
      <c r="AQ224" s="25">
        <v>8.9</v>
      </c>
      <c r="AR224" s="25">
        <v>58.5</v>
      </c>
      <c r="AS224" s="25">
        <v>23.4</v>
      </c>
      <c r="AT224" s="25">
        <v>55.7</v>
      </c>
      <c r="AU224" s="25">
        <f t="shared" si="39"/>
        <v>146.5</v>
      </c>
      <c r="AV224" s="25">
        <v>8.7</v>
      </c>
      <c r="AW224" s="19">
        <v>684.984</v>
      </c>
      <c r="AX224" s="25">
        <v>1704.868</v>
      </c>
      <c r="AY224" s="19">
        <v>2389.852</v>
      </c>
      <c r="AZ224" s="25">
        <v>571.737</v>
      </c>
      <c r="BA224" s="25">
        <v>672.528</v>
      </c>
      <c r="BB224" s="25">
        <v>1244.264</v>
      </c>
      <c r="BC224" s="25">
        <f t="shared" si="40"/>
        <v>0.746120078161861</v>
      </c>
    </row>
    <row r="225" ht="14" spans="1:55">
      <c r="A225" s="29">
        <v>2014</v>
      </c>
      <c r="B225" s="29">
        <v>610000</v>
      </c>
      <c r="C225" s="30" t="s">
        <v>73</v>
      </c>
      <c r="D225" s="25">
        <v>1</v>
      </c>
      <c r="E225" s="25">
        <v>0</v>
      </c>
      <c r="F225" s="25">
        <v>0</v>
      </c>
      <c r="G225" s="25">
        <v>0</v>
      </c>
      <c r="H225" s="19">
        <v>56.4</v>
      </c>
      <c r="I225" s="19">
        <v>43.6</v>
      </c>
      <c r="J225" s="25">
        <v>1.4</v>
      </c>
      <c r="K225" s="25">
        <v>11.8</v>
      </c>
      <c r="L225" s="25">
        <f t="shared" si="31"/>
        <v>13.2</v>
      </c>
      <c r="M225" s="25">
        <v>45.4</v>
      </c>
      <c r="N225" s="25">
        <v>20.4</v>
      </c>
      <c r="O225" s="25">
        <v>12.6</v>
      </c>
      <c r="P225" s="25">
        <f t="shared" si="32"/>
        <v>78.4</v>
      </c>
      <c r="Q225" s="25">
        <v>7.3</v>
      </c>
      <c r="R225" s="19">
        <v>1.1</v>
      </c>
      <c r="S225" s="19">
        <f t="shared" si="33"/>
        <v>8.4</v>
      </c>
      <c r="T225" s="19">
        <v>795</v>
      </c>
      <c r="U225" s="19">
        <f t="shared" si="34"/>
        <v>0.378391242265588</v>
      </c>
      <c r="V225" s="19">
        <v>341</v>
      </c>
      <c r="W225" s="19">
        <f t="shared" si="35"/>
        <v>0.162303664921466</v>
      </c>
      <c r="X225" s="19">
        <v>537</v>
      </c>
      <c r="Y225" s="14">
        <f t="shared" si="36"/>
        <v>0.255592574964303</v>
      </c>
      <c r="Z225" s="14">
        <v>2101</v>
      </c>
      <c r="AA225" s="25">
        <v>2.4</v>
      </c>
      <c r="AB225" s="25">
        <v>36.1</v>
      </c>
      <c r="AC225" s="25">
        <v>106.1</v>
      </c>
      <c r="AD225" s="25">
        <v>12.7</v>
      </c>
      <c r="AE225" s="25">
        <v>71</v>
      </c>
      <c r="AF225" s="25">
        <v>28.7</v>
      </c>
      <c r="AG225" s="25">
        <v>10.4</v>
      </c>
      <c r="AH225" s="25">
        <v>16.1</v>
      </c>
      <c r="AI225" s="25">
        <v>17.8</v>
      </c>
      <c r="AJ225" s="25">
        <v>8.5</v>
      </c>
      <c r="AK225" s="25">
        <f t="shared" si="37"/>
        <v>81.5</v>
      </c>
      <c r="AL225" s="25">
        <v>26.4</v>
      </c>
      <c r="AM225" s="25">
        <v>11.8</v>
      </c>
      <c r="AN225" s="19">
        <v>1.7</v>
      </c>
      <c r="AO225" s="25">
        <v>4.5</v>
      </c>
      <c r="AP225" s="25">
        <f t="shared" si="38"/>
        <v>44.4</v>
      </c>
      <c r="AQ225" s="25">
        <v>9.8</v>
      </c>
      <c r="AR225" s="25">
        <v>59.6</v>
      </c>
      <c r="AS225" s="25">
        <v>25.5</v>
      </c>
      <c r="AT225" s="25">
        <v>56.9</v>
      </c>
      <c r="AU225" s="25">
        <f t="shared" si="39"/>
        <v>151.8</v>
      </c>
      <c r="AV225" s="25">
        <v>10.7</v>
      </c>
      <c r="AW225" s="19">
        <v>716.5</v>
      </c>
      <c r="AX225" s="25">
        <v>1710.8</v>
      </c>
      <c r="AY225" s="19">
        <v>2427.3</v>
      </c>
      <c r="AZ225" s="25">
        <v>574.2</v>
      </c>
      <c r="BA225" s="25">
        <v>671.9</v>
      </c>
      <c r="BB225" s="25">
        <v>1246.2</v>
      </c>
      <c r="BC225" s="25">
        <f t="shared" si="40"/>
        <v>0.755944661810217</v>
      </c>
    </row>
    <row r="226" ht="14" spans="1:55">
      <c r="A226" s="29">
        <v>2015</v>
      </c>
      <c r="B226" s="29">
        <v>610000</v>
      </c>
      <c r="C226" s="30" t="s">
        <v>73</v>
      </c>
      <c r="D226" s="25">
        <v>1</v>
      </c>
      <c r="E226" s="25">
        <v>0</v>
      </c>
      <c r="F226" s="25">
        <v>0</v>
      </c>
      <c r="G226" s="25">
        <v>0</v>
      </c>
      <c r="H226" s="19">
        <v>60.274</v>
      </c>
      <c r="I226" s="19">
        <v>39.726</v>
      </c>
      <c r="J226" s="25">
        <v>2.658</v>
      </c>
      <c r="K226" s="25">
        <v>14.679</v>
      </c>
      <c r="L226" s="25">
        <f t="shared" si="31"/>
        <v>17.337</v>
      </c>
      <c r="M226" s="25">
        <v>45.52</v>
      </c>
      <c r="N226" s="25">
        <v>13.807</v>
      </c>
      <c r="O226" s="25">
        <v>10.041</v>
      </c>
      <c r="P226" s="25">
        <f t="shared" si="32"/>
        <v>69.368</v>
      </c>
      <c r="Q226" s="25">
        <v>6.808</v>
      </c>
      <c r="R226" s="19">
        <v>0.771</v>
      </c>
      <c r="S226" s="19">
        <f t="shared" si="33"/>
        <v>7.579</v>
      </c>
      <c r="T226" s="19">
        <v>803</v>
      </c>
      <c r="U226" s="19">
        <f t="shared" si="34"/>
        <v>0.381110583768391</v>
      </c>
      <c r="V226" s="19">
        <v>341</v>
      </c>
      <c r="W226" s="19">
        <f t="shared" si="35"/>
        <v>0.161841480778358</v>
      </c>
      <c r="X226" s="19">
        <v>626</v>
      </c>
      <c r="Y226" s="14">
        <f t="shared" si="36"/>
        <v>0.297104888467015</v>
      </c>
      <c r="Z226" s="14">
        <v>2107</v>
      </c>
      <c r="AA226" s="25">
        <v>2.2</v>
      </c>
      <c r="AB226" s="25">
        <v>35.4</v>
      </c>
      <c r="AC226" s="25">
        <v>104.4</v>
      </c>
      <c r="AD226" s="25">
        <v>13.7</v>
      </c>
      <c r="AE226" s="25">
        <v>64.4</v>
      </c>
      <c r="AF226" s="25">
        <v>28</v>
      </c>
      <c r="AG226" s="25">
        <v>10.2</v>
      </c>
      <c r="AH226" s="25">
        <v>18</v>
      </c>
      <c r="AI226" s="25">
        <v>18.3</v>
      </c>
      <c r="AJ226" s="25">
        <v>10.9</v>
      </c>
      <c r="AK226" s="25">
        <f t="shared" si="37"/>
        <v>85.4</v>
      </c>
      <c r="AL226" s="25">
        <v>25.8</v>
      </c>
      <c r="AM226" s="25">
        <v>11.1</v>
      </c>
      <c r="AN226" s="19">
        <v>1.7</v>
      </c>
      <c r="AO226" s="25">
        <v>5</v>
      </c>
      <c r="AP226" s="25">
        <f t="shared" si="38"/>
        <v>43.6</v>
      </c>
      <c r="AQ226" s="25">
        <v>9.6</v>
      </c>
      <c r="AR226" s="25">
        <v>57.9</v>
      </c>
      <c r="AS226" s="25">
        <v>26.2</v>
      </c>
      <c r="AT226" s="25">
        <v>57.9</v>
      </c>
      <c r="AU226" s="25">
        <f t="shared" si="39"/>
        <v>151.6</v>
      </c>
      <c r="AV226" s="25">
        <v>11.1</v>
      </c>
      <c r="AW226" s="19">
        <v>751.707</v>
      </c>
      <c r="AX226" s="25">
        <v>1714.538</v>
      </c>
      <c r="AY226" s="19">
        <v>2466.245</v>
      </c>
      <c r="AZ226" s="25">
        <v>580.263</v>
      </c>
      <c r="BA226" s="25">
        <v>667.007</v>
      </c>
      <c r="BB226" s="25">
        <v>1247.27</v>
      </c>
      <c r="BC226" s="25">
        <f t="shared" si="40"/>
        <v>0.770024639671951</v>
      </c>
    </row>
    <row r="227" ht="14" spans="1:55">
      <c r="A227" s="29">
        <v>2016</v>
      </c>
      <c r="B227" s="29">
        <v>610000</v>
      </c>
      <c r="C227" s="30" t="s">
        <v>73</v>
      </c>
      <c r="D227" s="25">
        <v>1</v>
      </c>
      <c r="E227" s="25">
        <v>0</v>
      </c>
      <c r="F227" s="25">
        <v>0</v>
      </c>
      <c r="G227" s="25">
        <v>0</v>
      </c>
      <c r="H227" s="19">
        <v>58.525</v>
      </c>
      <c r="I227" s="19">
        <v>41.475</v>
      </c>
      <c r="J227" s="25">
        <v>2.542</v>
      </c>
      <c r="K227" s="25">
        <v>13.45</v>
      </c>
      <c r="L227" s="25">
        <f t="shared" si="31"/>
        <v>15.992</v>
      </c>
      <c r="M227" s="25">
        <v>45.058</v>
      </c>
      <c r="N227" s="25">
        <v>14.669</v>
      </c>
      <c r="O227" s="25">
        <v>10.568</v>
      </c>
      <c r="P227" s="25">
        <f t="shared" si="32"/>
        <v>70.295</v>
      </c>
      <c r="Q227" s="25">
        <v>7.585</v>
      </c>
      <c r="R227" s="19">
        <v>0.738</v>
      </c>
      <c r="S227" s="19">
        <f t="shared" si="33"/>
        <v>8.323</v>
      </c>
      <c r="T227" s="19">
        <v>805</v>
      </c>
      <c r="U227" s="19">
        <f t="shared" si="34"/>
        <v>0.381335859782094</v>
      </c>
      <c r="V227" s="19">
        <v>344</v>
      </c>
      <c r="W227" s="19">
        <f t="shared" si="35"/>
        <v>0.162955945049739</v>
      </c>
      <c r="X227" s="19">
        <v>666</v>
      </c>
      <c r="Y227" s="14">
        <f t="shared" si="36"/>
        <v>0.315490288962577</v>
      </c>
      <c r="Z227" s="14">
        <v>2111</v>
      </c>
      <c r="AA227" s="25">
        <v>2.4</v>
      </c>
      <c r="AB227" s="25">
        <v>34.9</v>
      </c>
      <c r="AC227" s="25">
        <v>102</v>
      </c>
      <c r="AD227" s="25">
        <v>13.7</v>
      </c>
      <c r="AE227" s="25">
        <v>61.1</v>
      </c>
      <c r="AF227" s="25">
        <v>28.3</v>
      </c>
      <c r="AG227" s="25">
        <v>11.2</v>
      </c>
      <c r="AH227" s="25">
        <v>20.3</v>
      </c>
      <c r="AI227" s="25">
        <v>18.2</v>
      </c>
      <c r="AJ227" s="25">
        <v>10.9</v>
      </c>
      <c r="AK227" s="25">
        <f t="shared" si="37"/>
        <v>88.9</v>
      </c>
      <c r="AL227" s="25">
        <v>25.8</v>
      </c>
      <c r="AM227" s="25">
        <v>10.6</v>
      </c>
      <c r="AN227" s="19">
        <v>1.6</v>
      </c>
      <c r="AO227" s="25">
        <v>5</v>
      </c>
      <c r="AP227" s="25">
        <f t="shared" si="38"/>
        <v>43</v>
      </c>
      <c r="AQ227" s="25">
        <v>9.6</v>
      </c>
      <c r="AR227" s="25">
        <v>58.1</v>
      </c>
      <c r="AS227" s="25">
        <v>26.7</v>
      </c>
      <c r="AT227" s="25">
        <v>59.6</v>
      </c>
      <c r="AU227" s="25">
        <f t="shared" si="39"/>
        <v>154</v>
      </c>
      <c r="AV227" s="25">
        <v>11.5</v>
      </c>
      <c r="AW227" s="19">
        <v>790.824</v>
      </c>
      <c r="AX227" s="25">
        <v>1720.467</v>
      </c>
      <c r="AY227" s="19">
        <v>2511.291</v>
      </c>
      <c r="AZ227" s="25">
        <v>599.642</v>
      </c>
      <c r="BA227" s="25">
        <v>648.403</v>
      </c>
      <c r="BB227" s="25">
        <v>1248.045</v>
      </c>
      <c r="BC227" s="25">
        <f t="shared" si="40"/>
        <v>0.7953723997675</v>
      </c>
    </row>
    <row r="228" ht="14" spans="1:55">
      <c r="A228" s="29">
        <v>2017</v>
      </c>
      <c r="B228" s="29">
        <v>610000</v>
      </c>
      <c r="C228" s="30" t="s">
        <v>73</v>
      </c>
      <c r="D228" s="25">
        <v>1</v>
      </c>
      <c r="E228" s="25">
        <v>0</v>
      </c>
      <c r="F228" s="25">
        <v>0</v>
      </c>
      <c r="G228" s="25">
        <v>0</v>
      </c>
      <c r="H228" s="19">
        <v>58.055</v>
      </c>
      <c r="I228" s="19">
        <v>41.945</v>
      </c>
      <c r="J228" s="25">
        <v>2.32</v>
      </c>
      <c r="K228" s="25">
        <v>13.023</v>
      </c>
      <c r="L228" s="25">
        <f t="shared" si="31"/>
        <v>15.343</v>
      </c>
      <c r="M228" s="25">
        <v>44.198</v>
      </c>
      <c r="N228" s="25">
        <v>14.124</v>
      </c>
      <c r="O228" s="25">
        <v>11.39</v>
      </c>
      <c r="P228" s="25">
        <f t="shared" si="32"/>
        <v>69.712</v>
      </c>
      <c r="Q228" s="25">
        <v>8.213</v>
      </c>
      <c r="R228" s="19">
        <v>0.684</v>
      </c>
      <c r="S228" s="19">
        <f t="shared" si="33"/>
        <v>8.897</v>
      </c>
      <c r="T228" s="19">
        <v>805</v>
      </c>
      <c r="U228" s="19">
        <f t="shared" si="34"/>
        <v>0.381335859782094</v>
      </c>
      <c r="V228" s="19">
        <v>354</v>
      </c>
      <c r="W228" s="19">
        <f t="shared" si="35"/>
        <v>0.167693036475604</v>
      </c>
      <c r="X228" s="19">
        <v>711</v>
      </c>
      <c r="Y228" s="14">
        <f t="shared" si="36"/>
        <v>0.336807200378967</v>
      </c>
      <c r="Z228" s="14">
        <v>2111</v>
      </c>
      <c r="AA228" s="25">
        <v>2.2</v>
      </c>
      <c r="AB228" s="25">
        <v>34.7</v>
      </c>
      <c r="AC228" s="25">
        <v>100.2</v>
      </c>
      <c r="AD228" s="25">
        <v>12.8</v>
      </c>
      <c r="AE228" s="25">
        <v>60.4</v>
      </c>
      <c r="AF228" s="25">
        <v>28</v>
      </c>
      <c r="AG228" s="25">
        <v>11.6</v>
      </c>
      <c r="AH228" s="25">
        <v>22.4</v>
      </c>
      <c r="AI228" s="25">
        <v>18.7</v>
      </c>
      <c r="AJ228" s="25">
        <v>9</v>
      </c>
      <c r="AK228" s="25">
        <f t="shared" si="37"/>
        <v>89.7</v>
      </c>
      <c r="AL228" s="25">
        <v>26.6</v>
      </c>
      <c r="AM228" s="25">
        <v>10.1</v>
      </c>
      <c r="AN228" s="19">
        <v>1.5</v>
      </c>
      <c r="AO228" s="25">
        <v>5.6</v>
      </c>
      <c r="AP228" s="25">
        <f t="shared" si="38"/>
        <v>43.8</v>
      </c>
      <c r="AQ228" s="25">
        <v>9.9</v>
      </c>
      <c r="AR228" s="25">
        <v>55.6</v>
      </c>
      <c r="AS228" s="25">
        <v>28.1</v>
      </c>
      <c r="AT228" s="25">
        <v>61.2</v>
      </c>
      <c r="AU228" s="25">
        <f t="shared" si="39"/>
        <v>154.8</v>
      </c>
      <c r="AV228" s="25">
        <v>11.8</v>
      </c>
      <c r="AW228" s="19">
        <v>953.309</v>
      </c>
      <c r="AX228" s="25">
        <v>1733.763</v>
      </c>
      <c r="AY228" s="19">
        <v>2687.072</v>
      </c>
      <c r="AZ228" s="25">
        <v>619.763</v>
      </c>
      <c r="BA228" s="25">
        <v>631.239</v>
      </c>
      <c r="BB228" s="25">
        <v>1251.002</v>
      </c>
      <c r="BC228" s="25">
        <f t="shared" si="40"/>
        <v>0.850189404785407</v>
      </c>
    </row>
    <row r="229" ht="14" spans="1:55">
      <c r="A229" s="29">
        <v>2018</v>
      </c>
      <c r="B229" s="29">
        <v>610000</v>
      </c>
      <c r="C229" s="30" t="s">
        <v>73</v>
      </c>
      <c r="D229" s="25">
        <v>1</v>
      </c>
      <c r="E229" s="25">
        <v>0</v>
      </c>
      <c r="F229" s="25">
        <v>0</v>
      </c>
      <c r="G229" s="25">
        <v>0</v>
      </c>
      <c r="H229" s="19">
        <v>57.682</v>
      </c>
      <c r="I229" s="19">
        <v>42.318</v>
      </c>
      <c r="J229" s="25">
        <v>2.353</v>
      </c>
      <c r="K229" s="25">
        <v>12.634</v>
      </c>
      <c r="L229" s="25">
        <f t="shared" si="31"/>
        <v>14.987</v>
      </c>
      <c r="M229" s="25">
        <v>43.424</v>
      </c>
      <c r="N229" s="25">
        <v>14.705</v>
      </c>
      <c r="O229" s="25">
        <v>11.751</v>
      </c>
      <c r="P229" s="25">
        <f t="shared" si="32"/>
        <v>69.88</v>
      </c>
      <c r="Q229" s="25">
        <v>8.561</v>
      </c>
      <c r="R229" s="19">
        <v>0.782</v>
      </c>
      <c r="S229" s="19">
        <f t="shared" si="33"/>
        <v>9.343</v>
      </c>
      <c r="T229" s="19">
        <v>804</v>
      </c>
      <c r="U229" s="19">
        <f t="shared" si="34"/>
        <v>0.380681818181818</v>
      </c>
      <c r="V229" s="19">
        <v>337</v>
      </c>
      <c r="W229" s="19">
        <f t="shared" si="35"/>
        <v>0.159564393939394</v>
      </c>
      <c r="X229" s="19">
        <v>802</v>
      </c>
      <c r="Y229" s="14">
        <f t="shared" si="36"/>
        <v>0.379734848484849</v>
      </c>
      <c r="Z229" s="14">
        <v>2112</v>
      </c>
      <c r="AA229" s="25">
        <v>1.8</v>
      </c>
      <c r="AB229" s="25">
        <v>33.8</v>
      </c>
      <c r="AC229" s="25">
        <v>91.8</v>
      </c>
      <c r="AD229" s="25">
        <v>12.2</v>
      </c>
      <c r="AE229" s="25">
        <v>61.2</v>
      </c>
      <c r="AF229" s="25">
        <v>27.3</v>
      </c>
      <c r="AG229" s="25">
        <v>12.7</v>
      </c>
      <c r="AH229" s="25">
        <v>21.6</v>
      </c>
      <c r="AI229" s="25">
        <v>17</v>
      </c>
      <c r="AJ229" s="25">
        <v>8.5</v>
      </c>
      <c r="AK229" s="25">
        <f t="shared" si="37"/>
        <v>87.1</v>
      </c>
      <c r="AL229" s="25">
        <v>22.7</v>
      </c>
      <c r="AM229" s="25">
        <v>9.6</v>
      </c>
      <c r="AN229" s="19">
        <v>1.6</v>
      </c>
      <c r="AO229" s="25">
        <v>5.6</v>
      </c>
      <c r="AP229" s="25">
        <f t="shared" si="38"/>
        <v>39.5</v>
      </c>
      <c r="AQ229" s="25">
        <v>10.2</v>
      </c>
      <c r="AR229" s="25">
        <v>55.1</v>
      </c>
      <c r="AS229" s="25">
        <v>27.8</v>
      </c>
      <c r="AT229" s="25">
        <v>60.9</v>
      </c>
      <c r="AU229" s="25">
        <f t="shared" si="39"/>
        <v>154</v>
      </c>
      <c r="AV229" s="25">
        <v>11.9</v>
      </c>
      <c r="AW229" s="19">
        <v>991.99</v>
      </c>
      <c r="AX229" s="25">
        <v>1741.684</v>
      </c>
      <c r="AY229" s="19">
        <v>2733.674</v>
      </c>
      <c r="AZ229" s="25">
        <v>674.395</v>
      </c>
      <c r="BA229" s="25">
        <v>3211.546</v>
      </c>
      <c r="BB229" s="25">
        <v>3885.941</v>
      </c>
      <c r="BC229" s="25">
        <f t="shared" si="40"/>
        <v>0.536425354787884</v>
      </c>
    </row>
    <row r="230" ht="14" spans="1:55">
      <c r="A230" s="29">
        <v>2019</v>
      </c>
      <c r="B230" s="29">
        <v>610000</v>
      </c>
      <c r="C230" s="30" t="s">
        <v>73</v>
      </c>
      <c r="D230" s="25">
        <v>1</v>
      </c>
      <c r="E230" s="25">
        <v>0</v>
      </c>
      <c r="F230" s="25">
        <v>0</v>
      </c>
      <c r="G230" s="25">
        <v>0</v>
      </c>
      <c r="H230" s="19">
        <v>57.7</v>
      </c>
      <c r="I230" s="19">
        <v>42.3</v>
      </c>
      <c r="J230" s="25">
        <v>2.3</v>
      </c>
      <c r="K230" s="25">
        <v>11.7</v>
      </c>
      <c r="L230" s="25">
        <f t="shared" si="31"/>
        <v>14</v>
      </c>
      <c r="M230" s="25">
        <v>41.3</v>
      </c>
      <c r="N230" s="25">
        <v>20.1</v>
      </c>
      <c r="O230" s="25">
        <v>14.3</v>
      </c>
      <c r="P230" s="25">
        <f t="shared" si="32"/>
        <v>75.7</v>
      </c>
      <c r="Q230" s="25">
        <v>9.4</v>
      </c>
      <c r="R230" s="19">
        <v>0.9</v>
      </c>
      <c r="S230" s="19">
        <f t="shared" si="33"/>
        <v>10.3</v>
      </c>
      <c r="T230" s="19">
        <v>803</v>
      </c>
      <c r="U230" s="19">
        <f t="shared" si="34"/>
        <v>0.379848628192999</v>
      </c>
      <c r="V230" s="19">
        <v>337</v>
      </c>
      <c r="W230" s="19">
        <f t="shared" si="35"/>
        <v>0.159413434247871</v>
      </c>
      <c r="X230" s="19">
        <v>968</v>
      </c>
      <c r="Y230" s="14">
        <f t="shared" si="36"/>
        <v>0.457899716177862</v>
      </c>
      <c r="Z230" s="14">
        <v>2114</v>
      </c>
      <c r="AA230" s="25">
        <v>1.3</v>
      </c>
      <c r="AB230" s="25">
        <v>33.8</v>
      </c>
      <c r="AC230" s="25">
        <v>80.4</v>
      </c>
      <c r="AD230" s="25">
        <v>13.5</v>
      </c>
      <c r="AE230" s="25">
        <v>58.7</v>
      </c>
      <c r="AF230" s="25">
        <v>27.1</v>
      </c>
      <c r="AG230" s="25">
        <v>13.4</v>
      </c>
      <c r="AH230" s="25">
        <v>27.8</v>
      </c>
      <c r="AI230" s="25">
        <v>12.9</v>
      </c>
      <c r="AJ230" s="25">
        <v>11</v>
      </c>
      <c r="AK230" s="25">
        <f t="shared" si="37"/>
        <v>92.2</v>
      </c>
      <c r="AL230" s="25">
        <v>22.7</v>
      </c>
      <c r="AM230" s="25">
        <v>9.3</v>
      </c>
      <c r="AN230" s="19">
        <v>1.9</v>
      </c>
      <c r="AO230" s="25">
        <v>5.7</v>
      </c>
      <c r="AP230" s="25">
        <f t="shared" si="38"/>
        <v>39.6</v>
      </c>
      <c r="AQ230" s="25">
        <v>10.3</v>
      </c>
      <c r="AR230" s="25">
        <v>61.4</v>
      </c>
      <c r="AS230" s="25">
        <v>31.6</v>
      </c>
      <c r="AT230" s="25">
        <v>64.6</v>
      </c>
      <c r="AU230" s="25">
        <f t="shared" si="39"/>
        <v>167.9</v>
      </c>
      <c r="AV230" s="25">
        <v>13.8</v>
      </c>
      <c r="AW230" s="19">
        <v>1080.7</v>
      </c>
      <c r="AX230" s="25">
        <v>1765.6</v>
      </c>
      <c r="AY230" s="19">
        <v>2846.4</v>
      </c>
      <c r="AZ230" s="25">
        <v>712.9</v>
      </c>
      <c r="BA230" s="25">
        <v>3248</v>
      </c>
      <c r="BB230" s="25">
        <v>3960.9</v>
      </c>
      <c r="BC230" s="25">
        <f t="shared" si="40"/>
        <v>0.559656915850755</v>
      </c>
    </row>
    <row r="231" ht="14" spans="1:55">
      <c r="A231" s="29">
        <v>2020</v>
      </c>
      <c r="B231" s="29">
        <v>610000</v>
      </c>
      <c r="C231" s="30" t="s">
        <v>73</v>
      </c>
      <c r="D231" s="25">
        <v>1</v>
      </c>
      <c r="E231" s="25">
        <v>0</v>
      </c>
      <c r="F231" s="25">
        <v>0</v>
      </c>
      <c r="G231" s="25">
        <v>0</v>
      </c>
      <c r="H231" s="19">
        <v>57.5</v>
      </c>
      <c r="I231" s="19">
        <v>42.5</v>
      </c>
      <c r="J231" s="25">
        <v>2.3</v>
      </c>
      <c r="K231" s="25">
        <v>13.9</v>
      </c>
      <c r="L231" s="25">
        <f t="shared" si="31"/>
        <v>16.2</v>
      </c>
      <c r="M231" s="25">
        <v>42.5</v>
      </c>
      <c r="N231" s="25">
        <v>18</v>
      </c>
      <c r="O231" s="25">
        <v>12.8</v>
      </c>
      <c r="P231" s="25">
        <f t="shared" si="32"/>
        <v>73.3</v>
      </c>
      <c r="Q231" s="25">
        <v>9.5</v>
      </c>
      <c r="R231" s="19">
        <v>1</v>
      </c>
      <c r="S231" s="19">
        <f t="shared" si="33"/>
        <v>10.5</v>
      </c>
      <c r="T231" s="19">
        <v>632</v>
      </c>
      <c r="U231" s="19">
        <f t="shared" si="34"/>
        <v>0.300237529691211</v>
      </c>
      <c r="V231" s="19">
        <v>443</v>
      </c>
      <c r="W231" s="19">
        <f t="shared" si="35"/>
        <v>0.210451306413302</v>
      </c>
      <c r="X231" s="19">
        <v>1030</v>
      </c>
      <c r="Y231" s="14">
        <f t="shared" si="36"/>
        <v>0.489311163895487</v>
      </c>
      <c r="Z231" s="14">
        <v>2105</v>
      </c>
      <c r="AA231" s="25">
        <v>1.6</v>
      </c>
      <c r="AB231" s="25">
        <v>28.9</v>
      </c>
      <c r="AC231" s="25">
        <v>75.7</v>
      </c>
      <c r="AD231" s="25">
        <v>13.1</v>
      </c>
      <c r="AE231" s="25">
        <v>54.6</v>
      </c>
      <c r="AF231" s="25">
        <v>28.8</v>
      </c>
      <c r="AG231" s="25">
        <v>14</v>
      </c>
      <c r="AH231" s="25">
        <v>26.6</v>
      </c>
      <c r="AI231" s="25">
        <v>13.5</v>
      </c>
      <c r="AJ231" s="25">
        <v>11.9</v>
      </c>
      <c r="AK231" s="25">
        <f t="shared" si="37"/>
        <v>94.8</v>
      </c>
      <c r="AL231" s="25">
        <v>21.9</v>
      </c>
      <c r="AM231" s="25">
        <v>8.7</v>
      </c>
      <c r="AN231" s="19">
        <v>1.5</v>
      </c>
      <c r="AO231" s="25">
        <v>5.6</v>
      </c>
      <c r="AP231" s="25">
        <f t="shared" si="38"/>
        <v>37.7</v>
      </c>
      <c r="AQ231" s="25">
        <v>9.3</v>
      </c>
      <c r="AR231" s="25">
        <v>64.9</v>
      </c>
      <c r="AS231" s="25">
        <v>33.8</v>
      </c>
      <c r="AT231" s="25">
        <v>61.5</v>
      </c>
      <c r="AU231" s="25">
        <f t="shared" si="39"/>
        <v>169.5</v>
      </c>
      <c r="AV231" s="25">
        <v>13.8</v>
      </c>
      <c r="AW231" s="19">
        <v>1157.6</v>
      </c>
      <c r="AX231" s="25">
        <v>1785.2</v>
      </c>
      <c r="AY231" s="19">
        <v>2942.8</v>
      </c>
      <c r="AZ231" s="25">
        <v>742.2</v>
      </c>
      <c r="BA231" s="25">
        <v>3157.5</v>
      </c>
      <c r="BB231" s="25">
        <v>3899.7</v>
      </c>
      <c r="BC231" s="25">
        <f t="shared" si="40"/>
        <v>0.583689193979571</v>
      </c>
    </row>
    <row r="232" ht="14" spans="1:55">
      <c r="A232" s="29">
        <v>2021</v>
      </c>
      <c r="B232" s="29">
        <v>610000</v>
      </c>
      <c r="C232" s="30" t="s">
        <v>73</v>
      </c>
      <c r="D232" s="25">
        <v>1</v>
      </c>
      <c r="E232" s="25">
        <v>0</v>
      </c>
      <c r="F232" s="25">
        <v>0</v>
      </c>
      <c r="G232" s="25">
        <v>0</v>
      </c>
      <c r="H232" s="19">
        <v>57.191</v>
      </c>
      <c r="I232" s="19">
        <v>42.809</v>
      </c>
      <c r="J232" s="25">
        <v>2.588</v>
      </c>
      <c r="K232" s="25">
        <v>13.557</v>
      </c>
      <c r="L232" s="25">
        <f t="shared" si="31"/>
        <v>16.145</v>
      </c>
      <c r="M232" s="25">
        <v>43.244</v>
      </c>
      <c r="N232" s="25">
        <v>17.568</v>
      </c>
      <c r="O232" s="25">
        <v>11.877</v>
      </c>
      <c r="P232" s="25">
        <f t="shared" si="32"/>
        <v>72.689</v>
      </c>
      <c r="Q232" s="25">
        <v>10.022</v>
      </c>
      <c r="R232" s="19">
        <v>1.144</v>
      </c>
      <c r="S232" s="19">
        <f t="shared" si="33"/>
        <v>11.166</v>
      </c>
      <c r="T232" s="19">
        <v>611</v>
      </c>
      <c r="U232" s="19">
        <f t="shared" si="34"/>
        <v>0.29220468675275</v>
      </c>
      <c r="V232" s="19">
        <v>444</v>
      </c>
      <c r="W232" s="19">
        <f t="shared" si="35"/>
        <v>0.212338593974175</v>
      </c>
      <c r="X232" s="19">
        <v>1036</v>
      </c>
      <c r="Y232" s="14">
        <f t="shared" si="36"/>
        <v>0.495456719273075</v>
      </c>
      <c r="Z232" s="14">
        <v>2091</v>
      </c>
      <c r="AA232" s="25">
        <v>1.7</v>
      </c>
      <c r="AB232" s="25">
        <v>30</v>
      </c>
      <c r="AC232" s="25">
        <v>76.7</v>
      </c>
      <c r="AD232" s="25">
        <v>12.9</v>
      </c>
      <c r="AE232" s="25">
        <v>49.6</v>
      </c>
      <c r="AF232" s="25">
        <v>26.2</v>
      </c>
      <c r="AG232" s="25">
        <v>13</v>
      </c>
      <c r="AH232" s="25">
        <v>22.6</v>
      </c>
      <c r="AI232" s="25">
        <v>13.5</v>
      </c>
      <c r="AJ232" s="25">
        <v>10.8</v>
      </c>
      <c r="AK232" s="25">
        <f t="shared" si="37"/>
        <v>86.1</v>
      </c>
      <c r="AL232" s="25">
        <v>21.3</v>
      </c>
      <c r="AM232" s="25">
        <v>8.7</v>
      </c>
      <c r="AN232" s="19">
        <v>1.5</v>
      </c>
      <c r="AO232" s="25">
        <v>5.5</v>
      </c>
      <c r="AP232" s="25">
        <f t="shared" si="38"/>
        <v>37</v>
      </c>
      <c r="AQ232" s="25">
        <v>9.2</v>
      </c>
      <c r="AR232" s="25">
        <v>64</v>
      </c>
      <c r="AS232" s="25">
        <v>34.7</v>
      </c>
      <c r="AT232" s="25">
        <v>60.7</v>
      </c>
      <c r="AU232" s="25">
        <f t="shared" si="39"/>
        <v>168.6</v>
      </c>
      <c r="AV232" s="25">
        <v>13.2</v>
      </c>
      <c r="AW232" s="19">
        <v>1229.39</v>
      </c>
      <c r="AX232" s="25">
        <v>1799.468</v>
      </c>
      <c r="AY232" s="19">
        <v>3028.858</v>
      </c>
      <c r="AZ232" s="25">
        <v>783.795</v>
      </c>
      <c r="BA232" s="25">
        <v>3107.841</v>
      </c>
      <c r="BB232" s="25">
        <v>3891.636</v>
      </c>
      <c r="BC232" s="25">
        <f t="shared" si="40"/>
        <v>0.60729726699309</v>
      </c>
    </row>
    <row r="233" ht="14" spans="1:55">
      <c r="A233" s="29">
        <v>2022</v>
      </c>
      <c r="B233" s="29">
        <v>610000</v>
      </c>
      <c r="C233" s="30" t="s">
        <v>73</v>
      </c>
      <c r="D233" s="25">
        <v>1</v>
      </c>
      <c r="E233" s="25">
        <v>0</v>
      </c>
      <c r="F233" s="25">
        <v>0</v>
      </c>
      <c r="G233" s="25">
        <v>0</v>
      </c>
      <c r="H233" s="19">
        <v>57.443</v>
      </c>
      <c r="I233" s="19">
        <v>42.557</v>
      </c>
      <c r="J233" s="25">
        <v>2.425</v>
      </c>
      <c r="K233" s="25">
        <v>15.439</v>
      </c>
      <c r="L233" s="25">
        <f t="shared" si="31"/>
        <v>17.864</v>
      </c>
      <c r="M233" s="25">
        <v>41.702</v>
      </c>
      <c r="N233" s="25">
        <v>16</v>
      </c>
      <c r="O233" s="25">
        <v>12.414</v>
      </c>
      <c r="P233" s="25">
        <f t="shared" si="32"/>
        <v>70.116</v>
      </c>
      <c r="Q233" s="25">
        <v>10.787</v>
      </c>
      <c r="R233" s="19">
        <v>1.234</v>
      </c>
      <c r="S233" s="19">
        <f t="shared" si="33"/>
        <v>12.021</v>
      </c>
      <c r="T233" s="19">
        <v>649</v>
      </c>
      <c r="U233" s="19">
        <f t="shared" si="34"/>
        <v>0.314133591481123</v>
      </c>
      <c r="V233" s="19">
        <v>431</v>
      </c>
      <c r="W233" s="19">
        <f t="shared" si="35"/>
        <v>0.208615682478219</v>
      </c>
      <c r="X233" s="19">
        <v>986</v>
      </c>
      <c r="Y233" s="14">
        <f t="shared" si="36"/>
        <v>0.477250726040658</v>
      </c>
      <c r="Z233" s="14">
        <v>2066</v>
      </c>
      <c r="AA233" s="25">
        <v>1.7</v>
      </c>
      <c r="AB233" s="25">
        <v>28.5</v>
      </c>
      <c r="AC233" s="25">
        <v>79.1</v>
      </c>
      <c r="AD233" s="25">
        <v>14.5</v>
      </c>
      <c r="AE233" s="25">
        <v>47.4</v>
      </c>
      <c r="AF233" s="25">
        <v>25.8</v>
      </c>
      <c r="AG233" s="25">
        <v>14.3</v>
      </c>
      <c r="AH233" s="25">
        <v>19.8</v>
      </c>
      <c r="AI233" s="25">
        <v>13.4</v>
      </c>
      <c r="AJ233" s="25">
        <v>11.3</v>
      </c>
      <c r="AK233" s="25">
        <f t="shared" si="37"/>
        <v>84.6</v>
      </c>
      <c r="AL233" s="25">
        <v>21.3</v>
      </c>
      <c r="AM233" s="25">
        <v>8.2</v>
      </c>
      <c r="AN233" s="19">
        <v>1.9</v>
      </c>
      <c r="AO233" s="25">
        <v>5.4</v>
      </c>
      <c r="AP233" s="25">
        <f t="shared" si="38"/>
        <v>36.8</v>
      </c>
      <c r="AQ233" s="25">
        <v>9</v>
      </c>
      <c r="AR233" s="25">
        <v>62</v>
      </c>
      <c r="AS233" s="25">
        <v>35</v>
      </c>
      <c r="AT233" s="25">
        <v>60.1</v>
      </c>
      <c r="AU233" s="25">
        <f t="shared" si="39"/>
        <v>166.1</v>
      </c>
      <c r="AV233" s="25">
        <v>13</v>
      </c>
      <c r="AW233" s="19">
        <v>1285.404</v>
      </c>
      <c r="AX233" s="25">
        <v>1822.61</v>
      </c>
      <c r="AY233" s="19">
        <v>3108.014</v>
      </c>
      <c r="AZ233" s="25">
        <v>720.206</v>
      </c>
      <c r="BA233" s="25">
        <v>2948.054</v>
      </c>
      <c r="BB233" s="25">
        <v>3668.26</v>
      </c>
      <c r="BC233" s="25">
        <f t="shared" si="40"/>
        <v>0.609911789534835</v>
      </c>
    </row>
    <row r="234" ht="14" spans="1:55">
      <c r="A234" s="29">
        <v>2013</v>
      </c>
      <c r="B234" s="29">
        <v>310000</v>
      </c>
      <c r="C234" s="30" t="s">
        <v>74</v>
      </c>
      <c r="D234" s="25">
        <v>0</v>
      </c>
      <c r="E234" s="25">
        <v>1</v>
      </c>
      <c r="F234" s="25">
        <v>0</v>
      </c>
      <c r="G234" s="25">
        <v>0</v>
      </c>
      <c r="H234" s="19">
        <v>58.352</v>
      </c>
      <c r="I234" s="19">
        <v>41.648</v>
      </c>
      <c r="J234" s="25">
        <v>0.389</v>
      </c>
      <c r="K234" s="25">
        <v>5.797</v>
      </c>
      <c r="L234" s="25">
        <f t="shared" si="31"/>
        <v>6.186</v>
      </c>
      <c r="M234" s="25">
        <v>34.246</v>
      </c>
      <c r="N234" s="25">
        <v>24.535</v>
      </c>
      <c r="O234" s="25">
        <v>16.533</v>
      </c>
      <c r="P234" s="25">
        <f t="shared" si="32"/>
        <v>75.314</v>
      </c>
      <c r="Q234" s="25">
        <v>16.35</v>
      </c>
      <c r="R234" s="19">
        <v>2.149</v>
      </c>
      <c r="S234" s="19">
        <f t="shared" si="33"/>
        <v>18.499</v>
      </c>
      <c r="T234" s="19">
        <v>46.36</v>
      </c>
      <c r="U234" s="19">
        <f t="shared" si="34"/>
        <v>0.0407614190882314</v>
      </c>
      <c r="V234" s="19">
        <v>446.09</v>
      </c>
      <c r="W234" s="19">
        <f t="shared" si="35"/>
        <v>0.392218754121423</v>
      </c>
      <c r="X234" s="19">
        <v>644.9</v>
      </c>
      <c r="Y234" s="14">
        <f t="shared" si="36"/>
        <v>0.567019826790346</v>
      </c>
      <c r="Z234" s="14">
        <v>1137.35</v>
      </c>
      <c r="AA234" s="25">
        <v>1.3</v>
      </c>
      <c r="AB234" s="25">
        <v>0.1</v>
      </c>
      <c r="AC234" s="25">
        <v>211.8</v>
      </c>
      <c r="AD234" s="25">
        <v>5.2</v>
      </c>
      <c r="AE234" s="25">
        <v>37.2</v>
      </c>
      <c r="AF234" s="25">
        <v>49.2</v>
      </c>
      <c r="AG234" s="25">
        <v>21.7</v>
      </c>
      <c r="AH234" s="25">
        <v>30</v>
      </c>
      <c r="AI234" s="25">
        <v>20.4</v>
      </c>
      <c r="AJ234" s="25">
        <v>42.1</v>
      </c>
      <c r="AK234" s="25">
        <f t="shared" si="37"/>
        <v>163.4</v>
      </c>
      <c r="AL234" s="25">
        <v>66.9</v>
      </c>
      <c r="AM234" s="25">
        <v>21.1</v>
      </c>
      <c r="AN234" s="19">
        <v>5.1</v>
      </c>
      <c r="AO234" s="25">
        <v>5.9</v>
      </c>
      <c r="AP234" s="25">
        <f t="shared" si="38"/>
        <v>99</v>
      </c>
      <c r="AQ234" s="25">
        <v>8.1</v>
      </c>
      <c r="AR234" s="25">
        <v>29.5</v>
      </c>
      <c r="AS234" s="25">
        <v>18.8</v>
      </c>
      <c r="AT234" s="25">
        <v>20.5</v>
      </c>
      <c r="AU234" s="25">
        <f t="shared" si="39"/>
        <v>76.9</v>
      </c>
      <c r="AV234" s="25">
        <v>24</v>
      </c>
      <c r="AW234" s="19">
        <v>1429.882</v>
      </c>
      <c r="AX234" s="25">
        <v>79.988</v>
      </c>
      <c r="AY234" s="19">
        <v>1509.87</v>
      </c>
      <c r="AZ234" s="25">
        <v>1394.087</v>
      </c>
      <c r="BA234" s="25">
        <v>256.396</v>
      </c>
      <c r="BB234" s="25">
        <v>1650.483</v>
      </c>
      <c r="BC234" s="25">
        <f t="shared" si="40"/>
        <v>1.79167721252903</v>
      </c>
    </row>
    <row r="235" ht="14" spans="1:55">
      <c r="A235" s="29">
        <v>2014</v>
      </c>
      <c r="B235" s="29">
        <v>310000</v>
      </c>
      <c r="C235" s="30" t="s">
        <v>74</v>
      </c>
      <c r="D235" s="25">
        <v>0</v>
      </c>
      <c r="E235" s="25">
        <v>1</v>
      </c>
      <c r="F235" s="25">
        <v>0</v>
      </c>
      <c r="G235" s="25">
        <v>0</v>
      </c>
      <c r="H235" s="19">
        <v>58.6</v>
      </c>
      <c r="I235" s="19">
        <v>41.4</v>
      </c>
      <c r="J235" s="25">
        <v>0.2</v>
      </c>
      <c r="K235" s="25">
        <v>4.2</v>
      </c>
      <c r="L235" s="25">
        <f t="shared" si="31"/>
        <v>4.4</v>
      </c>
      <c r="M235" s="25">
        <v>28.8</v>
      </c>
      <c r="N235" s="25">
        <v>24</v>
      </c>
      <c r="O235" s="25">
        <v>19.6</v>
      </c>
      <c r="P235" s="25">
        <f t="shared" si="32"/>
        <v>72.4</v>
      </c>
      <c r="Q235" s="25">
        <v>20.8</v>
      </c>
      <c r="R235" s="19">
        <v>2.4</v>
      </c>
      <c r="S235" s="19">
        <f t="shared" si="33"/>
        <v>23.2</v>
      </c>
      <c r="T235" s="19">
        <v>44.81</v>
      </c>
      <c r="U235" s="19">
        <f t="shared" si="34"/>
        <v>0.032812694507297</v>
      </c>
      <c r="V235" s="19">
        <v>476.87</v>
      </c>
      <c r="W235" s="19">
        <f t="shared" si="35"/>
        <v>0.34919414482693</v>
      </c>
      <c r="X235" s="19">
        <v>843.95</v>
      </c>
      <c r="Y235" s="14">
        <f t="shared" si="36"/>
        <v>0.617993160665773</v>
      </c>
      <c r="Z235" s="14">
        <v>1365.63</v>
      </c>
      <c r="AA235" s="25">
        <v>2.4</v>
      </c>
      <c r="AB235" s="25">
        <v>0.1</v>
      </c>
      <c r="AC235" s="25">
        <v>206.1</v>
      </c>
      <c r="AD235" s="25">
        <v>4.6</v>
      </c>
      <c r="AE235" s="25">
        <v>37.3</v>
      </c>
      <c r="AF235" s="25">
        <v>51.4</v>
      </c>
      <c r="AG235" s="25">
        <v>24.8</v>
      </c>
      <c r="AH235" s="25">
        <v>33</v>
      </c>
      <c r="AI235" s="25">
        <v>22.5</v>
      </c>
      <c r="AJ235" s="25">
        <v>48.9</v>
      </c>
      <c r="AK235" s="25">
        <f t="shared" si="37"/>
        <v>180.6</v>
      </c>
      <c r="AL235" s="25">
        <v>78</v>
      </c>
      <c r="AM235" s="25">
        <v>24.4</v>
      </c>
      <c r="AN235" s="19">
        <v>6.6</v>
      </c>
      <c r="AO235" s="25">
        <v>5.7</v>
      </c>
      <c r="AP235" s="25">
        <f t="shared" si="38"/>
        <v>114.7</v>
      </c>
      <c r="AQ235" s="25">
        <v>8.6</v>
      </c>
      <c r="AR235" s="25">
        <v>29.4</v>
      </c>
      <c r="AS235" s="25">
        <v>19</v>
      </c>
      <c r="AT235" s="25">
        <v>20.5</v>
      </c>
      <c r="AU235" s="25">
        <f t="shared" si="39"/>
        <v>77.5</v>
      </c>
      <c r="AV235" s="25">
        <v>25.6</v>
      </c>
      <c r="AW235" s="19">
        <v>1457.4</v>
      </c>
      <c r="AX235" s="25">
        <v>78.3</v>
      </c>
      <c r="AY235" s="19">
        <v>1535.7</v>
      </c>
      <c r="AZ235" s="25">
        <v>1420.8</v>
      </c>
      <c r="BA235" s="25">
        <v>257.7</v>
      </c>
      <c r="BB235" s="25">
        <v>1678.5</v>
      </c>
      <c r="BC235" s="25">
        <f t="shared" si="40"/>
        <v>1.79548354175101</v>
      </c>
    </row>
    <row r="236" ht="14" spans="1:55">
      <c r="A236" s="29">
        <v>2015</v>
      </c>
      <c r="B236" s="29">
        <v>310000</v>
      </c>
      <c r="C236" s="30" t="s">
        <v>74</v>
      </c>
      <c r="D236" s="25">
        <v>0</v>
      </c>
      <c r="E236" s="25">
        <v>1</v>
      </c>
      <c r="F236" s="25">
        <v>0</v>
      </c>
      <c r="G236" s="25">
        <v>0</v>
      </c>
      <c r="H236" s="19">
        <v>58.848</v>
      </c>
      <c r="I236" s="19">
        <v>41.152</v>
      </c>
      <c r="J236" s="25">
        <v>0.787</v>
      </c>
      <c r="K236" s="25">
        <v>4.95</v>
      </c>
      <c r="L236" s="25">
        <f t="shared" si="31"/>
        <v>5.737</v>
      </c>
      <c r="M236" s="25">
        <v>29.312</v>
      </c>
      <c r="N236" s="25">
        <v>12.896</v>
      </c>
      <c r="O236" s="25">
        <v>17.116</v>
      </c>
      <c r="P236" s="25">
        <f t="shared" si="32"/>
        <v>59.324</v>
      </c>
      <c r="Q236" s="25">
        <v>21.989</v>
      </c>
      <c r="R236" s="19">
        <v>4.771</v>
      </c>
      <c r="S236" s="19">
        <f t="shared" si="33"/>
        <v>26.76</v>
      </c>
      <c r="T236" s="19">
        <v>46.01</v>
      </c>
      <c r="U236" s="19">
        <f t="shared" si="34"/>
        <v>0.0337933617821389</v>
      </c>
      <c r="V236" s="19">
        <v>459.74</v>
      </c>
      <c r="W236" s="19">
        <f t="shared" si="35"/>
        <v>0.337669205514466</v>
      </c>
      <c r="X236" s="19">
        <v>855.76</v>
      </c>
      <c r="Y236" s="14">
        <f t="shared" si="36"/>
        <v>0.628537432703395</v>
      </c>
      <c r="Z236" s="14">
        <v>1361.51</v>
      </c>
      <c r="AA236" s="25">
        <v>2.5</v>
      </c>
      <c r="AB236" s="25">
        <v>0.1</v>
      </c>
      <c r="AC236" s="25">
        <v>192.9</v>
      </c>
      <c r="AD236" s="25">
        <v>4.3</v>
      </c>
      <c r="AE236" s="25">
        <v>35.1</v>
      </c>
      <c r="AF236" s="25">
        <v>51.5</v>
      </c>
      <c r="AG236" s="25">
        <v>25.4</v>
      </c>
      <c r="AH236" s="25">
        <v>33.7</v>
      </c>
      <c r="AI236" s="25">
        <v>22.5</v>
      </c>
      <c r="AJ236" s="25">
        <v>52</v>
      </c>
      <c r="AK236" s="25">
        <f t="shared" si="37"/>
        <v>185.1</v>
      </c>
      <c r="AL236" s="25">
        <v>78.2</v>
      </c>
      <c r="AM236" s="25">
        <v>24</v>
      </c>
      <c r="AN236" s="19">
        <v>6.5</v>
      </c>
      <c r="AO236" s="25">
        <v>5.6</v>
      </c>
      <c r="AP236" s="25">
        <f t="shared" si="38"/>
        <v>114.3</v>
      </c>
      <c r="AQ236" s="25">
        <v>8.3</v>
      </c>
      <c r="AR236" s="25">
        <v>29.1</v>
      </c>
      <c r="AS236" s="25">
        <v>18.9</v>
      </c>
      <c r="AT236" s="25">
        <v>20.3</v>
      </c>
      <c r="AU236" s="25">
        <f t="shared" si="39"/>
        <v>76.6</v>
      </c>
      <c r="AV236" s="25">
        <v>26.2</v>
      </c>
      <c r="AW236" s="19">
        <v>1493.801</v>
      </c>
      <c r="AX236" s="25">
        <v>79.454</v>
      </c>
      <c r="AY236" s="19">
        <v>1573.254</v>
      </c>
      <c r="AZ236" s="25">
        <v>1446.37</v>
      </c>
      <c r="BA236" s="25">
        <v>272.87</v>
      </c>
      <c r="BB236" s="25">
        <v>1719.24</v>
      </c>
      <c r="BC236" s="25">
        <f t="shared" si="40"/>
        <v>1.79078218641583</v>
      </c>
    </row>
    <row r="237" ht="14" spans="1:55">
      <c r="A237" s="29">
        <v>2016</v>
      </c>
      <c r="B237" s="29">
        <v>310000</v>
      </c>
      <c r="C237" s="30" t="s">
        <v>74</v>
      </c>
      <c r="D237" s="25">
        <v>0</v>
      </c>
      <c r="E237" s="25">
        <v>1</v>
      </c>
      <c r="F237" s="25">
        <v>0</v>
      </c>
      <c r="G237" s="25">
        <v>0</v>
      </c>
      <c r="H237" s="19">
        <v>58.341</v>
      </c>
      <c r="I237" s="19">
        <v>41.659</v>
      </c>
      <c r="J237" s="25">
        <v>0.623</v>
      </c>
      <c r="K237" s="25">
        <v>4.699</v>
      </c>
      <c r="L237" s="25">
        <f t="shared" si="31"/>
        <v>5.322</v>
      </c>
      <c r="M237" s="25">
        <v>29.437</v>
      </c>
      <c r="N237" s="25">
        <v>12.449</v>
      </c>
      <c r="O237" s="25">
        <v>16.506</v>
      </c>
      <c r="P237" s="25">
        <f t="shared" si="32"/>
        <v>58.392</v>
      </c>
      <c r="Q237" s="25">
        <v>23.374</v>
      </c>
      <c r="R237" s="19">
        <v>4.672</v>
      </c>
      <c r="S237" s="19">
        <f t="shared" si="33"/>
        <v>28.046</v>
      </c>
      <c r="T237" s="19">
        <v>45.45</v>
      </c>
      <c r="U237" s="19">
        <f t="shared" si="34"/>
        <v>0.0332908499604465</v>
      </c>
      <c r="V237" s="19">
        <v>448.5</v>
      </c>
      <c r="W237" s="19">
        <f t="shared" si="35"/>
        <v>0.328513667926518</v>
      </c>
      <c r="X237" s="19">
        <v>871.29</v>
      </c>
      <c r="Y237" s="14">
        <f t="shared" si="36"/>
        <v>0.638195482113035</v>
      </c>
      <c r="Z237" s="14">
        <v>1365.24</v>
      </c>
      <c r="AA237" s="25">
        <v>2.5</v>
      </c>
      <c r="AB237" s="25">
        <v>0.1</v>
      </c>
      <c r="AC237" s="25">
        <v>181</v>
      </c>
      <c r="AD237" s="25">
        <v>4.4</v>
      </c>
      <c r="AE237" s="25">
        <v>32.9</v>
      </c>
      <c r="AF237" s="25">
        <v>51.1</v>
      </c>
      <c r="AG237" s="25">
        <v>26.8</v>
      </c>
      <c r="AH237" s="25">
        <v>35.5</v>
      </c>
      <c r="AI237" s="25">
        <v>23.2</v>
      </c>
      <c r="AJ237" s="25">
        <v>52.2</v>
      </c>
      <c r="AK237" s="25">
        <f t="shared" si="37"/>
        <v>188.8</v>
      </c>
      <c r="AL237" s="25">
        <v>78.4</v>
      </c>
      <c r="AM237" s="25">
        <v>24.3</v>
      </c>
      <c r="AN237" s="19">
        <v>6.3</v>
      </c>
      <c r="AO237" s="25">
        <v>6</v>
      </c>
      <c r="AP237" s="25">
        <f t="shared" si="38"/>
        <v>115</v>
      </c>
      <c r="AQ237" s="25">
        <v>8.6</v>
      </c>
      <c r="AR237" s="25">
        <v>29.7</v>
      </c>
      <c r="AS237" s="25">
        <v>18.9</v>
      </c>
      <c r="AT237" s="25">
        <v>20.5</v>
      </c>
      <c r="AU237" s="25">
        <f t="shared" si="39"/>
        <v>77.7</v>
      </c>
      <c r="AV237" s="25">
        <v>25.4</v>
      </c>
      <c r="AW237" s="19">
        <v>1527.138</v>
      </c>
      <c r="AX237" s="25">
        <v>79.543</v>
      </c>
      <c r="AY237" s="19">
        <v>1606.681</v>
      </c>
      <c r="AZ237" s="25">
        <v>1468.637</v>
      </c>
      <c r="BA237" s="25">
        <v>338.031</v>
      </c>
      <c r="BB237" s="25">
        <v>1806.668</v>
      </c>
      <c r="BC237" s="25">
        <f t="shared" si="40"/>
        <v>1.76339045894173</v>
      </c>
    </row>
    <row r="238" ht="14" spans="1:55">
      <c r="A238" s="29">
        <v>2017</v>
      </c>
      <c r="B238" s="29">
        <v>310000</v>
      </c>
      <c r="C238" s="30" t="s">
        <v>74</v>
      </c>
      <c r="D238" s="25">
        <v>0</v>
      </c>
      <c r="E238" s="25">
        <v>1</v>
      </c>
      <c r="F238" s="25">
        <v>0</v>
      </c>
      <c r="G238" s="25">
        <v>0</v>
      </c>
      <c r="H238" s="19">
        <v>57.68</v>
      </c>
      <c r="I238" s="19">
        <v>42.32</v>
      </c>
      <c r="J238" s="25">
        <v>0.558</v>
      </c>
      <c r="K238" s="25">
        <v>4.366</v>
      </c>
      <c r="L238" s="25">
        <f t="shared" si="31"/>
        <v>4.924</v>
      </c>
      <c r="M238" s="25">
        <v>28.781</v>
      </c>
      <c r="N238" s="25">
        <v>12.212</v>
      </c>
      <c r="O238" s="25">
        <v>16.42</v>
      </c>
      <c r="P238" s="25">
        <f t="shared" si="32"/>
        <v>57.413</v>
      </c>
      <c r="Q238" s="25">
        <v>25.042</v>
      </c>
      <c r="R238" s="19">
        <v>4.751</v>
      </c>
      <c r="S238" s="19">
        <f t="shared" si="33"/>
        <v>29.793</v>
      </c>
      <c r="T238" s="19">
        <v>42.44</v>
      </c>
      <c r="U238" s="19">
        <f t="shared" si="34"/>
        <v>0.0309182967253123</v>
      </c>
      <c r="V238" s="19">
        <v>430.51</v>
      </c>
      <c r="W238" s="19">
        <f t="shared" si="35"/>
        <v>0.313634211197319</v>
      </c>
      <c r="X238" s="19">
        <v>899.7</v>
      </c>
      <c r="Y238" s="14">
        <f t="shared" si="36"/>
        <v>0.655447492077369</v>
      </c>
      <c r="Z238" s="14">
        <v>1372.65</v>
      </c>
      <c r="AA238" s="25">
        <v>2.8</v>
      </c>
      <c r="AB238" s="25">
        <v>0.1</v>
      </c>
      <c r="AC238" s="25">
        <v>172.1</v>
      </c>
      <c r="AD238" s="25">
        <v>4.1</v>
      </c>
      <c r="AE238" s="25">
        <v>31.3</v>
      </c>
      <c r="AF238" s="25">
        <v>51.1</v>
      </c>
      <c r="AG238" s="25">
        <v>30.7</v>
      </c>
      <c r="AH238" s="25">
        <v>34.2</v>
      </c>
      <c r="AI238" s="25">
        <v>24.6</v>
      </c>
      <c r="AJ238" s="25">
        <v>55.4</v>
      </c>
      <c r="AK238" s="25">
        <f t="shared" si="37"/>
        <v>196</v>
      </c>
      <c r="AL238" s="25">
        <v>80.1</v>
      </c>
      <c r="AM238" s="25">
        <v>25.5</v>
      </c>
      <c r="AN238" s="19">
        <v>7.5</v>
      </c>
      <c r="AO238" s="25">
        <v>6.4</v>
      </c>
      <c r="AP238" s="25">
        <f t="shared" si="38"/>
        <v>119.5</v>
      </c>
      <c r="AQ238" s="25">
        <v>8.7</v>
      </c>
      <c r="AR238" s="25">
        <v>30.8</v>
      </c>
      <c r="AS238" s="25">
        <v>19.1</v>
      </c>
      <c r="AT238" s="25">
        <v>21.2</v>
      </c>
      <c r="AU238" s="25">
        <f t="shared" si="39"/>
        <v>79.8</v>
      </c>
      <c r="AV238" s="25">
        <v>26.7</v>
      </c>
      <c r="AW238" s="19">
        <v>1548.222</v>
      </c>
      <c r="AX238" s="25">
        <v>78.834</v>
      </c>
      <c r="AY238" s="19">
        <v>1627.056</v>
      </c>
      <c r="AZ238" s="25">
        <v>1495.13</v>
      </c>
      <c r="BA238" s="25">
        <v>344.629</v>
      </c>
      <c r="BB238" s="25">
        <v>1839.758</v>
      </c>
      <c r="BC238" s="25">
        <f t="shared" si="40"/>
        <v>1.7642256090377</v>
      </c>
    </row>
    <row r="239" ht="14" spans="1:55">
      <c r="A239" s="29">
        <v>2018</v>
      </c>
      <c r="B239" s="29">
        <v>310000</v>
      </c>
      <c r="C239" s="30" t="s">
        <v>74</v>
      </c>
      <c r="D239" s="25">
        <v>0</v>
      </c>
      <c r="E239" s="25">
        <v>1</v>
      </c>
      <c r="F239" s="25">
        <v>0</v>
      </c>
      <c r="G239" s="25">
        <v>0</v>
      </c>
      <c r="H239" s="19">
        <v>57.563</v>
      </c>
      <c r="I239" s="19">
        <v>42.437</v>
      </c>
      <c r="J239" s="25">
        <v>0.414</v>
      </c>
      <c r="K239" s="25">
        <v>4.555</v>
      </c>
      <c r="L239" s="25">
        <f t="shared" si="31"/>
        <v>4.969</v>
      </c>
      <c r="M239" s="25">
        <v>27.784</v>
      </c>
      <c r="N239" s="25">
        <v>11.374</v>
      </c>
      <c r="O239" s="25">
        <v>17.305</v>
      </c>
      <c r="P239" s="25">
        <f t="shared" si="32"/>
        <v>56.463</v>
      </c>
      <c r="Q239" s="25">
        <v>25.641</v>
      </c>
      <c r="R239" s="19">
        <v>5.238</v>
      </c>
      <c r="S239" s="19">
        <f t="shared" si="33"/>
        <v>30.879</v>
      </c>
      <c r="T239" s="19">
        <v>40.83</v>
      </c>
      <c r="U239" s="19">
        <f t="shared" si="34"/>
        <v>0.0296802989110681</v>
      </c>
      <c r="V239" s="19">
        <v>422.82</v>
      </c>
      <c r="W239" s="19">
        <f t="shared" si="35"/>
        <v>0.307357922742538</v>
      </c>
      <c r="X239" s="19">
        <v>912.01</v>
      </c>
      <c r="Y239" s="14">
        <f t="shared" si="36"/>
        <v>0.662961778346394</v>
      </c>
      <c r="Z239" s="14">
        <v>1375.66</v>
      </c>
      <c r="AA239" s="25">
        <v>3.1</v>
      </c>
      <c r="AB239" s="25">
        <v>0.1</v>
      </c>
      <c r="AC239" s="25">
        <v>161.7</v>
      </c>
      <c r="AD239" s="25">
        <v>4</v>
      </c>
      <c r="AE239" s="25">
        <v>30.5</v>
      </c>
      <c r="AF239" s="25">
        <v>50.6</v>
      </c>
      <c r="AG239" s="25">
        <v>35.6</v>
      </c>
      <c r="AH239" s="25">
        <v>33.4</v>
      </c>
      <c r="AI239" s="25">
        <v>26.9</v>
      </c>
      <c r="AJ239" s="25">
        <v>57.9</v>
      </c>
      <c r="AK239" s="25">
        <f t="shared" si="37"/>
        <v>204.4</v>
      </c>
      <c r="AL239" s="25">
        <v>84.5</v>
      </c>
      <c r="AM239" s="25">
        <v>30.5</v>
      </c>
      <c r="AN239" s="19">
        <v>7.1</v>
      </c>
      <c r="AO239" s="25">
        <v>5.9</v>
      </c>
      <c r="AP239" s="25">
        <f t="shared" si="38"/>
        <v>128</v>
      </c>
      <c r="AQ239" s="25">
        <v>9.3</v>
      </c>
      <c r="AR239" s="25">
        <v>31.9</v>
      </c>
      <c r="AS239" s="25">
        <v>19.4</v>
      </c>
      <c r="AT239" s="25">
        <v>21.9</v>
      </c>
      <c r="AU239" s="25">
        <f t="shared" si="39"/>
        <v>82.5</v>
      </c>
      <c r="AV239" s="25">
        <v>26.6</v>
      </c>
      <c r="AW239" s="19">
        <v>1573.373</v>
      </c>
      <c r="AX239" s="25">
        <v>78.694</v>
      </c>
      <c r="AY239" s="19">
        <v>1652.068</v>
      </c>
      <c r="AZ239" s="25">
        <v>1523.31</v>
      </c>
      <c r="BA239" s="25">
        <v>342.758</v>
      </c>
      <c r="BB239" s="25">
        <v>1866.067</v>
      </c>
      <c r="BC239" s="25">
        <f t="shared" si="40"/>
        <v>1.76868693393198</v>
      </c>
    </row>
    <row r="240" ht="14" spans="1:55">
      <c r="A240" s="29">
        <v>2019</v>
      </c>
      <c r="B240" s="29">
        <v>310000</v>
      </c>
      <c r="C240" s="30" t="s">
        <v>74</v>
      </c>
      <c r="D240" s="25">
        <v>0</v>
      </c>
      <c r="E240" s="25">
        <v>1</v>
      </c>
      <c r="F240" s="25">
        <v>0</v>
      </c>
      <c r="G240" s="25">
        <v>0</v>
      </c>
      <c r="H240" s="19">
        <v>58.4</v>
      </c>
      <c r="I240" s="19">
        <v>41.6</v>
      </c>
      <c r="J240" s="25">
        <v>0.4</v>
      </c>
      <c r="K240" s="25">
        <v>4.9</v>
      </c>
      <c r="L240" s="25">
        <f t="shared" si="31"/>
        <v>5.3</v>
      </c>
      <c r="M240" s="25">
        <v>26.3</v>
      </c>
      <c r="N240" s="25">
        <v>17.4</v>
      </c>
      <c r="O240" s="25">
        <v>19.6</v>
      </c>
      <c r="P240" s="25">
        <f t="shared" si="32"/>
        <v>63.3</v>
      </c>
      <c r="Q240" s="25">
        <v>25.3</v>
      </c>
      <c r="R240" s="19">
        <v>5.9</v>
      </c>
      <c r="S240" s="19">
        <f t="shared" si="33"/>
        <v>31.2</v>
      </c>
      <c r="T240" s="19">
        <v>40.8</v>
      </c>
      <c r="U240" s="19">
        <f t="shared" si="34"/>
        <v>0.029646853654992</v>
      </c>
      <c r="V240" s="19">
        <v>335.67</v>
      </c>
      <c r="W240" s="19">
        <f t="shared" si="35"/>
        <v>0.243910768783607</v>
      </c>
      <c r="X240" s="19">
        <v>999.73</v>
      </c>
      <c r="Y240" s="14">
        <f t="shared" si="36"/>
        <v>0.726442377561401</v>
      </c>
      <c r="Z240" s="14">
        <v>1376.2</v>
      </c>
      <c r="AA240" s="25">
        <v>7.6</v>
      </c>
      <c r="AB240" s="25">
        <v>0.1</v>
      </c>
      <c r="AC240" s="25">
        <v>143.5</v>
      </c>
      <c r="AD240" s="25">
        <v>3.5</v>
      </c>
      <c r="AE240" s="25">
        <v>32.4</v>
      </c>
      <c r="AF240" s="25">
        <v>50.4</v>
      </c>
      <c r="AG240" s="25">
        <v>41.8</v>
      </c>
      <c r="AH240" s="25">
        <v>37.9</v>
      </c>
      <c r="AI240" s="25">
        <v>36.2</v>
      </c>
      <c r="AJ240" s="25">
        <v>76.4</v>
      </c>
      <c r="AK240" s="25">
        <f t="shared" si="37"/>
        <v>242.7</v>
      </c>
      <c r="AL240" s="25">
        <v>99</v>
      </c>
      <c r="AM240" s="25">
        <v>29.9</v>
      </c>
      <c r="AN240" s="19">
        <v>10.9</v>
      </c>
      <c r="AO240" s="25">
        <v>7.5</v>
      </c>
      <c r="AP240" s="25">
        <f t="shared" si="38"/>
        <v>147.3</v>
      </c>
      <c r="AQ240" s="25">
        <v>10.6</v>
      </c>
      <c r="AR240" s="25">
        <v>40.1</v>
      </c>
      <c r="AS240" s="25">
        <v>28.4</v>
      </c>
      <c r="AT240" s="25">
        <v>29.8</v>
      </c>
      <c r="AU240" s="25">
        <f t="shared" si="39"/>
        <v>108.9</v>
      </c>
      <c r="AV240" s="25">
        <v>30.1</v>
      </c>
      <c r="AW240" s="19">
        <v>1589.6</v>
      </c>
      <c r="AX240" s="25">
        <v>77.1</v>
      </c>
      <c r="AY240" s="19">
        <v>1666.7</v>
      </c>
      <c r="AZ240" s="25">
        <v>1539.3</v>
      </c>
      <c r="BA240" s="25">
        <v>349.8</v>
      </c>
      <c r="BB240" s="25">
        <v>1889.2</v>
      </c>
      <c r="BC240" s="25">
        <f t="shared" si="40"/>
        <v>1.76853025399793</v>
      </c>
    </row>
    <row r="241" ht="14" spans="1:55">
      <c r="A241" s="29">
        <v>2020</v>
      </c>
      <c r="B241" s="29">
        <v>310000</v>
      </c>
      <c r="C241" s="30" t="s">
        <v>74</v>
      </c>
      <c r="D241" s="25">
        <v>0</v>
      </c>
      <c r="E241" s="25">
        <v>1</v>
      </c>
      <c r="F241" s="25">
        <v>0</v>
      </c>
      <c r="G241" s="25">
        <v>0</v>
      </c>
      <c r="H241" s="19">
        <v>57.8</v>
      </c>
      <c r="I241" s="19">
        <v>42.2</v>
      </c>
      <c r="J241" s="25">
        <v>0.5</v>
      </c>
      <c r="K241" s="25">
        <v>4.8</v>
      </c>
      <c r="L241" s="25">
        <f t="shared" si="31"/>
        <v>5.3</v>
      </c>
      <c r="M241" s="25">
        <v>28.1</v>
      </c>
      <c r="N241" s="25">
        <v>16.7</v>
      </c>
      <c r="O241" s="25">
        <v>17.7</v>
      </c>
      <c r="P241" s="25">
        <f t="shared" si="32"/>
        <v>62.5</v>
      </c>
      <c r="Q241" s="25">
        <v>26.2</v>
      </c>
      <c r="R241" s="19">
        <v>6</v>
      </c>
      <c r="S241" s="19">
        <f t="shared" si="33"/>
        <v>32.2</v>
      </c>
      <c r="T241" s="19">
        <v>27</v>
      </c>
      <c r="U241" s="19">
        <f t="shared" si="34"/>
        <v>0.0196506550218341</v>
      </c>
      <c r="V241" s="19">
        <v>448</v>
      </c>
      <c r="W241" s="19">
        <f t="shared" si="35"/>
        <v>0.326055312954876</v>
      </c>
      <c r="X241" s="19">
        <v>899</v>
      </c>
      <c r="Y241" s="14">
        <f t="shared" si="36"/>
        <v>0.65429403202329</v>
      </c>
      <c r="Z241" s="14">
        <v>1374</v>
      </c>
      <c r="AA241" s="25">
        <v>0.9</v>
      </c>
      <c r="AB241" s="25">
        <v>0.1</v>
      </c>
      <c r="AC241" s="25">
        <v>130.5</v>
      </c>
      <c r="AD241" s="25">
        <v>3.4</v>
      </c>
      <c r="AE241" s="25">
        <v>28.5</v>
      </c>
      <c r="AF241" s="25">
        <v>47.8</v>
      </c>
      <c r="AG241" s="25">
        <v>44.8</v>
      </c>
      <c r="AH241" s="25">
        <v>29.7</v>
      </c>
      <c r="AI241" s="25">
        <v>32.1</v>
      </c>
      <c r="AJ241" s="25">
        <v>68.9</v>
      </c>
      <c r="AK241" s="25">
        <f t="shared" si="37"/>
        <v>223.3</v>
      </c>
      <c r="AL241" s="25">
        <v>89</v>
      </c>
      <c r="AM241" s="25">
        <v>26.3</v>
      </c>
      <c r="AN241" s="19">
        <v>11.1</v>
      </c>
      <c r="AO241" s="25">
        <v>6</v>
      </c>
      <c r="AP241" s="25">
        <f t="shared" si="38"/>
        <v>132.4</v>
      </c>
      <c r="AQ241" s="25">
        <v>10.2</v>
      </c>
      <c r="AR241" s="25">
        <v>38.1</v>
      </c>
      <c r="AS241" s="25">
        <v>29.6</v>
      </c>
      <c r="AT241" s="25">
        <v>20</v>
      </c>
      <c r="AU241" s="25">
        <f t="shared" si="39"/>
        <v>97.9</v>
      </c>
      <c r="AV241" s="25">
        <v>28.5</v>
      </c>
      <c r="AW241" s="19">
        <v>1616.7</v>
      </c>
      <c r="AX241" s="25">
        <v>76.2</v>
      </c>
      <c r="AY241" s="19">
        <v>1692.9</v>
      </c>
      <c r="AZ241" s="25">
        <v>1587.2</v>
      </c>
      <c r="BA241" s="25">
        <v>356</v>
      </c>
      <c r="BB241" s="25">
        <v>1943.2</v>
      </c>
      <c r="BC241" s="25">
        <f t="shared" si="40"/>
        <v>1.77178551712148</v>
      </c>
    </row>
    <row r="242" ht="14" spans="1:55">
      <c r="A242" s="29">
        <v>2021</v>
      </c>
      <c r="B242" s="29">
        <v>310000</v>
      </c>
      <c r="C242" s="30" t="s">
        <v>74</v>
      </c>
      <c r="D242" s="25">
        <v>0</v>
      </c>
      <c r="E242" s="25">
        <v>1</v>
      </c>
      <c r="F242" s="25">
        <v>0</v>
      </c>
      <c r="G242" s="25">
        <v>0</v>
      </c>
      <c r="H242" s="19">
        <v>58.368</v>
      </c>
      <c r="I242" s="19">
        <v>41.632</v>
      </c>
      <c r="J242" s="25">
        <v>0.522</v>
      </c>
      <c r="K242" s="25">
        <v>4.563</v>
      </c>
      <c r="L242" s="25">
        <f t="shared" si="31"/>
        <v>5.085</v>
      </c>
      <c r="M242" s="25">
        <v>24.954</v>
      </c>
      <c r="N242" s="25">
        <v>17.371</v>
      </c>
      <c r="O242" s="25">
        <v>18.366</v>
      </c>
      <c r="P242" s="25">
        <f t="shared" si="32"/>
        <v>60.691</v>
      </c>
      <c r="Q242" s="25">
        <v>26.932</v>
      </c>
      <c r="R242" s="19">
        <v>7.292</v>
      </c>
      <c r="S242" s="19">
        <f t="shared" si="33"/>
        <v>34.224</v>
      </c>
      <c r="T242" s="19">
        <v>25</v>
      </c>
      <c r="U242" s="19">
        <f t="shared" si="34"/>
        <v>0.0183150183150183</v>
      </c>
      <c r="V242" s="19">
        <v>445</v>
      </c>
      <c r="W242" s="19">
        <f t="shared" si="35"/>
        <v>0.326007326007326</v>
      </c>
      <c r="X242" s="19">
        <v>895</v>
      </c>
      <c r="Y242" s="14">
        <f t="shared" si="36"/>
        <v>0.655677655677656</v>
      </c>
      <c r="Z242" s="14">
        <v>1365</v>
      </c>
      <c r="AA242" s="25">
        <v>0.8</v>
      </c>
      <c r="AB242" s="25">
        <v>0.2</v>
      </c>
      <c r="AC242" s="25">
        <v>133.7</v>
      </c>
      <c r="AD242" s="25">
        <v>3.4</v>
      </c>
      <c r="AE242" s="25">
        <v>28.4</v>
      </c>
      <c r="AF242" s="25">
        <v>46.9</v>
      </c>
      <c r="AG242" s="25">
        <v>50.7</v>
      </c>
      <c r="AH242" s="25">
        <v>32.4</v>
      </c>
      <c r="AI242" s="25">
        <v>35.8</v>
      </c>
      <c r="AJ242" s="25">
        <v>82.2</v>
      </c>
      <c r="AK242" s="25">
        <f t="shared" si="37"/>
        <v>248</v>
      </c>
      <c r="AL242" s="25">
        <v>93.3</v>
      </c>
      <c r="AM242" s="25">
        <v>28.2</v>
      </c>
      <c r="AN242" s="19">
        <v>10.2</v>
      </c>
      <c r="AO242" s="25">
        <v>6</v>
      </c>
      <c r="AP242" s="25">
        <f t="shared" si="38"/>
        <v>137.7</v>
      </c>
      <c r="AQ242" s="25">
        <v>13.6</v>
      </c>
      <c r="AR242" s="25">
        <v>38.5</v>
      </c>
      <c r="AS242" s="25">
        <v>31.2</v>
      </c>
      <c r="AT242" s="25">
        <v>19.3</v>
      </c>
      <c r="AU242" s="25">
        <f t="shared" si="39"/>
        <v>102.6</v>
      </c>
      <c r="AV242" s="25">
        <v>28.2</v>
      </c>
      <c r="AW242" s="19">
        <v>1654.363</v>
      </c>
      <c r="AX242" s="25">
        <v>74.42</v>
      </c>
      <c r="AY242" s="19">
        <v>1728.783</v>
      </c>
      <c r="AZ242" s="25">
        <v>1613.433</v>
      </c>
      <c r="BA242" s="25">
        <v>365.046</v>
      </c>
      <c r="BB242" s="25">
        <v>1978.479</v>
      </c>
      <c r="BC242" s="25">
        <f t="shared" si="40"/>
        <v>1.77244397365795</v>
      </c>
    </row>
    <row r="243" ht="14" spans="1:55">
      <c r="A243" s="29">
        <v>2022</v>
      </c>
      <c r="B243" s="29">
        <v>310000</v>
      </c>
      <c r="C243" s="30" t="s">
        <v>74</v>
      </c>
      <c r="D243" s="25">
        <v>0</v>
      </c>
      <c r="E243" s="25">
        <v>1</v>
      </c>
      <c r="F243" s="25">
        <v>0</v>
      </c>
      <c r="G243" s="25">
        <v>0</v>
      </c>
      <c r="H243" s="19">
        <v>58.222</v>
      </c>
      <c r="I243" s="19">
        <v>41.778</v>
      </c>
      <c r="J243" s="25">
        <v>0.502</v>
      </c>
      <c r="K243" s="25">
        <v>5.368</v>
      </c>
      <c r="L243" s="25">
        <f t="shared" si="31"/>
        <v>5.87</v>
      </c>
      <c r="M243" s="25">
        <v>25.502</v>
      </c>
      <c r="N243" s="25">
        <v>14.894</v>
      </c>
      <c r="O243" s="25">
        <v>17.634</v>
      </c>
      <c r="P243" s="25">
        <f t="shared" si="32"/>
        <v>58.03</v>
      </c>
      <c r="Q243" s="25">
        <v>28.706</v>
      </c>
      <c r="R243" s="19">
        <v>7.395</v>
      </c>
      <c r="S243" s="19">
        <f t="shared" si="33"/>
        <v>36.101</v>
      </c>
      <c r="T243" s="19">
        <v>21</v>
      </c>
      <c r="U243" s="19">
        <f t="shared" si="34"/>
        <v>0.0155902004454343</v>
      </c>
      <c r="V243" s="19">
        <v>439</v>
      </c>
      <c r="W243" s="19">
        <f t="shared" si="35"/>
        <v>0.325909428359317</v>
      </c>
      <c r="X243" s="19">
        <v>887</v>
      </c>
      <c r="Y243" s="14">
        <f t="shared" si="36"/>
        <v>0.658500371195249</v>
      </c>
      <c r="Z243" s="14">
        <v>1347</v>
      </c>
      <c r="AA243" s="25">
        <v>0.8</v>
      </c>
      <c r="AB243" s="25">
        <v>0.2</v>
      </c>
      <c r="AC243" s="25">
        <v>127.5</v>
      </c>
      <c r="AD243" s="25">
        <v>3.4</v>
      </c>
      <c r="AE243" s="25">
        <v>27.1</v>
      </c>
      <c r="AF243" s="25">
        <v>44.8</v>
      </c>
      <c r="AG243" s="25">
        <v>54.4</v>
      </c>
      <c r="AH243" s="25">
        <v>34.8</v>
      </c>
      <c r="AI243" s="25">
        <v>38.4</v>
      </c>
      <c r="AJ243" s="25">
        <v>79.2</v>
      </c>
      <c r="AK243" s="25">
        <f t="shared" si="37"/>
        <v>251.6</v>
      </c>
      <c r="AL243" s="25">
        <v>91.9</v>
      </c>
      <c r="AM243" s="25">
        <v>26.3</v>
      </c>
      <c r="AN243" s="19">
        <v>10.2</v>
      </c>
      <c r="AO243" s="25">
        <v>5.6</v>
      </c>
      <c r="AP243" s="25">
        <f t="shared" si="38"/>
        <v>134</v>
      </c>
      <c r="AQ243" s="25">
        <v>12.8</v>
      </c>
      <c r="AR243" s="25">
        <v>37.6</v>
      </c>
      <c r="AS243" s="25">
        <v>31.3</v>
      </c>
      <c r="AT243" s="25">
        <v>18.8</v>
      </c>
      <c r="AU243" s="25">
        <f t="shared" si="39"/>
        <v>100.5</v>
      </c>
      <c r="AV243" s="25">
        <v>27.4</v>
      </c>
      <c r="AW243" s="19">
        <v>1659.383</v>
      </c>
      <c r="AX243" s="25">
        <v>73.138</v>
      </c>
      <c r="AY243" s="19">
        <v>1732.521</v>
      </c>
      <c r="AZ243" s="25">
        <v>1623.741</v>
      </c>
      <c r="BA243" s="25">
        <v>365.81</v>
      </c>
      <c r="BB243" s="25">
        <v>1989.551</v>
      </c>
      <c r="BC243" s="25">
        <f t="shared" si="40"/>
        <v>1.77391961002125</v>
      </c>
    </row>
    <row r="244" ht="14" spans="1:55">
      <c r="A244" s="29">
        <v>2013</v>
      </c>
      <c r="B244" s="29">
        <v>510000</v>
      </c>
      <c r="C244" s="30" t="s">
        <v>75</v>
      </c>
      <c r="D244" s="25">
        <v>1</v>
      </c>
      <c r="E244" s="25">
        <v>0</v>
      </c>
      <c r="F244" s="25">
        <v>0</v>
      </c>
      <c r="G244" s="25">
        <v>0</v>
      </c>
      <c r="H244" s="19">
        <v>50.875</v>
      </c>
      <c r="I244" s="19">
        <v>49.125</v>
      </c>
      <c r="J244" s="25">
        <v>1.893</v>
      </c>
      <c r="K244" s="25">
        <v>26.598</v>
      </c>
      <c r="L244" s="25">
        <f t="shared" si="31"/>
        <v>28.491</v>
      </c>
      <c r="M244" s="25">
        <v>46.699</v>
      </c>
      <c r="N244" s="25">
        <v>14.121</v>
      </c>
      <c r="O244" s="25">
        <v>6.424</v>
      </c>
      <c r="P244" s="25">
        <f t="shared" si="32"/>
        <v>67.244</v>
      </c>
      <c r="Q244" s="25">
        <v>3.915</v>
      </c>
      <c r="R244" s="19">
        <v>0.35</v>
      </c>
      <c r="S244" s="19">
        <f t="shared" si="33"/>
        <v>4.265</v>
      </c>
      <c r="T244" s="19">
        <v>1854</v>
      </c>
      <c r="U244" s="19">
        <f t="shared" si="34"/>
        <v>0.400086318515322</v>
      </c>
      <c r="V244" s="19">
        <v>1163</v>
      </c>
      <c r="W244" s="19">
        <f t="shared" si="35"/>
        <v>0.250971083297367</v>
      </c>
      <c r="X244" s="19">
        <v>1617</v>
      </c>
      <c r="Y244" s="14">
        <f t="shared" si="36"/>
        <v>0.348942598187311</v>
      </c>
      <c r="Z244" s="14">
        <v>4634</v>
      </c>
      <c r="AA244" s="25">
        <v>3.7</v>
      </c>
      <c r="AB244" s="25">
        <v>23.2</v>
      </c>
      <c r="AC244" s="25">
        <v>204.6</v>
      </c>
      <c r="AD244" s="25">
        <v>27.2</v>
      </c>
      <c r="AE244" s="25">
        <v>177.8</v>
      </c>
      <c r="AF244" s="25">
        <v>39.4</v>
      </c>
      <c r="AG244" s="25">
        <v>15.6</v>
      </c>
      <c r="AH244" s="25">
        <v>24.1</v>
      </c>
      <c r="AI244" s="25">
        <v>19.9</v>
      </c>
      <c r="AJ244" s="25">
        <v>12.2</v>
      </c>
      <c r="AK244" s="25">
        <f t="shared" si="37"/>
        <v>111.2</v>
      </c>
      <c r="AL244" s="25">
        <v>33.2</v>
      </c>
      <c r="AM244" s="25">
        <v>12.5</v>
      </c>
      <c r="AN244" s="19">
        <v>1.7</v>
      </c>
      <c r="AO244" s="25">
        <v>5.9</v>
      </c>
      <c r="AP244" s="25">
        <f t="shared" si="38"/>
        <v>53.3</v>
      </c>
      <c r="AQ244" s="25">
        <v>12.1</v>
      </c>
      <c r="AR244" s="25">
        <v>90.9</v>
      </c>
      <c r="AS244" s="25">
        <v>42.7</v>
      </c>
      <c r="AT244" s="25">
        <v>83.9</v>
      </c>
      <c r="AU244" s="25">
        <f t="shared" si="39"/>
        <v>229.6</v>
      </c>
      <c r="AV244" s="25">
        <v>15.7</v>
      </c>
      <c r="AW244" s="19">
        <v>1720.259</v>
      </c>
      <c r="AX244" s="25">
        <v>3001.562</v>
      </c>
      <c r="AY244" s="19">
        <v>4721.82</v>
      </c>
      <c r="AZ244" s="25">
        <v>1282.019</v>
      </c>
      <c r="BA244" s="25">
        <v>1203.959</v>
      </c>
      <c r="BB244" s="25">
        <v>2485.978</v>
      </c>
      <c r="BC244" s="25">
        <f t="shared" si="40"/>
        <v>0.880021231256175</v>
      </c>
    </row>
    <row r="245" ht="14" spans="1:55">
      <c r="A245" s="29">
        <v>2014</v>
      </c>
      <c r="B245" s="29">
        <v>510000</v>
      </c>
      <c r="C245" s="30" t="s">
        <v>75</v>
      </c>
      <c r="D245" s="25">
        <v>1</v>
      </c>
      <c r="E245" s="25">
        <v>0</v>
      </c>
      <c r="F245" s="25">
        <v>0</v>
      </c>
      <c r="G245" s="25">
        <v>0</v>
      </c>
      <c r="H245" s="19">
        <v>53.8</v>
      </c>
      <c r="I245" s="19">
        <v>46.2</v>
      </c>
      <c r="J245" s="25">
        <v>2.1</v>
      </c>
      <c r="K245" s="25">
        <v>26.4</v>
      </c>
      <c r="L245" s="25">
        <f t="shared" si="31"/>
        <v>28.5</v>
      </c>
      <c r="M245" s="25">
        <v>45.3</v>
      </c>
      <c r="N245" s="25">
        <v>15.3</v>
      </c>
      <c r="O245" s="25">
        <v>7.1</v>
      </c>
      <c r="P245" s="25">
        <f t="shared" si="32"/>
        <v>67.7</v>
      </c>
      <c r="Q245" s="25">
        <v>3.7</v>
      </c>
      <c r="R245" s="19">
        <v>0.2</v>
      </c>
      <c r="S245" s="19">
        <f t="shared" si="33"/>
        <v>3.9</v>
      </c>
      <c r="T245" s="19">
        <v>1804</v>
      </c>
      <c r="U245" s="19">
        <f t="shared" si="34"/>
        <v>0.388960758947822</v>
      </c>
      <c r="V245" s="19">
        <v>1155</v>
      </c>
      <c r="W245" s="19">
        <f t="shared" si="35"/>
        <v>0.249029754204398</v>
      </c>
      <c r="X245" s="19">
        <v>1679</v>
      </c>
      <c r="Y245" s="14">
        <f t="shared" si="36"/>
        <v>0.362009486847779</v>
      </c>
      <c r="Z245" s="14">
        <v>4638</v>
      </c>
      <c r="AA245" s="25">
        <v>3.2</v>
      </c>
      <c r="AB245" s="25">
        <v>23.5</v>
      </c>
      <c r="AC245" s="25">
        <v>175.4</v>
      </c>
      <c r="AD245" s="25">
        <v>26.7</v>
      </c>
      <c r="AE245" s="25">
        <v>155.6</v>
      </c>
      <c r="AF245" s="25">
        <v>41.3</v>
      </c>
      <c r="AG245" s="25">
        <v>16.3</v>
      </c>
      <c r="AH245" s="25">
        <v>24.2</v>
      </c>
      <c r="AI245" s="25">
        <v>21.1</v>
      </c>
      <c r="AJ245" s="25">
        <v>12.7</v>
      </c>
      <c r="AK245" s="25">
        <f t="shared" si="37"/>
        <v>115.6</v>
      </c>
      <c r="AL245" s="25">
        <v>32.3</v>
      </c>
      <c r="AM245" s="25">
        <v>11.5</v>
      </c>
      <c r="AN245" s="19">
        <v>1.8</v>
      </c>
      <c r="AO245" s="25">
        <v>6.3</v>
      </c>
      <c r="AP245" s="25">
        <f t="shared" si="38"/>
        <v>51.9</v>
      </c>
      <c r="AQ245" s="25">
        <v>13.2</v>
      </c>
      <c r="AR245" s="25">
        <v>94.6</v>
      </c>
      <c r="AS245" s="25">
        <v>45.1</v>
      </c>
      <c r="AT245" s="25">
        <v>86.3</v>
      </c>
      <c r="AU245" s="25">
        <f t="shared" si="39"/>
        <v>239.2</v>
      </c>
      <c r="AV245" s="25">
        <v>17.7</v>
      </c>
      <c r="AW245" s="19">
        <v>1839.7</v>
      </c>
      <c r="AX245" s="25">
        <v>3013.9</v>
      </c>
      <c r="AY245" s="19">
        <v>4853.6</v>
      </c>
      <c r="AZ245" s="25">
        <v>1329.4</v>
      </c>
      <c r="BA245" s="25">
        <v>1247.1</v>
      </c>
      <c r="BB245" s="25">
        <v>2576.5</v>
      </c>
      <c r="BC245" s="25">
        <f t="shared" si="40"/>
        <v>0.895009518523841</v>
      </c>
    </row>
    <row r="246" ht="14" spans="1:55">
      <c r="A246" s="29">
        <v>2015</v>
      </c>
      <c r="B246" s="29">
        <v>510000</v>
      </c>
      <c r="C246" s="30" t="s">
        <v>75</v>
      </c>
      <c r="D246" s="25">
        <v>1</v>
      </c>
      <c r="E246" s="25">
        <v>0</v>
      </c>
      <c r="F246" s="25">
        <v>0</v>
      </c>
      <c r="G246" s="25">
        <v>0</v>
      </c>
      <c r="H246" s="19">
        <v>56.725</v>
      </c>
      <c r="I246" s="19">
        <v>43.275</v>
      </c>
      <c r="J246" s="25">
        <v>4.227</v>
      </c>
      <c r="K246" s="25">
        <v>29.806</v>
      </c>
      <c r="L246" s="25">
        <f t="shared" si="31"/>
        <v>34.033</v>
      </c>
      <c r="M246" s="25">
        <v>39.023</v>
      </c>
      <c r="N246" s="25">
        <v>10.038</v>
      </c>
      <c r="O246" s="25">
        <v>6.953</v>
      </c>
      <c r="P246" s="25">
        <f t="shared" si="32"/>
        <v>56.014</v>
      </c>
      <c r="Q246" s="25">
        <v>4.619</v>
      </c>
      <c r="R246" s="19">
        <v>0.386</v>
      </c>
      <c r="S246" s="19">
        <f t="shared" si="33"/>
        <v>5.005</v>
      </c>
      <c r="T246" s="19">
        <v>1758.4</v>
      </c>
      <c r="U246" s="19">
        <f t="shared" si="34"/>
        <v>0.37798796216681</v>
      </c>
      <c r="V246" s="19">
        <v>1144.4</v>
      </c>
      <c r="W246" s="19">
        <f t="shared" si="35"/>
        <v>0.246001719690456</v>
      </c>
      <c r="X246" s="19">
        <v>1749.2</v>
      </c>
      <c r="Y246" s="14">
        <f t="shared" si="36"/>
        <v>0.376010318142734</v>
      </c>
      <c r="Z246" s="14">
        <v>4652</v>
      </c>
      <c r="AA246" s="25">
        <v>2.9</v>
      </c>
      <c r="AB246" s="25">
        <v>19.6</v>
      </c>
      <c r="AC246" s="25">
        <v>159.7</v>
      </c>
      <c r="AD246" s="25">
        <v>26.1</v>
      </c>
      <c r="AE246" s="25">
        <v>153.9</v>
      </c>
      <c r="AF246" s="25">
        <v>40.7</v>
      </c>
      <c r="AG246" s="25">
        <v>18.3</v>
      </c>
      <c r="AH246" s="25">
        <v>25.9</v>
      </c>
      <c r="AI246" s="25">
        <v>21</v>
      </c>
      <c r="AJ246" s="25">
        <v>14.2</v>
      </c>
      <c r="AK246" s="25">
        <f t="shared" si="37"/>
        <v>120.1</v>
      </c>
      <c r="AL246" s="25">
        <v>30.9</v>
      </c>
      <c r="AM246" s="25">
        <v>10.6</v>
      </c>
      <c r="AN246" s="19">
        <v>1.9</v>
      </c>
      <c r="AO246" s="25">
        <v>6.1</v>
      </c>
      <c r="AP246" s="25">
        <f t="shared" si="38"/>
        <v>49.5</v>
      </c>
      <c r="AQ246" s="25">
        <v>12.8</v>
      </c>
      <c r="AR246" s="25">
        <v>94.8</v>
      </c>
      <c r="AS246" s="25">
        <v>46.8</v>
      </c>
      <c r="AT246" s="25">
        <v>90.8</v>
      </c>
      <c r="AU246" s="25">
        <f t="shared" si="39"/>
        <v>245.2</v>
      </c>
      <c r="AV246" s="25">
        <v>18.6</v>
      </c>
      <c r="AW246" s="19">
        <v>1938.984</v>
      </c>
      <c r="AX246" s="25">
        <v>3020.414</v>
      </c>
      <c r="AY246" s="19">
        <v>4959.398</v>
      </c>
      <c r="AZ246" s="25">
        <v>1378.588</v>
      </c>
      <c r="BA246" s="25">
        <v>1272.128</v>
      </c>
      <c r="BB246" s="25">
        <v>2650.716</v>
      </c>
      <c r="BC246" s="25">
        <f t="shared" si="40"/>
        <v>0.911053012850326</v>
      </c>
    </row>
    <row r="247" ht="14" spans="1:55">
      <c r="A247" s="29">
        <v>2016</v>
      </c>
      <c r="B247" s="29">
        <v>510000</v>
      </c>
      <c r="C247" s="30" t="s">
        <v>75</v>
      </c>
      <c r="D247" s="25">
        <v>1</v>
      </c>
      <c r="E247" s="25">
        <v>0</v>
      </c>
      <c r="F247" s="25">
        <v>0</v>
      </c>
      <c r="G247" s="25">
        <v>0</v>
      </c>
      <c r="H247" s="19">
        <v>54.709</v>
      </c>
      <c r="I247" s="19">
        <v>45.291</v>
      </c>
      <c r="J247" s="25">
        <v>3.864</v>
      </c>
      <c r="K247" s="25">
        <v>29.382</v>
      </c>
      <c r="L247" s="25">
        <f t="shared" si="31"/>
        <v>33.246</v>
      </c>
      <c r="M247" s="25">
        <v>39.102</v>
      </c>
      <c r="N247" s="25">
        <v>9.598</v>
      </c>
      <c r="O247" s="25">
        <v>7.822</v>
      </c>
      <c r="P247" s="25">
        <f t="shared" si="32"/>
        <v>56.522</v>
      </c>
      <c r="Q247" s="25">
        <v>5.083</v>
      </c>
      <c r="R247" s="19">
        <v>0.361</v>
      </c>
      <c r="S247" s="19">
        <f t="shared" si="33"/>
        <v>5.444</v>
      </c>
      <c r="T247" s="19">
        <v>1709</v>
      </c>
      <c r="U247" s="19">
        <f t="shared" si="34"/>
        <v>0.366974447068929</v>
      </c>
      <c r="V247" s="19">
        <v>1132</v>
      </c>
      <c r="W247" s="19">
        <f t="shared" si="35"/>
        <v>0.243074940949109</v>
      </c>
      <c r="X247" s="19">
        <v>1816</v>
      </c>
      <c r="Y247" s="14">
        <f t="shared" si="36"/>
        <v>0.389950611981963</v>
      </c>
      <c r="Z247" s="14">
        <v>4657</v>
      </c>
      <c r="AA247" s="25">
        <v>2.8</v>
      </c>
      <c r="AB247" s="25">
        <v>18.6</v>
      </c>
      <c r="AC247" s="25">
        <v>148.3</v>
      </c>
      <c r="AD247" s="25">
        <v>23.2</v>
      </c>
      <c r="AE247" s="25">
        <v>151.5</v>
      </c>
      <c r="AF247" s="25">
        <v>40.4</v>
      </c>
      <c r="AG247" s="25">
        <v>18.4</v>
      </c>
      <c r="AH247" s="25">
        <v>30.4</v>
      </c>
      <c r="AI247" s="25">
        <v>21.1</v>
      </c>
      <c r="AJ247" s="25">
        <v>15.6</v>
      </c>
      <c r="AK247" s="25">
        <f t="shared" si="37"/>
        <v>125.9</v>
      </c>
      <c r="AL247" s="25">
        <v>30.5</v>
      </c>
      <c r="AM247" s="25">
        <v>9.7</v>
      </c>
      <c r="AN247" s="19">
        <v>2.2</v>
      </c>
      <c r="AO247" s="25">
        <v>6.1</v>
      </c>
      <c r="AP247" s="25">
        <f t="shared" si="38"/>
        <v>48.5</v>
      </c>
      <c r="AQ247" s="25">
        <v>13</v>
      </c>
      <c r="AR247" s="25">
        <v>94.4</v>
      </c>
      <c r="AS247" s="25">
        <v>48.5</v>
      </c>
      <c r="AT247" s="25">
        <v>93.1</v>
      </c>
      <c r="AU247" s="25">
        <f t="shared" si="39"/>
        <v>249</v>
      </c>
      <c r="AV247" s="25">
        <v>19.8</v>
      </c>
      <c r="AW247" s="19">
        <v>2157.603</v>
      </c>
      <c r="AX247" s="25">
        <v>3052.377</v>
      </c>
      <c r="AY247" s="19">
        <v>5209.98</v>
      </c>
      <c r="AZ247" s="25">
        <v>1440.647</v>
      </c>
      <c r="BA247" s="25">
        <v>3616.161</v>
      </c>
      <c r="BB247" s="25">
        <v>5056.808</v>
      </c>
      <c r="BC247" s="25">
        <f t="shared" si="40"/>
        <v>0.69902140966197</v>
      </c>
    </row>
    <row r="248" ht="14" spans="1:55">
      <c r="A248" s="29">
        <v>2017</v>
      </c>
      <c r="B248" s="29">
        <v>510000</v>
      </c>
      <c r="C248" s="30" t="s">
        <v>75</v>
      </c>
      <c r="D248" s="25">
        <v>1</v>
      </c>
      <c r="E248" s="25">
        <v>0</v>
      </c>
      <c r="F248" s="25">
        <v>0</v>
      </c>
      <c r="G248" s="25">
        <v>0</v>
      </c>
      <c r="H248" s="19">
        <v>54.346</v>
      </c>
      <c r="I248" s="19">
        <v>45.654</v>
      </c>
      <c r="J248" s="25">
        <v>3.436</v>
      </c>
      <c r="K248" s="25">
        <v>29.375</v>
      </c>
      <c r="L248" s="25">
        <f t="shared" si="31"/>
        <v>32.811</v>
      </c>
      <c r="M248" s="25">
        <v>39.185</v>
      </c>
      <c r="N248" s="25">
        <v>9.823</v>
      </c>
      <c r="O248" s="25">
        <v>7.641</v>
      </c>
      <c r="P248" s="25">
        <f t="shared" si="32"/>
        <v>56.649</v>
      </c>
      <c r="Q248" s="25">
        <v>5.117</v>
      </c>
      <c r="R248" s="19">
        <v>0.363</v>
      </c>
      <c r="S248" s="19">
        <f t="shared" si="33"/>
        <v>5.48</v>
      </c>
      <c r="T248" s="19">
        <v>1661.5</v>
      </c>
      <c r="U248" s="19">
        <f t="shared" si="34"/>
        <v>0.356010284979644</v>
      </c>
      <c r="V248" s="19">
        <v>1120</v>
      </c>
      <c r="W248" s="19">
        <f t="shared" si="35"/>
        <v>0.239982858367259</v>
      </c>
      <c r="X248" s="19">
        <v>1885.5</v>
      </c>
      <c r="Y248" s="14">
        <f t="shared" si="36"/>
        <v>0.404006856653096</v>
      </c>
      <c r="Z248" s="14">
        <v>4667</v>
      </c>
      <c r="AA248" s="25">
        <v>2.5</v>
      </c>
      <c r="AB248" s="25">
        <v>17</v>
      </c>
      <c r="AC248" s="25">
        <v>147.3</v>
      </c>
      <c r="AD248" s="25">
        <v>22.1</v>
      </c>
      <c r="AE248" s="25">
        <v>145.5</v>
      </c>
      <c r="AF248" s="25">
        <v>38.9</v>
      </c>
      <c r="AG248" s="25">
        <v>20.1</v>
      </c>
      <c r="AH248" s="25">
        <v>31.7</v>
      </c>
      <c r="AI248" s="25">
        <v>21.9</v>
      </c>
      <c r="AJ248" s="25">
        <v>16.8</v>
      </c>
      <c r="AK248" s="25">
        <f t="shared" si="37"/>
        <v>129.4</v>
      </c>
      <c r="AL248" s="25">
        <v>30.2</v>
      </c>
      <c r="AM248" s="25">
        <v>9.3</v>
      </c>
      <c r="AN248" s="19">
        <v>2.7</v>
      </c>
      <c r="AO248" s="25">
        <v>6.3</v>
      </c>
      <c r="AP248" s="25">
        <f t="shared" si="38"/>
        <v>48.5</v>
      </c>
      <c r="AQ248" s="25">
        <v>12.7</v>
      </c>
      <c r="AR248" s="25">
        <v>96</v>
      </c>
      <c r="AS248" s="25">
        <v>51.4</v>
      </c>
      <c r="AT248" s="25">
        <v>98.2</v>
      </c>
      <c r="AU248" s="25">
        <f t="shared" si="39"/>
        <v>258.3</v>
      </c>
      <c r="AV248" s="25">
        <v>21.5</v>
      </c>
      <c r="AW248" s="19">
        <v>2335.069</v>
      </c>
      <c r="AX248" s="25">
        <v>3074.878</v>
      </c>
      <c r="AY248" s="19">
        <v>5409.947</v>
      </c>
      <c r="AZ248" s="25">
        <v>1526.4</v>
      </c>
      <c r="BA248" s="25">
        <v>6188.439</v>
      </c>
      <c r="BB248" s="25">
        <v>7714.839</v>
      </c>
      <c r="BC248" s="25">
        <f t="shared" si="40"/>
        <v>0.629477591983282</v>
      </c>
    </row>
    <row r="249" ht="14" spans="1:55">
      <c r="A249" s="29">
        <v>2018</v>
      </c>
      <c r="B249" s="29">
        <v>510000</v>
      </c>
      <c r="C249" s="30" t="s">
        <v>75</v>
      </c>
      <c r="D249" s="25">
        <v>1</v>
      </c>
      <c r="E249" s="25">
        <v>0</v>
      </c>
      <c r="F249" s="25">
        <v>0</v>
      </c>
      <c r="G249" s="25">
        <v>0</v>
      </c>
      <c r="H249" s="19">
        <v>54.233</v>
      </c>
      <c r="I249" s="19">
        <v>45.767</v>
      </c>
      <c r="J249" s="25">
        <v>3.645</v>
      </c>
      <c r="K249" s="25">
        <v>30.06</v>
      </c>
      <c r="L249" s="25">
        <f t="shared" si="31"/>
        <v>33.705</v>
      </c>
      <c r="M249" s="25">
        <v>39.023</v>
      </c>
      <c r="N249" s="25">
        <v>10.021</v>
      </c>
      <c r="O249" s="25">
        <v>7.333</v>
      </c>
      <c r="P249" s="25">
        <f t="shared" si="32"/>
        <v>56.377</v>
      </c>
      <c r="Q249" s="25">
        <v>5.126</v>
      </c>
      <c r="R249" s="19">
        <v>0.333</v>
      </c>
      <c r="S249" s="19">
        <f t="shared" si="33"/>
        <v>5.459</v>
      </c>
      <c r="T249" s="19">
        <v>1618</v>
      </c>
      <c r="U249" s="19">
        <f t="shared" si="34"/>
        <v>0.34498933901919</v>
      </c>
      <c r="V249" s="19">
        <v>1112</v>
      </c>
      <c r="W249" s="19">
        <f t="shared" si="35"/>
        <v>0.237100213219616</v>
      </c>
      <c r="X249" s="19">
        <v>1960</v>
      </c>
      <c r="Y249" s="14">
        <f t="shared" si="36"/>
        <v>0.417910447761194</v>
      </c>
      <c r="Z249" s="14">
        <v>4690</v>
      </c>
      <c r="AA249" s="25">
        <v>2.1</v>
      </c>
      <c r="AB249" s="25">
        <v>13.5</v>
      </c>
      <c r="AC249" s="25">
        <v>127.3</v>
      </c>
      <c r="AD249" s="25">
        <v>22.4</v>
      </c>
      <c r="AE249" s="25">
        <v>160.4</v>
      </c>
      <c r="AF249" s="25">
        <v>37.4</v>
      </c>
      <c r="AG249" s="25">
        <v>19.3</v>
      </c>
      <c r="AH249" s="25">
        <v>32.4</v>
      </c>
      <c r="AI249" s="25">
        <v>20.4</v>
      </c>
      <c r="AJ249" s="25">
        <v>18.5</v>
      </c>
      <c r="AK249" s="25">
        <f t="shared" si="37"/>
        <v>128</v>
      </c>
      <c r="AL249" s="25">
        <v>27.5</v>
      </c>
      <c r="AM249" s="25">
        <v>9.6</v>
      </c>
      <c r="AN249" s="19">
        <v>1.8</v>
      </c>
      <c r="AO249" s="25">
        <v>5.5</v>
      </c>
      <c r="AP249" s="25">
        <f t="shared" si="38"/>
        <v>44.4</v>
      </c>
      <c r="AQ249" s="25">
        <v>11.4</v>
      </c>
      <c r="AR249" s="25">
        <v>96.1</v>
      </c>
      <c r="AS249" s="25">
        <v>51.4</v>
      </c>
      <c r="AT249" s="25">
        <v>101.7</v>
      </c>
      <c r="AU249" s="25">
        <f t="shared" si="39"/>
        <v>260.6</v>
      </c>
      <c r="AV249" s="25">
        <v>21.9</v>
      </c>
      <c r="AW249" s="19">
        <v>2543.71</v>
      </c>
      <c r="AX249" s="25">
        <v>3222.358</v>
      </c>
      <c r="AY249" s="19">
        <v>5766.068</v>
      </c>
      <c r="AZ249" s="25">
        <v>1667.669</v>
      </c>
      <c r="BA249" s="25">
        <v>6969.479</v>
      </c>
      <c r="BB249" s="25">
        <v>8637.148</v>
      </c>
      <c r="BC249" s="25">
        <f t="shared" si="40"/>
        <v>0.634232558482323</v>
      </c>
    </row>
    <row r="250" ht="14" spans="1:55">
      <c r="A250" s="29">
        <v>2019</v>
      </c>
      <c r="B250" s="29">
        <v>510000</v>
      </c>
      <c r="C250" s="30" t="s">
        <v>75</v>
      </c>
      <c r="D250" s="25">
        <v>1</v>
      </c>
      <c r="E250" s="25">
        <v>0</v>
      </c>
      <c r="F250" s="25">
        <v>0</v>
      </c>
      <c r="G250" s="25">
        <v>0</v>
      </c>
      <c r="H250" s="19">
        <v>53.9</v>
      </c>
      <c r="I250" s="19">
        <v>46.1</v>
      </c>
      <c r="J250" s="25">
        <v>3.6</v>
      </c>
      <c r="K250" s="25">
        <v>25.6</v>
      </c>
      <c r="L250" s="25">
        <f t="shared" si="31"/>
        <v>29.2</v>
      </c>
      <c r="M250" s="25">
        <v>36.7</v>
      </c>
      <c r="N250" s="25">
        <v>15.4</v>
      </c>
      <c r="O250" s="25">
        <v>10.5</v>
      </c>
      <c r="P250" s="25">
        <f t="shared" si="32"/>
        <v>62.6</v>
      </c>
      <c r="Q250" s="25">
        <v>7.2</v>
      </c>
      <c r="R250" s="19">
        <v>0.9</v>
      </c>
      <c r="S250" s="19">
        <f t="shared" si="33"/>
        <v>8.1</v>
      </c>
      <c r="T250" s="19">
        <v>1579.5</v>
      </c>
      <c r="U250" s="19">
        <f t="shared" si="34"/>
        <v>0.335065761561307</v>
      </c>
      <c r="V250" s="19">
        <v>1098</v>
      </c>
      <c r="W250" s="19">
        <f t="shared" si="35"/>
        <v>0.232923207467119</v>
      </c>
      <c r="X250" s="19">
        <v>2036.5</v>
      </c>
      <c r="Y250" s="14">
        <f t="shared" si="36"/>
        <v>0.432011030971574</v>
      </c>
      <c r="Z250" s="14">
        <v>4714</v>
      </c>
      <c r="AA250" s="25">
        <v>1.4</v>
      </c>
      <c r="AB250" s="25">
        <v>12.9</v>
      </c>
      <c r="AC250" s="25">
        <v>123.8</v>
      </c>
      <c r="AD250" s="25">
        <v>20.9</v>
      </c>
      <c r="AE250" s="25">
        <v>151.7</v>
      </c>
      <c r="AF250" s="25">
        <v>32</v>
      </c>
      <c r="AG250" s="25">
        <v>20</v>
      </c>
      <c r="AH250" s="25">
        <v>32.7</v>
      </c>
      <c r="AI250" s="25">
        <v>15.3</v>
      </c>
      <c r="AJ250" s="25">
        <v>25.4</v>
      </c>
      <c r="AK250" s="25">
        <f t="shared" si="37"/>
        <v>125.4</v>
      </c>
      <c r="AL250" s="25">
        <v>28.1</v>
      </c>
      <c r="AM250" s="25">
        <v>12.5</v>
      </c>
      <c r="AN250" s="19">
        <v>2.8</v>
      </c>
      <c r="AO250" s="25">
        <v>5.5</v>
      </c>
      <c r="AP250" s="25">
        <f t="shared" si="38"/>
        <v>48.9</v>
      </c>
      <c r="AQ250" s="25">
        <v>9.8</v>
      </c>
      <c r="AR250" s="25">
        <v>104.4</v>
      </c>
      <c r="AS250" s="25">
        <v>57.1</v>
      </c>
      <c r="AT250" s="25">
        <v>107.6</v>
      </c>
      <c r="AU250" s="25">
        <f t="shared" si="39"/>
        <v>278.9</v>
      </c>
      <c r="AV250" s="25">
        <v>25.2</v>
      </c>
      <c r="AW250" s="19">
        <v>2700.3</v>
      </c>
      <c r="AX250" s="25">
        <v>3368.7</v>
      </c>
      <c r="AY250" s="19">
        <v>6069.1</v>
      </c>
      <c r="AZ250" s="25">
        <v>1778.1</v>
      </c>
      <c r="BA250" s="25">
        <v>6838.8</v>
      </c>
      <c r="BB250" s="25">
        <v>8616.9</v>
      </c>
      <c r="BC250" s="25">
        <f t="shared" si="40"/>
        <v>0.651276247897253</v>
      </c>
    </row>
    <row r="251" ht="14" spans="1:55">
      <c r="A251" s="29">
        <v>2020</v>
      </c>
      <c r="B251" s="29">
        <v>510000</v>
      </c>
      <c r="C251" s="30" t="s">
        <v>75</v>
      </c>
      <c r="D251" s="25">
        <v>1</v>
      </c>
      <c r="E251" s="25">
        <v>0</v>
      </c>
      <c r="F251" s="25">
        <v>0</v>
      </c>
      <c r="G251" s="25">
        <v>0</v>
      </c>
      <c r="H251" s="19">
        <v>54.1</v>
      </c>
      <c r="I251" s="19">
        <v>45.9</v>
      </c>
      <c r="J251" s="25">
        <v>3.6</v>
      </c>
      <c r="K251" s="25">
        <v>26.7</v>
      </c>
      <c r="L251" s="25">
        <f t="shared" si="31"/>
        <v>30.3</v>
      </c>
      <c r="M251" s="25">
        <v>37</v>
      </c>
      <c r="N251" s="25">
        <v>14.8</v>
      </c>
      <c r="O251" s="25">
        <v>9.8</v>
      </c>
      <c r="P251" s="25">
        <f t="shared" si="32"/>
        <v>61.6</v>
      </c>
      <c r="Q251" s="25">
        <v>7.4</v>
      </c>
      <c r="R251" s="19">
        <v>0.7</v>
      </c>
      <c r="S251" s="19">
        <f t="shared" si="33"/>
        <v>8.1</v>
      </c>
      <c r="T251" s="19">
        <v>1542</v>
      </c>
      <c r="U251" s="19">
        <f t="shared" si="34"/>
        <v>0.324973656480506</v>
      </c>
      <c r="V251" s="19">
        <v>1098</v>
      </c>
      <c r="W251" s="19">
        <f t="shared" si="35"/>
        <v>0.231401475237092</v>
      </c>
      <c r="X251" s="19">
        <v>2105</v>
      </c>
      <c r="Y251" s="14">
        <f t="shared" si="36"/>
        <v>0.443624868282403</v>
      </c>
      <c r="Z251" s="14">
        <v>4745</v>
      </c>
      <c r="AA251" s="25">
        <v>2.5</v>
      </c>
      <c r="AB251" s="25">
        <v>13.6</v>
      </c>
      <c r="AC251" s="25">
        <v>139.4</v>
      </c>
      <c r="AD251" s="25">
        <v>23.2</v>
      </c>
      <c r="AE251" s="25">
        <v>151.4</v>
      </c>
      <c r="AF251" s="25">
        <v>34.6</v>
      </c>
      <c r="AG251" s="25">
        <v>23.7</v>
      </c>
      <c r="AH251" s="25">
        <v>37.9</v>
      </c>
      <c r="AI251" s="25">
        <v>20.4</v>
      </c>
      <c r="AJ251" s="25">
        <v>28.5</v>
      </c>
      <c r="AK251" s="25">
        <f t="shared" si="37"/>
        <v>145.1</v>
      </c>
      <c r="AL251" s="25">
        <v>31.9</v>
      </c>
      <c r="AM251" s="25">
        <v>16.3</v>
      </c>
      <c r="AN251" s="19">
        <v>3.4</v>
      </c>
      <c r="AO251" s="25">
        <v>6.3</v>
      </c>
      <c r="AP251" s="25">
        <f t="shared" si="38"/>
        <v>57.9</v>
      </c>
      <c r="AQ251" s="25">
        <v>11</v>
      </c>
      <c r="AR251" s="25">
        <v>114.2</v>
      </c>
      <c r="AS251" s="25">
        <v>62.2</v>
      </c>
      <c r="AT251" s="25">
        <v>111.5</v>
      </c>
      <c r="AU251" s="25">
        <f t="shared" si="39"/>
        <v>298.9</v>
      </c>
      <c r="AV251" s="25">
        <v>29.7</v>
      </c>
      <c r="AW251" s="19">
        <v>2830.1</v>
      </c>
      <c r="AX251" s="25">
        <v>3224.2</v>
      </c>
      <c r="AY251" s="19">
        <v>6054.2</v>
      </c>
      <c r="AZ251" s="25">
        <v>1875.9</v>
      </c>
      <c r="BA251" s="25">
        <v>6715.7</v>
      </c>
      <c r="BB251" s="25">
        <v>8591.7</v>
      </c>
      <c r="BC251" s="25">
        <f t="shared" si="40"/>
        <v>0.685799235002473</v>
      </c>
    </row>
    <row r="252" ht="14" spans="1:55">
      <c r="A252" s="29">
        <v>2021</v>
      </c>
      <c r="B252" s="29">
        <v>510000</v>
      </c>
      <c r="C252" s="30" t="s">
        <v>75</v>
      </c>
      <c r="D252" s="25">
        <v>1</v>
      </c>
      <c r="E252" s="25">
        <v>0</v>
      </c>
      <c r="F252" s="25">
        <v>0</v>
      </c>
      <c r="G252" s="25">
        <v>0</v>
      </c>
      <c r="H252" s="19">
        <v>55.598</v>
      </c>
      <c r="I252" s="19">
        <v>44.402</v>
      </c>
      <c r="J252" s="25">
        <v>4.548</v>
      </c>
      <c r="K252" s="25">
        <v>25.373</v>
      </c>
      <c r="L252" s="25">
        <f t="shared" si="31"/>
        <v>29.921</v>
      </c>
      <c r="M252" s="25">
        <v>36.7</v>
      </c>
      <c r="N252" s="25">
        <v>15.041</v>
      </c>
      <c r="O252" s="25">
        <v>9.997</v>
      </c>
      <c r="P252" s="25">
        <f t="shared" si="32"/>
        <v>61.738</v>
      </c>
      <c r="Q252" s="25">
        <v>7.423</v>
      </c>
      <c r="R252" s="19">
        <v>0.918</v>
      </c>
      <c r="S252" s="19">
        <f t="shared" si="33"/>
        <v>8.341</v>
      </c>
      <c r="T252" s="19">
        <v>1506</v>
      </c>
      <c r="U252" s="19">
        <f t="shared" si="34"/>
        <v>0.318595303575206</v>
      </c>
      <c r="V252" s="19">
        <v>1111</v>
      </c>
      <c r="W252" s="19">
        <f t="shared" si="35"/>
        <v>0.23503279035329</v>
      </c>
      <c r="X252" s="19">
        <v>2110</v>
      </c>
      <c r="Y252" s="14">
        <f t="shared" si="36"/>
        <v>0.446371906071504</v>
      </c>
      <c r="Z252" s="14">
        <v>4727</v>
      </c>
      <c r="AA252" s="25">
        <v>2.2</v>
      </c>
      <c r="AB252" s="25">
        <v>11.6</v>
      </c>
      <c r="AC252" s="25">
        <v>144.4</v>
      </c>
      <c r="AD252" s="25">
        <v>23</v>
      </c>
      <c r="AE252" s="25">
        <v>142.3</v>
      </c>
      <c r="AF252" s="25">
        <v>34.4</v>
      </c>
      <c r="AG252" s="25">
        <v>25.3</v>
      </c>
      <c r="AH252" s="25">
        <v>41.8</v>
      </c>
      <c r="AI252" s="25">
        <v>22.5</v>
      </c>
      <c r="AJ252" s="25">
        <v>30.3</v>
      </c>
      <c r="AK252" s="25">
        <f t="shared" si="37"/>
        <v>154.3</v>
      </c>
      <c r="AL252" s="25">
        <v>35</v>
      </c>
      <c r="AM252" s="25">
        <v>16.4</v>
      </c>
      <c r="AN252" s="19">
        <v>3.9</v>
      </c>
      <c r="AO252" s="25">
        <v>6.8</v>
      </c>
      <c r="AP252" s="25">
        <f t="shared" si="38"/>
        <v>62.1</v>
      </c>
      <c r="AQ252" s="25">
        <v>10.8</v>
      </c>
      <c r="AR252" s="25">
        <v>112.9</v>
      </c>
      <c r="AS252" s="25">
        <v>65.6</v>
      </c>
      <c r="AT252" s="25">
        <v>110.4</v>
      </c>
      <c r="AU252" s="25">
        <f t="shared" si="39"/>
        <v>299.7</v>
      </c>
      <c r="AV252" s="25">
        <v>31.9</v>
      </c>
      <c r="AW252" s="19">
        <v>3178.543</v>
      </c>
      <c r="AX252" s="25">
        <v>3181.053</v>
      </c>
      <c r="AY252" s="19">
        <v>6359.596</v>
      </c>
      <c r="AZ252" s="25">
        <v>1945.797</v>
      </c>
      <c r="BA252" s="25">
        <v>6640.432</v>
      </c>
      <c r="BB252" s="25">
        <v>8586.229</v>
      </c>
      <c r="BC252" s="25">
        <f t="shared" si="40"/>
        <v>0.726421004748444</v>
      </c>
    </row>
    <row r="253" ht="14" spans="1:55">
      <c r="A253" s="29">
        <v>2022</v>
      </c>
      <c r="B253" s="29">
        <v>510000</v>
      </c>
      <c r="C253" s="30" t="s">
        <v>75</v>
      </c>
      <c r="D253" s="25">
        <v>1</v>
      </c>
      <c r="E253" s="25">
        <v>0</v>
      </c>
      <c r="F253" s="25">
        <v>0</v>
      </c>
      <c r="G253" s="25">
        <v>0</v>
      </c>
      <c r="H253" s="19">
        <v>55.228</v>
      </c>
      <c r="I253" s="19">
        <v>44.772</v>
      </c>
      <c r="J253" s="25">
        <v>4.371</v>
      </c>
      <c r="K253" s="25">
        <v>28.404</v>
      </c>
      <c r="L253" s="25">
        <f t="shared" si="31"/>
        <v>32.775</v>
      </c>
      <c r="M253" s="25">
        <v>35.438</v>
      </c>
      <c r="N253" s="25">
        <v>13.582</v>
      </c>
      <c r="O253" s="25">
        <v>9.784</v>
      </c>
      <c r="P253" s="25">
        <f t="shared" si="32"/>
        <v>58.804</v>
      </c>
      <c r="Q253" s="25">
        <v>7.577</v>
      </c>
      <c r="R253" s="19">
        <v>0.844</v>
      </c>
      <c r="S253" s="19">
        <f t="shared" si="33"/>
        <v>8.421</v>
      </c>
      <c r="T253" s="19">
        <v>1602</v>
      </c>
      <c r="U253" s="19">
        <f t="shared" si="34"/>
        <v>0.34041648958776</v>
      </c>
      <c r="V253" s="19">
        <v>1074</v>
      </c>
      <c r="W253" s="19">
        <f t="shared" si="35"/>
        <v>0.228219294517637</v>
      </c>
      <c r="X253" s="19">
        <v>2030</v>
      </c>
      <c r="Y253" s="14">
        <f t="shared" si="36"/>
        <v>0.431364215894603</v>
      </c>
      <c r="Z253" s="14">
        <v>4706</v>
      </c>
      <c r="AA253" s="25">
        <v>2.3</v>
      </c>
      <c r="AB253" s="25">
        <v>11.2</v>
      </c>
      <c r="AC253" s="25">
        <v>148.7</v>
      </c>
      <c r="AD253" s="25">
        <v>22.7</v>
      </c>
      <c r="AE253" s="25">
        <v>132.3</v>
      </c>
      <c r="AF253" s="25">
        <v>34.7</v>
      </c>
      <c r="AG253" s="25">
        <v>26.4</v>
      </c>
      <c r="AH253" s="25">
        <v>35.5</v>
      </c>
      <c r="AI253" s="25">
        <v>24.5</v>
      </c>
      <c r="AJ253" s="25">
        <v>36.1</v>
      </c>
      <c r="AK253" s="25">
        <f t="shared" si="37"/>
        <v>157.2</v>
      </c>
      <c r="AL253" s="25">
        <v>36.8</v>
      </c>
      <c r="AM253" s="25">
        <v>15.5</v>
      </c>
      <c r="AN253" s="19">
        <v>4.6</v>
      </c>
      <c r="AO253" s="25">
        <v>7.3</v>
      </c>
      <c r="AP253" s="25">
        <f t="shared" si="38"/>
        <v>64.2</v>
      </c>
      <c r="AQ253" s="25">
        <v>11.3</v>
      </c>
      <c r="AR253" s="25">
        <v>117.7</v>
      </c>
      <c r="AS253" s="25">
        <v>69.2</v>
      </c>
      <c r="AT253" s="25">
        <v>113.8</v>
      </c>
      <c r="AU253" s="25">
        <f t="shared" si="39"/>
        <v>312</v>
      </c>
      <c r="AV253" s="25">
        <v>30.9</v>
      </c>
      <c r="AW253" s="19">
        <v>3327.212</v>
      </c>
      <c r="AX253" s="25">
        <v>3185.254</v>
      </c>
      <c r="AY253" s="19">
        <v>6512.466</v>
      </c>
      <c r="AZ253" s="25">
        <v>1967.203</v>
      </c>
      <c r="BA253" s="25">
        <v>6426.689</v>
      </c>
      <c r="BB253" s="25">
        <v>8393.892</v>
      </c>
      <c r="BC253" s="25">
        <f t="shared" si="40"/>
        <v>0.745260191097074</v>
      </c>
    </row>
    <row r="254" ht="14" spans="1:55">
      <c r="A254" s="29">
        <v>2013</v>
      </c>
      <c r="B254" s="29">
        <v>120000</v>
      </c>
      <c r="C254" s="30" t="s">
        <v>76</v>
      </c>
      <c r="D254" s="25">
        <v>0</v>
      </c>
      <c r="E254" s="25">
        <v>1</v>
      </c>
      <c r="F254" s="25">
        <v>0</v>
      </c>
      <c r="G254" s="25">
        <v>0</v>
      </c>
      <c r="H254" s="19">
        <v>64.1730000000007</v>
      </c>
      <c r="I254" s="19">
        <v>35.8269999999993</v>
      </c>
      <c r="J254" s="25">
        <v>0.509</v>
      </c>
      <c r="K254" s="25">
        <v>7.546</v>
      </c>
      <c r="L254" s="25">
        <f t="shared" si="31"/>
        <v>8.055</v>
      </c>
      <c r="M254" s="25">
        <v>39.346</v>
      </c>
      <c r="N254" s="25">
        <v>20.844</v>
      </c>
      <c r="O254" s="25">
        <v>15.234</v>
      </c>
      <c r="P254" s="25">
        <f t="shared" si="32"/>
        <v>75.424</v>
      </c>
      <c r="Q254" s="25">
        <v>15.31</v>
      </c>
      <c r="R254" s="19">
        <v>1.212</v>
      </c>
      <c r="S254" s="19">
        <f t="shared" si="33"/>
        <v>16.522</v>
      </c>
      <c r="T254" s="19">
        <v>56</v>
      </c>
      <c r="U254" s="19">
        <f t="shared" si="34"/>
        <v>0.0787623066104079</v>
      </c>
      <c r="V254" s="19">
        <v>302</v>
      </c>
      <c r="W254" s="19">
        <f t="shared" si="35"/>
        <v>0.424753867791842</v>
      </c>
      <c r="X254" s="19">
        <v>353</v>
      </c>
      <c r="Y254" s="14">
        <f t="shared" si="36"/>
        <v>0.49648382559775</v>
      </c>
      <c r="Z254" s="14">
        <v>711</v>
      </c>
      <c r="AA254" s="25">
        <v>0.5</v>
      </c>
      <c r="AB254" s="25">
        <v>7.6</v>
      </c>
      <c r="AC254" s="25">
        <v>122.3</v>
      </c>
      <c r="AD254" s="25">
        <v>4.5</v>
      </c>
      <c r="AE254" s="25">
        <v>31</v>
      </c>
      <c r="AF254" s="25">
        <v>14.3</v>
      </c>
      <c r="AG254" s="25">
        <v>3.6</v>
      </c>
      <c r="AH254" s="25">
        <v>8.1</v>
      </c>
      <c r="AI254" s="25">
        <v>10.7</v>
      </c>
      <c r="AJ254" s="25">
        <v>5.8</v>
      </c>
      <c r="AK254" s="25">
        <f t="shared" si="37"/>
        <v>42.5</v>
      </c>
      <c r="AL254" s="25">
        <v>17.2</v>
      </c>
      <c r="AM254" s="25">
        <v>6.6</v>
      </c>
      <c r="AN254" s="19">
        <v>10.8</v>
      </c>
      <c r="AO254" s="25">
        <v>2.3</v>
      </c>
      <c r="AP254" s="25">
        <f t="shared" si="38"/>
        <v>36.9</v>
      </c>
      <c r="AQ254" s="25">
        <v>4.1</v>
      </c>
      <c r="AR254" s="25">
        <v>18.9</v>
      </c>
      <c r="AS254" s="25">
        <v>9.3</v>
      </c>
      <c r="AT254" s="25">
        <v>15.5</v>
      </c>
      <c r="AU254" s="25">
        <f t="shared" si="39"/>
        <v>47.8</v>
      </c>
      <c r="AV254" s="25">
        <v>9.1</v>
      </c>
      <c r="AW254" s="19">
        <v>520.666</v>
      </c>
      <c r="AX254" s="25">
        <v>95.507</v>
      </c>
      <c r="AY254" s="19">
        <v>616.173</v>
      </c>
      <c r="AZ254" s="25">
        <v>493.079</v>
      </c>
      <c r="BA254" s="25">
        <v>508.44</v>
      </c>
      <c r="BB254" s="25">
        <v>1001.519</v>
      </c>
      <c r="BC254" s="25">
        <f t="shared" si="40"/>
        <v>1.33733084874434</v>
      </c>
    </row>
    <row r="255" ht="14" spans="1:55">
      <c r="A255" s="29">
        <v>2014</v>
      </c>
      <c r="B255" s="29">
        <v>120000</v>
      </c>
      <c r="C255" s="30" t="s">
        <v>76</v>
      </c>
      <c r="D255" s="25">
        <v>0</v>
      </c>
      <c r="E255" s="25">
        <v>1</v>
      </c>
      <c r="F255" s="25">
        <v>0</v>
      </c>
      <c r="G255" s="25">
        <v>0</v>
      </c>
      <c r="H255" s="19">
        <v>61.1</v>
      </c>
      <c r="I255" s="19">
        <v>38.9</v>
      </c>
      <c r="J255" s="25">
        <v>0.2</v>
      </c>
      <c r="K255" s="25">
        <v>6.7</v>
      </c>
      <c r="L255" s="25">
        <f t="shared" si="31"/>
        <v>6.9</v>
      </c>
      <c r="M255" s="25">
        <v>39.3</v>
      </c>
      <c r="N255" s="25">
        <v>19.7</v>
      </c>
      <c r="O255" s="25">
        <v>18.3</v>
      </c>
      <c r="P255" s="25">
        <f t="shared" si="32"/>
        <v>77.3</v>
      </c>
      <c r="Q255" s="25">
        <v>14.5</v>
      </c>
      <c r="R255" s="19">
        <v>1.4</v>
      </c>
      <c r="S255" s="19">
        <f t="shared" si="33"/>
        <v>15.9</v>
      </c>
      <c r="T255" s="19">
        <v>56</v>
      </c>
      <c r="U255" s="19">
        <f t="shared" si="34"/>
        <v>0.0779944289693593</v>
      </c>
      <c r="V255" s="19">
        <v>280</v>
      </c>
      <c r="W255" s="19">
        <f t="shared" si="35"/>
        <v>0.389972144846797</v>
      </c>
      <c r="X255" s="19">
        <v>382</v>
      </c>
      <c r="Y255" s="14">
        <f t="shared" si="36"/>
        <v>0.532033426183844</v>
      </c>
      <c r="Z255" s="14">
        <v>718</v>
      </c>
      <c r="AA255" s="25">
        <v>0.5</v>
      </c>
      <c r="AB255" s="25">
        <v>6.6</v>
      </c>
      <c r="AC255" s="25">
        <v>119</v>
      </c>
      <c r="AD255" s="25">
        <v>4.5</v>
      </c>
      <c r="AE255" s="25">
        <v>31.3</v>
      </c>
      <c r="AF255" s="25">
        <v>14.3</v>
      </c>
      <c r="AG255" s="25">
        <v>3.8</v>
      </c>
      <c r="AH255" s="25">
        <v>8.9</v>
      </c>
      <c r="AI255" s="25">
        <v>10.7</v>
      </c>
      <c r="AJ255" s="25">
        <v>6.7</v>
      </c>
      <c r="AK255" s="25">
        <f t="shared" si="37"/>
        <v>44.4</v>
      </c>
      <c r="AL255" s="25">
        <v>17.3</v>
      </c>
      <c r="AM255" s="25">
        <v>6</v>
      </c>
      <c r="AN255" s="19">
        <v>11</v>
      </c>
      <c r="AO255" s="25">
        <v>2.1</v>
      </c>
      <c r="AP255" s="25">
        <f t="shared" si="38"/>
        <v>36.4</v>
      </c>
      <c r="AQ255" s="25">
        <v>4.1</v>
      </c>
      <c r="AR255" s="25">
        <v>17.4</v>
      </c>
      <c r="AS255" s="25">
        <v>9.3</v>
      </c>
      <c r="AT255" s="25">
        <v>15.4</v>
      </c>
      <c r="AU255" s="25">
        <f t="shared" si="39"/>
        <v>46.2</v>
      </c>
      <c r="AV255" s="25">
        <v>6.7</v>
      </c>
      <c r="AW255" s="19">
        <v>545.4</v>
      </c>
      <c r="AX255" s="25">
        <v>106.1</v>
      </c>
      <c r="AY255" s="19">
        <v>651.5</v>
      </c>
      <c r="AZ255" s="25">
        <v>509.6</v>
      </c>
      <c r="BA255" s="25">
        <v>514</v>
      </c>
      <c r="BB255" s="25">
        <v>1023.6</v>
      </c>
      <c r="BC255" s="25">
        <f t="shared" si="40"/>
        <v>1.33499577282353</v>
      </c>
    </row>
    <row r="256" ht="14" spans="1:55">
      <c r="A256" s="29">
        <v>2015</v>
      </c>
      <c r="B256" s="29">
        <v>120000</v>
      </c>
      <c r="C256" s="30" t="s">
        <v>76</v>
      </c>
      <c r="D256" s="25">
        <v>0</v>
      </c>
      <c r="E256" s="25">
        <v>1</v>
      </c>
      <c r="F256" s="25">
        <v>0</v>
      </c>
      <c r="G256" s="25">
        <v>0</v>
      </c>
      <c r="H256" s="19">
        <v>58.027</v>
      </c>
      <c r="I256" s="19">
        <v>41.973</v>
      </c>
      <c r="J256" s="25">
        <v>0.494</v>
      </c>
      <c r="K256" s="25">
        <v>8.374</v>
      </c>
      <c r="L256" s="25">
        <f t="shared" si="31"/>
        <v>8.868</v>
      </c>
      <c r="M256" s="25">
        <v>33.536</v>
      </c>
      <c r="N256" s="25">
        <v>12.088</v>
      </c>
      <c r="O256" s="25">
        <v>14.795</v>
      </c>
      <c r="P256" s="25">
        <f t="shared" si="32"/>
        <v>60.419</v>
      </c>
      <c r="Q256" s="25">
        <v>17.29</v>
      </c>
      <c r="R256" s="19">
        <v>2.323</v>
      </c>
      <c r="S256" s="19">
        <f t="shared" si="33"/>
        <v>19.613</v>
      </c>
      <c r="T256" s="19">
        <v>53</v>
      </c>
      <c r="U256" s="19">
        <f t="shared" si="34"/>
        <v>0.0738161559888579</v>
      </c>
      <c r="V256" s="19">
        <v>256</v>
      </c>
      <c r="W256" s="19">
        <f t="shared" si="35"/>
        <v>0.356545961002786</v>
      </c>
      <c r="X256" s="19">
        <v>409</v>
      </c>
      <c r="Y256" s="14">
        <f t="shared" si="36"/>
        <v>0.569637883008356</v>
      </c>
      <c r="Z256" s="14">
        <v>718</v>
      </c>
      <c r="AA256" s="25">
        <v>0.5</v>
      </c>
      <c r="AB256" s="25">
        <v>6.5</v>
      </c>
      <c r="AC256" s="25">
        <v>110.8</v>
      </c>
      <c r="AD256" s="25">
        <v>4.5</v>
      </c>
      <c r="AE256" s="25">
        <v>29.5</v>
      </c>
      <c r="AF256" s="25">
        <v>15</v>
      </c>
      <c r="AG256" s="25">
        <v>4.4</v>
      </c>
      <c r="AH256" s="25">
        <v>12.1</v>
      </c>
      <c r="AI256" s="25">
        <v>11.3</v>
      </c>
      <c r="AJ256" s="25">
        <v>8.2</v>
      </c>
      <c r="AK256" s="25">
        <f t="shared" si="37"/>
        <v>51</v>
      </c>
      <c r="AL256" s="25">
        <v>17.8</v>
      </c>
      <c r="AM256" s="25">
        <v>5.2</v>
      </c>
      <c r="AN256" s="19">
        <v>11</v>
      </c>
      <c r="AO256" s="25">
        <v>2.2</v>
      </c>
      <c r="AP256" s="25">
        <f t="shared" si="38"/>
        <v>36.2</v>
      </c>
      <c r="AQ256" s="25">
        <v>4.1</v>
      </c>
      <c r="AR256" s="25">
        <v>18</v>
      </c>
      <c r="AS256" s="25">
        <v>9.7</v>
      </c>
      <c r="AT256" s="25">
        <v>16.5</v>
      </c>
      <c r="AU256" s="25">
        <f t="shared" si="39"/>
        <v>48.3</v>
      </c>
      <c r="AV256" s="25">
        <v>7.3</v>
      </c>
      <c r="AW256" s="19">
        <v>565.179</v>
      </c>
      <c r="AX256" s="25">
        <v>121.102</v>
      </c>
      <c r="AY256" s="19">
        <v>686.281</v>
      </c>
      <c r="AZ256" s="25">
        <v>522</v>
      </c>
      <c r="BA256" s="25">
        <v>532.115</v>
      </c>
      <c r="BB256" s="25">
        <v>1054.115</v>
      </c>
      <c r="BC256" s="25">
        <f t="shared" si="40"/>
        <v>1.31874089092279</v>
      </c>
    </row>
    <row r="257" ht="14" spans="1:55">
      <c r="A257" s="29">
        <v>2016</v>
      </c>
      <c r="B257" s="29">
        <v>120000</v>
      </c>
      <c r="C257" s="30" t="s">
        <v>76</v>
      </c>
      <c r="D257" s="25">
        <v>0</v>
      </c>
      <c r="E257" s="25">
        <v>1</v>
      </c>
      <c r="F257" s="25">
        <v>0</v>
      </c>
      <c r="G257" s="25">
        <v>0</v>
      </c>
      <c r="H257" s="19">
        <v>58.291</v>
      </c>
      <c r="I257" s="19">
        <v>41.709</v>
      </c>
      <c r="J257" s="25">
        <v>0.526</v>
      </c>
      <c r="K257" s="25">
        <v>8.518</v>
      </c>
      <c r="L257" s="25">
        <f t="shared" si="31"/>
        <v>9.044</v>
      </c>
      <c r="M257" s="25">
        <v>33.731</v>
      </c>
      <c r="N257" s="25">
        <v>11.287</v>
      </c>
      <c r="O257" s="25">
        <v>14.492</v>
      </c>
      <c r="P257" s="25">
        <f t="shared" si="32"/>
        <v>59.51</v>
      </c>
      <c r="Q257" s="25">
        <v>17.621</v>
      </c>
      <c r="R257" s="19">
        <v>2.159</v>
      </c>
      <c r="S257" s="19">
        <f t="shared" si="33"/>
        <v>19.78</v>
      </c>
      <c r="T257" s="19">
        <v>51</v>
      </c>
      <c r="U257" s="19">
        <f t="shared" si="34"/>
        <v>0.0723404255319149</v>
      </c>
      <c r="V257" s="19">
        <v>239</v>
      </c>
      <c r="W257" s="19">
        <f t="shared" si="35"/>
        <v>0.339007092198582</v>
      </c>
      <c r="X257" s="19">
        <v>415</v>
      </c>
      <c r="Y257" s="14">
        <f t="shared" si="36"/>
        <v>0.588652482269504</v>
      </c>
      <c r="Z257" s="14">
        <v>705</v>
      </c>
      <c r="AA257" s="25">
        <v>0.8</v>
      </c>
      <c r="AB257" s="25">
        <v>4.4</v>
      </c>
      <c r="AC257" s="25">
        <v>99.4</v>
      </c>
      <c r="AD257" s="25">
        <v>4.3</v>
      </c>
      <c r="AE257" s="25">
        <v>28.2</v>
      </c>
      <c r="AF257" s="25">
        <v>14.7</v>
      </c>
      <c r="AG257" s="25">
        <v>4.8</v>
      </c>
      <c r="AH257" s="25">
        <v>16</v>
      </c>
      <c r="AI257" s="25">
        <v>11.5</v>
      </c>
      <c r="AJ257" s="25">
        <v>9.3</v>
      </c>
      <c r="AK257" s="25">
        <f t="shared" si="37"/>
        <v>56.3</v>
      </c>
      <c r="AL257" s="25">
        <v>18.2</v>
      </c>
      <c r="AM257" s="25">
        <v>5.1</v>
      </c>
      <c r="AN257" s="19">
        <v>9.4</v>
      </c>
      <c r="AO257" s="25">
        <v>2.1</v>
      </c>
      <c r="AP257" s="25">
        <f t="shared" si="38"/>
        <v>34.8</v>
      </c>
      <c r="AQ257" s="25">
        <v>4.4</v>
      </c>
      <c r="AR257" s="25">
        <v>18</v>
      </c>
      <c r="AS257" s="25">
        <v>10.1</v>
      </c>
      <c r="AT257" s="25">
        <v>17.4</v>
      </c>
      <c r="AU257" s="25">
        <f t="shared" si="39"/>
        <v>49.9</v>
      </c>
      <c r="AV257" s="25">
        <v>8</v>
      </c>
      <c r="AW257" s="19">
        <v>639.031</v>
      </c>
      <c r="AX257" s="25">
        <v>134.467</v>
      </c>
      <c r="AY257" s="19">
        <v>773.498</v>
      </c>
      <c r="AZ257" s="25">
        <v>535.684</v>
      </c>
      <c r="BA257" s="25">
        <v>531.102</v>
      </c>
      <c r="BB257" s="25">
        <v>1066.786</v>
      </c>
      <c r="BC257" s="25">
        <f t="shared" si="40"/>
        <v>1.32830484737229</v>
      </c>
    </row>
    <row r="258" ht="14" spans="1:55">
      <c r="A258" s="29">
        <v>2017</v>
      </c>
      <c r="B258" s="29">
        <v>120000</v>
      </c>
      <c r="C258" s="30" t="s">
        <v>76</v>
      </c>
      <c r="D258" s="25">
        <v>0</v>
      </c>
      <c r="E258" s="25">
        <v>1</v>
      </c>
      <c r="F258" s="25">
        <v>0</v>
      </c>
      <c r="G258" s="25">
        <v>0</v>
      </c>
      <c r="H258" s="19">
        <v>57.557</v>
      </c>
      <c r="I258" s="19">
        <v>42.443</v>
      </c>
      <c r="J258" s="25">
        <v>0.421</v>
      </c>
      <c r="K258" s="25">
        <v>7.123</v>
      </c>
      <c r="L258" s="25">
        <f t="shared" si="31"/>
        <v>7.544</v>
      </c>
      <c r="M258" s="25">
        <v>34.472</v>
      </c>
      <c r="N258" s="25">
        <v>11.757</v>
      </c>
      <c r="O258" s="25">
        <v>13.572</v>
      </c>
      <c r="P258" s="25">
        <f t="shared" si="32"/>
        <v>59.801</v>
      </c>
      <c r="Q258" s="25">
        <v>18.671</v>
      </c>
      <c r="R258" s="19">
        <v>2.302</v>
      </c>
      <c r="S258" s="19">
        <f t="shared" si="33"/>
        <v>20.973</v>
      </c>
      <c r="T258" s="19">
        <v>48</v>
      </c>
      <c r="U258" s="19">
        <f t="shared" si="34"/>
        <v>0.0701754385964912</v>
      </c>
      <c r="V258" s="19">
        <v>222</v>
      </c>
      <c r="W258" s="19">
        <f t="shared" si="35"/>
        <v>0.324561403508772</v>
      </c>
      <c r="X258" s="19">
        <v>414</v>
      </c>
      <c r="Y258" s="14">
        <f t="shared" si="36"/>
        <v>0.605263157894737</v>
      </c>
      <c r="Z258" s="14">
        <v>684</v>
      </c>
      <c r="AA258" s="25">
        <v>0.6</v>
      </c>
      <c r="AB258" s="25">
        <v>6.6</v>
      </c>
      <c r="AC258" s="25">
        <v>78.2</v>
      </c>
      <c r="AD258" s="25">
        <v>4.1</v>
      </c>
      <c r="AE258" s="25">
        <v>28.1</v>
      </c>
      <c r="AF258" s="25">
        <v>14.5</v>
      </c>
      <c r="AG258" s="25">
        <v>5.3</v>
      </c>
      <c r="AH258" s="25">
        <v>19.2</v>
      </c>
      <c r="AI258" s="25">
        <v>11.9</v>
      </c>
      <c r="AJ258" s="25">
        <v>12.7</v>
      </c>
      <c r="AK258" s="25">
        <f t="shared" si="37"/>
        <v>63.6</v>
      </c>
      <c r="AL258" s="25">
        <v>15.3</v>
      </c>
      <c r="AM258" s="25">
        <v>4.9</v>
      </c>
      <c r="AN258" s="19">
        <v>6.5</v>
      </c>
      <c r="AO258" s="25">
        <v>2.5</v>
      </c>
      <c r="AP258" s="25">
        <f t="shared" si="38"/>
        <v>29.2</v>
      </c>
      <c r="AQ258" s="25">
        <v>4.1</v>
      </c>
      <c r="AR258" s="25">
        <v>18</v>
      </c>
      <c r="AS258" s="25">
        <v>11.1</v>
      </c>
      <c r="AT258" s="25">
        <v>17.5</v>
      </c>
      <c r="AU258" s="25">
        <f t="shared" si="39"/>
        <v>50.7</v>
      </c>
      <c r="AV258" s="25">
        <v>8.2</v>
      </c>
      <c r="AW258" s="19">
        <v>655.015</v>
      </c>
      <c r="AX258" s="25">
        <v>156.486</v>
      </c>
      <c r="AY258" s="19">
        <v>811.501</v>
      </c>
      <c r="AZ258" s="25">
        <v>554.143</v>
      </c>
      <c r="BA258" s="25">
        <v>534.312</v>
      </c>
      <c r="BB258" s="25">
        <v>1088.455</v>
      </c>
      <c r="BC258" s="25">
        <f t="shared" si="40"/>
        <v>1.31627444916022</v>
      </c>
    </row>
    <row r="259" ht="14" spans="1:55">
      <c r="A259" s="29">
        <v>2018</v>
      </c>
      <c r="B259" s="29">
        <v>120000</v>
      </c>
      <c r="C259" s="30" t="s">
        <v>76</v>
      </c>
      <c r="D259" s="25">
        <v>0</v>
      </c>
      <c r="E259" s="25">
        <v>1</v>
      </c>
      <c r="F259" s="25">
        <v>0</v>
      </c>
      <c r="G259" s="25">
        <v>0</v>
      </c>
      <c r="H259" s="19">
        <v>58.18</v>
      </c>
      <c r="I259" s="19">
        <v>41.82</v>
      </c>
      <c r="J259" s="25">
        <v>0.451</v>
      </c>
      <c r="K259" s="25">
        <v>6.815</v>
      </c>
      <c r="L259" s="25">
        <f t="shared" si="31"/>
        <v>7.266</v>
      </c>
      <c r="M259" s="25">
        <v>31.782</v>
      </c>
      <c r="N259" s="25">
        <v>9.709</v>
      </c>
      <c r="O259" s="25">
        <v>14.141</v>
      </c>
      <c r="P259" s="25">
        <f t="shared" si="32"/>
        <v>55.632</v>
      </c>
      <c r="Q259" s="25">
        <v>21.807</v>
      </c>
      <c r="R259" s="19">
        <v>2.531</v>
      </c>
      <c r="S259" s="19">
        <f t="shared" si="33"/>
        <v>24.338</v>
      </c>
      <c r="T259" s="19">
        <v>45</v>
      </c>
      <c r="U259" s="19">
        <f t="shared" si="34"/>
        <v>0.0669642857142857</v>
      </c>
      <c r="V259" s="19">
        <v>214</v>
      </c>
      <c r="W259" s="19">
        <f t="shared" si="35"/>
        <v>0.318452380952381</v>
      </c>
      <c r="X259" s="19">
        <v>413</v>
      </c>
      <c r="Y259" s="14">
        <f t="shared" si="36"/>
        <v>0.614583333333333</v>
      </c>
      <c r="Z259" s="14">
        <v>672</v>
      </c>
      <c r="AA259" s="25">
        <v>0.5</v>
      </c>
      <c r="AB259" s="25">
        <v>6</v>
      </c>
      <c r="AC259" s="25">
        <v>69</v>
      </c>
      <c r="AD259" s="25">
        <v>4</v>
      </c>
      <c r="AE259" s="25">
        <v>26.6</v>
      </c>
      <c r="AF259" s="25">
        <v>13.2</v>
      </c>
      <c r="AG259" s="25">
        <v>6.4</v>
      </c>
      <c r="AH259" s="25">
        <v>17.1</v>
      </c>
      <c r="AI259" s="25">
        <v>10.8</v>
      </c>
      <c r="AJ259" s="25">
        <v>13.2</v>
      </c>
      <c r="AK259" s="25">
        <f t="shared" si="37"/>
        <v>60.7</v>
      </c>
      <c r="AL259" s="25">
        <v>19.2</v>
      </c>
      <c r="AM259" s="25">
        <v>5.6</v>
      </c>
      <c r="AN259" s="19">
        <v>4.7</v>
      </c>
      <c r="AO259" s="25">
        <v>2.3</v>
      </c>
      <c r="AP259" s="25">
        <f t="shared" si="38"/>
        <v>31.8</v>
      </c>
      <c r="AQ259" s="25">
        <v>3.3</v>
      </c>
      <c r="AR259" s="25">
        <v>18.4</v>
      </c>
      <c r="AS259" s="25">
        <v>10.8</v>
      </c>
      <c r="AT259" s="25">
        <v>18.4</v>
      </c>
      <c r="AU259" s="25">
        <f t="shared" si="39"/>
        <v>50.9</v>
      </c>
      <c r="AV259" s="25">
        <v>10.4</v>
      </c>
      <c r="AW259" s="19">
        <v>683.159</v>
      </c>
      <c r="AX259" s="25">
        <v>161.152</v>
      </c>
      <c r="AY259" s="19">
        <v>844.311</v>
      </c>
      <c r="AZ259" s="25">
        <v>575.261</v>
      </c>
      <c r="BA259" s="25">
        <v>541.46</v>
      </c>
      <c r="BB259" s="25">
        <v>1116.72</v>
      </c>
      <c r="BC259" s="25">
        <f t="shared" si="40"/>
        <v>1.32426644412608</v>
      </c>
    </row>
    <row r="260" ht="14" spans="1:55">
      <c r="A260" s="29">
        <v>2019</v>
      </c>
      <c r="B260" s="29">
        <v>120000</v>
      </c>
      <c r="C260" s="30" t="s">
        <v>76</v>
      </c>
      <c r="D260" s="25">
        <v>0</v>
      </c>
      <c r="E260" s="25">
        <v>1</v>
      </c>
      <c r="F260" s="25">
        <v>0</v>
      </c>
      <c r="G260" s="25">
        <v>0</v>
      </c>
      <c r="H260" s="19">
        <v>65</v>
      </c>
      <c r="I260" s="19">
        <v>35</v>
      </c>
      <c r="J260" s="25">
        <v>0.4</v>
      </c>
      <c r="K260" s="25">
        <v>6</v>
      </c>
      <c r="L260" s="25">
        <f t="shared" si="31"/>
        <v>6.4</v>
      </c>
      <c r="M260" s="25">
        <v>29.6</v>
      </c>
      <c r="N260" s="25">
        <v>20.9</v>
      </c>
      <c r="O260" s="25">
        <v>17.7</v>
      </c>
      <c r="P260" s="25">
        <f t="shared" si="32"/>
        <v>68.2</v>
      </c>
      <c r="Q260" s="25">
        <v>22</v>
      </c>
      <c r="R260" s="19">
        <v>3.5</v>
      </c>
      <c r="S260" s="19">
        <f t="shared" si="33"/>
        <v>25.5</v>
      </c>
      <c r="T260" s="19">
        <v>43</v>
      </c>
      <c r="U260" s="19">
        <f t="shared" si="34"/>
        <v>0.0652503793626707</v>
      </c>
      <c r="V260" s="19">
        <v>200</v>
      </c>
      <c r="W260" s="19">
        <f t="shared" si="35"/>
        <v>0.303490136570561</v>
      </c>
      <c r="X260" s="19">
        <v>416</v>
      </c>
      <c r="Y260" s="14">
        <f t="shared" si="36"/>
        <v>0.631259484066768</v>
      </c>
      <c r="Z260" s="14">
        <v>659</v>
      </c>
      <c r="AA260" s="25">
        <v>0.3</v>
      </c>
      <c r="AB260" s="25">
        <v>5.8</v>
      </c>
      <c r="AC260" s="25">
        <v>67.3</v>
      </c>
      <c r="AD260" s="25">
        <v>4.2</v>
      </c>
      <c r="AE260" s="25">
        <v>25.1</v>
      </c>
      <c r="AF260" s="25">
        <v>14.9</v>
      </c>
      <c r="AG260" s="25">
        <v>6.6</v>
      </c>
      <c r="AH260" s="25">
        <v>19.8</v>
      </c>
      <c r="AI260" s="25">
        <v>11.1</v>
      </c>
      <c r="AJ260" s="25">
        <v>15.3</v>
      </c>
      <c r="AK260" s="25">
        <f t="shared" si="37"/>
        <v>67.7</v>
      </c>
      <c r="AL260" s="25">
        <v>20</v>
      </c>
      <c r="AM260" s="25">
        <v>6.3</v>
      </c>
      <c r="AN260" s="19">
        <v>6.5</v>
      </c>
      <c r="AO260" s="25">
        <v>2.1</v>
      </c>
      <c r="AP260" s="25">
        <f t="shared" si="38"/>
        <v>34.9</v>
      </c>
      <c r="AQ260" s="25">
        <v>3.7</v>
      </c>
      <c r="AR260" s="25">
        <v>20.2</v>
      </c>
      <c r="AS260" s="25">
        <v>11.7</v>
      </c>
      <c r="AT260" s="25">
        <v>17.6</v>
      </c>
      <c r="AU260" s="25">
        <f t="shared" si="39"/>
        <v>53.2</v>
      </c>
      <c r="AV260" s="25">
        <v>10.8</v>
      </c>
      <c r="AW260" s="19">
        <v>695.6</v>
      </c>
      <c r="AX260" s="25">
        <v>164.5</v>
      </c>
      <c r="AY260" s="19">
        <v>860.1</v>
      </c>
      <c r="AZ260" s="25">
        <v>595</v>
      </c>
      <c r="BA260" s="25">
        <v>541.9</v>
      </c>
      <c r="BB260" s="25">
        <v>1137</v>
      </c>
      <c r="BC260" s="25">
        <f t="shared" si="40"/>
        <v>1.33205011750797</v>
      </c>
    </row>
    <row r="261" ht="14" spans="1:55">
      <c r="A261" s="29">
        <v>2020</v>
      </c>
      <c r="B261" s="29">
        <v>120000</v>
      </c>
      <c r="C261" s="30" t="s">
        <v>76</v>
      </c>
      <c r="D261" s="25">
        <v>0</v>
      </c>
      <c r="E261" s="25">
        <v>1</v>
      </c>
      <c r="F261" s="25">
        <v>0</v>
      </c>
      <c r="G261" s="25">
        <v>0</v>
      </c>
      <c r="H261" s="19">
        <v>64.9</v>
      </c>
      <c r="I261" s="19">
        <v>35.1</v>
      </c>
      <c r="J261" s="25">
        <v>0.3</v>
      </c>
      <c r="K261" s="25">
        <v>5.6</v>
      </c>
      <c r="L261" s="25">
        <f t="shared" ref="L261:L313" si="41">J261+K261</f>
        <v>5.9</v>
      </c>
      <c r="M261" s="25">
        <v>31.4</v>
      </c>
      <c r="N261" s="25">
        <v>20.9</v>
      </c>
      <c r="O261" s="25">
        <v>16.8</v>
      </c>
      <c r="P261" s="25">
        <f t="shared" ref="P261:P313" si="42">M261+N261+O261</f>
        <v>69.1</v>
      </c>
      <c r="Q261" s="25">
        <v>22.2</v>
      </c>
      <c r="R261" s="19">
        <v>3</v>
      </c>
      <c r="S261" s="19">
        <f t="shared" ref="S261:S313" si="43">Q261+R261</f>
        <v>25.2</v>
      </c>
      <c r="T261" s="19">
        <v>36</v>
      </c>
      <c r="U261" s="19">
        <f t="shared" ref="U261:U313" si="44">T261/Z261</f>
        <v>0.0556414219474498</v>
      </c>
      <c r="V261" s="19">
        <v>221</v>
      </c>
      <c r="W261" s="19">
        <f t="shared" ref="W261:W313" si="45">V261/Z261</f>
        <v>0.341576506955178</v>
      </c>
      <c r="X261" s="19">
        <v>390</v>
      </c>
      <c r="Y261" s="14">
        <f t="shared" ref="Y261:Y313" si="46">X261/Z261</f>
        <v>0.602782071097372</v>
      </c>
      <c r="Z261" s="14">
        <v>647</v>
      </c>
      <c r="AA261" s="25">
        <v>0.3</v>
      </c>
      <c r="AB261" s="25">
        <v>5.7</v>
      </c>
      <c r="AC261" s="25">
        <v>65.1</v>
      </c>
      <c r="AD261" s="25">
        <v>4.1</v>
      </c>
      <c r="AE261" s="25">
        <v>23</v>
      </c>
      <c r="AF261" s="25">
        <v>14.7</v>
      </c>
      <c r="AG261" s="25">
        <v>7</v>
      </c>
      <c r="AH261" s="25">
        <v>18</v>
      </c>
      <c r="AI261" s="25">
        <v>11.4</v>
      </c>
      <c r="AJ261" s="25">
        <v>13.6</v>
      </c>
      <c r="AK261" s="25">
        <f t="shared" ref="AK261:AK313" si="47">AF261+AG261+AH261+AI261+AJ261</f>
        <v>64.7</v>
      </c>
      <c r="AL261" s="25">
        <v>18.2</v>
      </c>
      <c r="AM261" s="25">
        <v>5.6</v>
      </c>
      <c r="AN261" s="19">
        <v>6.3</v>
      </c>
      <c r="AO261" s="25">
        <v>1.7</v>
      </c>
      <c r="AP261" s="25">
        <f t="shared" ref="AP261:AP313" si="48">AL261+AM261+AN261+AO261</f>
        <v>31.8</v>
      </c>
      <c r="AQ261" s="25">
        <v>3.3</v>
      </c>
      <c r="AR261" s="25">
        <v>19.3</v>
      </c>
      <c r="AS261" s="25">
        <v>11.7</v>
      </c>
      <c r="AT261" s="25">
        <v>17.3</v>
      </c>
      <c r="AU261" s="25">
        <f t="shared" ref="AU261:AU313" si="49">AQ261+AR261+AS261+AT261</f>
        <v>51.6</v>
      </c>
      <c r="AV261" s="25">
        <v>9.2</v>
      </c>
      <c r="AW261" s="19">
        <v>730.8</v>
      </c>
      <c r="AX261" s="25">
        <v>169.7</v>
      </c>
      <c r="AY261" s="19">
        <v>900.6</v>
      </c>
      <c r="AZ261" s="25">
        <v>618.4</v>
      </c>
      <c r="BA261" s="25">
        <v>545.7</v>
      </c>
      <c r="BB261" s="25">
        <v>1164.1</v>
      </c>
      <c r="BC261" s="25">
        <f t="shared" si="40"/>
        <v>1.34268486701962</v>
      </c>
    </row>
    <row r="262" ht="14" spans="1:55">
      <c r="A262" s="29">
        <v>2021</v>
      </c>
      <c r="B262" s="29">
        <v>120000</v>
      </c>
      <c r="C262" s="30" t="s">
        <v>76</v>
      </c>
      <c r="D262" s="25">
        <v>0</v>
      </c>
      <c r="E262" s="25">
        <v>1</v>
      </c>
      <c r="F262" s="25">
        <v>0</v>
      </c>
      <c r="G262" s="25">
        <v>0</v>
      </c>
      <c r="H262" s="19">
        <v>59.281</v>
      </c>
      <c r="I262" s="19">
        <v>40.719</v>
      </c>
      <c r="J262" s="25">
        <v>0.485</v>
      </c>
      <c r="K262" s="25">
        <v>5.29</v>
      </c>
      <c r="L262" s="25">
        <f t="shared" si="41"/>
        <v>5.775</v>
      </c>
      <c r="M262" s="25">
        <v>29.896</v>
      </c>
      <c r="N262" s="25">
        <v>18.598</v>
      </c>
      <c r="O262" s="25">
        <v>17.604</v>
      </c>
      <c r="P262" s="25">
        <f t="shared" si="42"/>
        <v>66.098</v>
      </c>
      <c r="Q262" s="25">
        <v>24.238</v>
      </c>
      <c r="R262" s="19">
        <v>3.89</v>
      </c>
      <c r="S262" s="19">
        <f t="shared" si="43"/>
        <v>28.128</v>
      </c>
      <c r="T262" s="19">
        <v>34</v>
      </c>
      <c r="U262" s="19">
        <f t="shared" si="44"/>
        <v>0.0530421216848674</v>
      </c>
      <c r="V262" s="19">
        <v>219</v>
      </c>
      <c r="W262" s="19">
        <f t="shared" si="45"/>
        <v>0.341653666146646</v>
      </c>
      <c r="X262" s="19">
        <v>388</v>
      </c>
      <c r="Y262" s="14">
        <f t="shared" si="46"/>
        <v>0.605304212168487</v>
      </c>
      <c r="Z262" s="14">
        <v>641</v>
      </c>
      <c r="AA262" s="25">
        <v>0.3</v>
      </c>
      <c r="AB262" s="25">
        <v>5.4</v>
      </c>
      <c r="AC262" s="25">
        <v>63.7</v>
      </c>
      <c r="AD262" s="25">
        <v>4.2</v>
      </c>
      <c r="AE262" s="25">
        <v>21</v>
      </c>
      <c r="AF262" s="25">
        <v>14.9</v>
      </c>
      <c r="AG262" s="25">
        <v>8.3</v>
      </c>
      <c r="AH262" s="25">
        <v>15.8</v>
      </c>
      <c r="AI262" s="25">
        <v>11.6</v>
      </c>
      <c r="AJ262" s="25">
        <v>13.4</v>
      </c>
      <c r="AK262" s="25">
        <f t="shared" si="47"/>
        <v>64</v>
      </c>
      <c r="AL262" s="25">
        <v>17.9</v>
      </c>
      <c r="AM262" s="25">
        <v>5.7</v>
      </c>
      <c r="AN262" s="19">
        <v>5.7</v>
      </c>
      <c r="AO262" s="25">
        <v>1.7</v>
      </c>
      <c r="AP262" s="25">
        <f t="shared" si="48"/>
        <v>31</v>
      </c>
      <c r="AQ262" s="25">
        <v>3.1</v>
      </c>
      <c r="AR262" s="25">
        <v>21.4</v>
      </c>
      <c r="AS262" s="25">
        <v>12.4</v>
      </c>
      <c r="AT262" s="25">
        <v>20</v>
      </c>
      <c r="AU262" s="25">
        <f t="shared" si="49"/>
        <v>56.9</v>
      </c>
      <c r="AV262" s="25">
        <v>9.8</v>
      </c>
      <c r="AW262" s="19">
        <v>765.139</v>
      </c>
      <c r="AX262" s="25">
        <v>171.961</v>
      </c>
      <c r="AY262" s="19">
        <v>937.1</v>
      </c>
      <c r="AZ262" s="25">
        <v>637.637</v>
      </c>
      <c r="BA262" s="25">
        <v>537.378</v>
      </c>
      <c r="BB262" s="25">
        <v>1175.015</v>
      </c>
      <c r="BC262" s="25">
        <f t="shared" si="40"/>
        <v>1.35915949818886</v>
      </c>
    </row>
    <row r="263" ht="14" spans="1:55">
      <c r="A263" s="29">
        <v>2022</v>
      </c>
      <c r="B263" s="29">
        <v>120000</v>
      </c>
      <c r="C263" s="30" t="s">
        <v>76</v>
      </c>
      <c r="D263" s="25">
        <v>0</v>
      </c>
      <c r="E263" s="25">
        <v>1</v>
      </c>
      <c r="F263" s="25">
        <v>0</v>
      </c>
      <c r="G263" s="25">
        <v>0</v>
      </c>
      <c r="H263" s="19">
        <v>59.764</v>
      </c>
      <c r="I263" s="19">
        <v>40.236</v>
      </c>
      <c r="J263" s="25">
        <v>0.347</v>
      </c>
      <c r="K263" s="25">
        <v>6.151</v>
      </c>
      <c r="L263" s="25">
        <f t="shared" si="41"/>
        <v>6.498</v>
      </c>
      <c r="M263" s="25">
        <v>28.912</v>
      </c>
      <c r="N263" s="25">
        <v>16.397</v>
      </c>
      <c r="O263" s="25">
        <v>17.463</v>
      </c>
      <c r="P263" s="25">
        <f t="shared" si="42"/>
        <v>62.772</v>
      </c>
      <c r="Q263" s="25">
        <v>26.637</v>
      </c>
      <c r="R263" s="19">
        <v>4.093</v>
      </c>
      <c r="S263" s="19">
        <f t="shared" si="43"/>
        <v>30.73</v>
      </c>
      <c r="T263" s="19">
        <v>33</v>
      </c>
      <c r="U263" s="19">
        <f t="shared" si="44"/>
        <v>0.0531400966183575</v>
      </c>
      <c r="V263" s="19">
        <v>214</v>
      </c>
      <c r="W263" s="19">
        <f t="shared" si="45"/>
        <v>0.344605475040258</v>
      </c>
      <c r="X263" s="19">
        <v>374</v>
      </c>
      <c r="Y263" s="14">
        <f t="shared" si="46"/>
        <v>0.602254428341385</v>
      </c>
      <c r="Z263" s="14">
        <v>621</v>
      </c>
      <c r="AA263" s="25">
        <v>0.3</v>
      </c>
      <c r="AB263" s="25">
        <v>5.3</v>
      </c>
      <c r="AC263" s="25">
        <v>63.2</v>
      </c>
      <c r="AD263" s="25">
        <v>4.2</v>
      </c>
      <c r="AE263" s="25">
        <v>18.3</v>
      </c>
      <c r="AF263" s="25">
        <v>15</v>
      </c>
      <c r="AG263" s="25">
        <v>7</v>
      </c>
      <c r="AH263" s="25">
        <v>13.8</v>
      </c>
      <c r="AI263" s="25">
        <v>11.1</v>
      </c>
      <c r="AJ263" s="25">
        <v>12.7</v>
      </c>
      <c r="AK263" s="25">
        <f t="shared" si="47"/>
        <v>59.6</v>
      </c>
      <c r="AL263" s="25">
        <v>15.6</v>
      </c>
      <c r="AM263" s="25">
        <v>4.5</v>
      </c>
      <c r="AN263" s="19">
        <v>5.5</v>
      </c>
      <c r="AO263" s="25">
        <v>1.4</v>
      </c>
      <c r="AP263" s="25">
        <f t="shared" si="48"/>
        <v>27</v>
      </c>
      <c r="AQ263" s="25">
        <v>2.7</v>
      </c>
      <c r="AR263" s="25">
        <v>21</v>
      </c>
      <c r="AS263" s="25">
        <v>12.4</v>
      </c>
      <c r="AT263" s="25">
        <v>19.9</v>
      </c>
      <c r="AU263" s="25">
        <f t="shared" si="49"/>
        <v>56</v>
      </c>
      <c r="AV263" s="25">
        <v>9.5</v>
      </c>
      <c r="AW263" s="19">
        <v>800.055</v>
      </c>
      <c r="AX263" s="25">
        <v>171.563</v>
      </c>
      <c r="AY263" s="19">
        <v>971.619</v>
      </c>
      <c r="AZ263" s="25">
        <v>642.596</v>
      </c>
      <c r="BA263" s="25">
        <v>533.8</v>
      </c>
      <c r="BB263" s="25">
        <v>1176.396</v>
      </c>
      <c r="BC263" s="25">
        <f t="shared" si="40"/>
        <v>1.36966584566315</v>
      </c>
    </row>
    <row r="264" ht="14" spans="1:55">
      <c r="A264" s="29">
        <v>2013</v>
      </c>
      <c r="B264" s="29">
        <v>540000</v>
      </c>
      <c r="C264" s="30" t="s">
        <v>77</v>
      </c>
      <c r="D264" s="25">
        <v>1</v>
      </c>
      <c r="E264" s="25">
        <v>0</v>
      </c>
      <c r="F264" s="25">
        <v>0</v>
      </c>
      <c r="G264" s="25">
        <v>0</v>
      </c>
      <c r="H264" s="19">
        <v>49.5119999999997</v>
      </c>
      <c r="I264" s="19">
        <v>50.4880000000003</v>
      </c>
      <c r="J264" s="25">
        <v>7.998</v>
      </c>
      <c r="K264" s="25">
        <v>56.999</v>
      </c>
      <c r="L264" s="25">
        <f t="shared" si="41"/>
        <v>64.997</v>
      </c>
      <c r="M264" s="25">
        <v>22.87</v>
      </c>
      <c r="N264" s="25">
        <v>6.196</v>
      </c>
      <c r="O264" s="25">
        <v>3.347</v>
      </c>
      <c r="P264" s="25">
        <f t="shared" si="42"/>
        <v>32.413</v>
      </c>
      <c r="Q264" s="25">
        <v>2.589</v>
      </c>
      <c r="R264" s="19">
        <v>-0.00799999999998136</v>
      </c>
      <c r="S264" s="19">
        <f t="shared" si="43"/>
        <v>2.58100000000002</v>
      </c>
      <c r="T264" s="19">
        <v>78.93</v>
      </c>
      <c r="U264" s="19">
        <f t="shared" si="44"/>
        <v>0.451028571428571</v>
      </c>
      <c r="V264" s="19">
        <v>24.68</v>
      </c>
      <c r="W264" s="19">
        <f t="shared" si="45"/>
        <v>0.141028571428571</v>
      </c>
      <c r="X264" s="19">
        <v>71.4</v>
      </c>
      <c r="Y264" s="14">
        <f t="shared" si="46"/>
        <v>0.408</v>
      </c>
      <c r="Z264" s="14">
        <v>175</v>
      </c>
      <c r="AA264" s="25">
        <v>0.8</v>
      </c>
      <c r="AB264" s="25">
        <v>0.6</v>
      </c>
      <c r="AC264" s="25">
        <v>1.1</v>
      </c>
      <c r="AD264" s="25">
        <v>1</v>
      </c>
      <c r="AE264" s="25">
        <v>1.8</v>
      </c>
      <c r="AF264" s="25">
        <v>0.7</v>
      </c>
      <c r="AG264" s="25">
        <v>0.5</v>
      </c>
      <c r="AH264" s="25">
        <v>1</v>
      </c>
      <c r="AI264" s="25">
        <v>1.1</v>
      </c>
      <c r="AJ264" s="25">
        <v>0.5</v>
      </c>
      <c r="AK264" s="25">
        <f t="shared" si="47"/>
        <v>3.8</v>
      </c>
      <c r="AL264" s="25">
        <v>0.9</v>
      </c>
      <c r="AM264" s="25">
        <v>0.6</v>
      </c>
      <c r="AN264" s="19">
        <v>0.1</v>
      </c>
      <c r="AO264" s="25">
        <v>0.7</v>
      </c>
      <c r="AP264" s="25">
        <f t="shared" si="48"/>
        <v>2.3</v>
      </c>
      <c r="AQ264" s="25">
        <v>0.2</v>
      </c>
      <c r="AR264" s="25">
        <v>4.4</v>
      </c>
      <c r="AS264" s="25">
        <v>1.7</v>
      </c>
      <c r="AT264" s="25">
        <v>13.2</v>
      </c>
      <c r="AU264" s="25">
        <f t="shared" si="49"/>
        <v>19.5</v>
      </c>
      <c r="AV264" s="25">
        <v>0.1</v>
      </c>
      <c r="AW264" s="19">
        <v>14.014</v>
      </c>
      <c r="AX264" s="25">
        <v>140.444</v>
      </c>
      <c r="AY264" s="19">
        <v>154.458</v>
      </c>
      <c r="AZ264" s="25">
        <v>30.558</v>
      </c>
      <c r="BA264" s="25">
        <v>24.251</v>
      </c>
      <c r="BB264" s="25">
        <v>54.809</v>
      </c>
      <c r="BC264" s="25">
        <f t="shared" si="40"/>
        <v>0.648266337196099</v>
      </c>
    </row>
    <row r="265" ht="14" spans="1:55">
      <c r="A265" s="29">
        <v>2014</v>
      </c>
      <c r="B265" s="29">
        <v>540000</v>
      </c>
      <c r="C265" s="30" t="s">
        <v>77</v>
      </c>
      <c r="D265" s="25">
        <v>1</v>
      </c>
      <c r="E265" s="25">
        <v>0</v>
      </c>
      <c r="F265" s="25">
        <v>0</v>
      </c>
      <c r="G265" s="25">
        <v>0</v>
      </c>
      <c r="H265" s="19">
        <v>53.4</v>
      </c>
      <c r="I265" s="19">
        <v>46.6</v>
      </c>
      <c r="J265" s="25">
        <v>19.9</v>
      </c>
      <c r="K265" s="25">
        <v>46.3</v>
      </c>
      <c r="L265" s="25">
        <f t="shared" si="41"/>
        <v>66.2</v>
      </c>
      <c r="M265" s="25">
        <v>20.6</v>
      </c>
      <c r="N265" s="25">
        <v>7.3</v>
      </c>
      <c r="O265" s="25">
        <v>2.9</v>
      </c>
      <c r="P265" s="25">
        <f t="shared" si="42"/>
        <v>30.8</v>
      </c>
      <c r="Q265" s="25">
        <v>3</v>
      </c>
      <c r="R265" s="19">
        <v>0.0700000000000216</v>
      </c>
      <c r="S265" s="19">
        <f t="shared" si="43"/>
        <v>3.07000000000002</v>
      </c>
      <c r="T265" s="19">
        <v>76.91</v>
      </c>
      <c r="U265" s="19">
        <f t="shared" si="44"/>
        <v>0.436988636363636</v>
      </c>
      <c r="V265" s="19">
        <v>25.87</v>
      </c>
      <c r="W265" s="19">
        <f t="shared" si="45"/>
        <v>0.146988636363636</v>
      </c>
      <c r="X265" s="19">
        <v>73.22</v>
      </c>
      <c r="Y265" s="14">
        <f t="shared" si="46"/>
        <v>0.416022727272727</v>
      </c>
      <c r="Z265" s="14">
        <v>176</v>
      </c>
      <c r="AA265" s="25">
        <v>1.1</v>
      </c>
      <c r="AB265" s="25">
        <v>0.6</v>
      </c>
      <c r="AC265" s="25">
        <v>1.1</v>
      </c>
      <c r="AD265" s="25">
        <v>1</v>
      </c>
      <c r="AE265" s="25">
        <v>1.9</v>
      </c>
      <c r="AF265" s="25">
        <v>0.9</v>
      </c>
      <c r="AG265" s="25">
        <v>0.5</v>
      </c>
      <c r="AH265" s="25">
        <v>0.9</v>
      </c>
      <c r="AI265" s="25">
        <v>1.1</v>
      </c>
      <c r="AJ265" s="25">
        <v>0.5</v>
      </c>
      <c r="AK265" s="25">
        <f t="shared" si="47"/>
        <v>3.9</v>
      </c>
      <c r="AL265" s="25">
        <v>1</v>
      </c>
      <c r="AM265" s="25">
        <v>0.5</v>
      </c>
      <c r="AN265" s="19">
        <v>0.2</v>
      </c>
      <c r="AO265" s="25">
        <v>0.7</v>
      </c>
      <c r="AP265" s="25">
        <f t="shared" si="48"/>
        <v>2.4</v>
      </c>
      <c r="AQ265" s="25">
        <v>0.2</v>
      </c>
      <c r="AR265" s="25">
        <v>4.7</v>
      </c>
      <c r="AS265" s="25">
        <v>1.8</v>
      </c>
      <c r="AT265" s="25">
        <v>13.7</v>
      </c>
      <c r="AU265" s="25">
        <f t="shared" si="49"/>
        <v>20.4</v>
      </c>
      <c r="AV265" s="25">
        <v>0.1</v>
      </c>
      <c r="AW265" s="19">
        <v>15.2</v>
      </c>
      <c r="AX265" s="25">
        <v>140.9</v>
      </c>
      <c r="AY265" s="19">
        <v>156.1</v>
      </c>
      <c r="AZ265" s="25">
        <v>33</v>
      </c>
      <c r="BA265" s="25">
        <v>25.9</v>
      </c>
      <c r="BB265" s="25">
        <v>58.9</v>
      </c>
      <c r="BC265" s="25">
        <f t="shared" si="40"/>
        <v>0.657645125398481</v>
      </c>
    </row>
    <row r="266" ht="14" spans="1:55">
      <c r="A266" s="29">
        <v>2015</v>
      </c>
      <c r="B266" s="29">
        <v>540000</v>
      </c>
      <c r="C266" s="30" t="s">
        <v>77</v>
      </c>
      <c r="D266" s="25">
        <v>1</v>
      </c>
      <c r="E266" s="25">
        <v>0</v>
      </c>
      <c r="F266" s="25">
        <v>0</v>
      </c>
      <c r="G266" s="25">
        <v>0</v>
      </c>
      <c r="H266" s="19">
        <v>57.288</v>
      </c>
      <c r="I266" s="19">
        <v>42.712</v>
      </c>
      <c r="J266" s="25">
        <v>30.539</v>
      </c>
      <c r="K266" s="25">
        <v>40.693</v>
      </c>
      <c r="L266" s="25">
        <f t="shared" si="41"/>
        <v>71.232</v>
      </c>
      <c r="M266" s="25">
        <v>13.578</v>
      </c>
      <c r="N266" s="25">
        <v>3.015</v>
      </c>
      <c r="O266" s="25">
        <v>5.861</v>
      </c>
      <c r="P266" s="25">
        <f t="shared" si="42"/>
        <v>22.454</v>
      </c>
      <c r="Q266" s="25">
        <v>4.046</v>
      </c>
      <c r="R266" s="19">
        <v>0.148</v>
      </c>
      <c r="S266" s="19">
        <f t="shared" si="43"/>
        <v>4.194</v>
      </c>
      <c r="T266" s="19">
        <v>74.57</v>
      </c>
      <c r="U266" s="19">
        <f t="shared" si="44"/>
        <v>0.411988950276243</v>
      </c>
      <c r="V266" s="19">
        <v>24.07</v>
      </c>
      <c r="W266" s="19">
        <f t="shared" si="45"/>
        <v>0.132983425414365</v>
      </c>
      <c r="X266" s="19">
        <v>82.36</v>
      </c>
      <c r="Y266" s="14">
        <f t="shared" si="46"/>
        <v>0.455027624309392</v>
      </c>
      <c r="Z266" s="14">
        <v>181</v>
      </c>
      <c r="AA266" s="25">
        <v>1.1</v>
      </c>
      <c r="AB266" s="25">
        <v>0.5</v>
      </c>
      <c r="AC266" s="25">
        <v>1.2</v>
      </c>
      <c r="AD266" s="25">
        <v>1.1</v>
      </c>
      <c r="AE266" s="25">
        <v>2</v>
      </c>
      <c r="AF266" s="25">
        <v>0.9</v>
      </c>
      <c r="AG266" s="25">
        <v>0.5</v>
      </c>
      <c r="AH266" s="25">
        <v>0.9</v>
      </c>
      <c r="AI266" s="25">
        <v>1.2</v>
      </c>
      <c r="AJ266" s="25">
        <v>0.3</v>
      </c>
      <c r="AK266" s="25">
        <f t="shared" si="47"/>
        <v>3.8</v>
      </c>
      <c r="AL266" s="25">
        <v>1.2</v>
      </c>
      <c r="AM266" s="25">
        <v>0.5</v>
      </c>
      <c r="AN266" s="19">
        <v>0.2</v>
      </c>
      <c r="AO266" s="25">
        <v>0.7</v>
      </c>
      <c r="AP266" s="25">
        <f t="shared" si="48"/>
        <v>2.6</v>
      </c>
      <c r="AQ266" s="25">
        <v>0.2</v>
      </c>
      <c r="AR266" s="25">
        <v>4.8</v>
      </c>
      <c r="AS266" s="25">
        <v>1.8</v>
      </c>
      <c r="AT266" s="25">
        <v>14.2</v>
      </c>
      <c r="AU266" s="25">
        <f t="shared" si="49"/>
        <v>21</v>
      </c>
      <c r="AV266" s="25">
        <v>0.2</v>
      </c>
      <c r="AW266" s="19">
        <v>16.225</v>
      </c>
      <c r="AX266" s="25">
        <v>157.658</v>
      </c>
      <c r="AY266" s="19">
        <v>173.883</v>
      </c>
      <c r="AZ266" s="25">
        <v>34.328</v>
      </c>
      <c r="BA266" s="25">
        <v>27.504</v>
      </c>
      <c r="BB266" s="25">
        <v>61.831</v>
      </c>
      <c r="BC266" s="25">
        <f t="shared" si="40"/>
        <v>0.648500631195462</v>
      </c>
    </row>
    <row r="267" ht="14" spans="1:55">
      <c r="A267" s="29">
        <v>2016</v>
      </c>
      <c r="B267" s="29">
        <v>540000</v>
      </c>
      <c r="C267" s="30" t="s">
        <v>77</v>
      </c>
      <c r="D267" s="25">
        <v>1</v>
      </c>
      <c r="E267" s="25">
        <v>0</v>
      </c>
      <c r="F267" s="25">
        <v>0</v>
      </c>
      <c r="G267" s="25">
        <v>0</v>
      </c>
      <c r="H267" s="19">
        <v>59.494</v>
      </c>
      <c r="I267" s="19">
        <v>40.506</v>
      </c>
      <c r="J267" s="25">
        <v>23.126</v>
      </c>
      <c r="K267" s="25">
        <v>46.518</v>
      </c>
      <c r="L267" s="25">
        <f t="shared" si="41"/>
        <v>69.644</v>
      </c>
      <c r="M267" s="25">
        <v>12.784</v>
      </c>
      <c r="N267" s="25">
        <v>3.164</v>
      </c>
      <c r="O267" s="25">
        <v>6.309</v>
      </c>
      <c r="P267" s="25">
        <f t="shared" si="42"/>
        <v>22.257</v>
      </c>
      <c r="Q267" s="25">
        <v>5.564</v>
      </c>
      <c r="R267" s="19">
        <v>0.226</v>
      </c>
      <c r="S267" s="19">
        <f t="shared" si="43"/>
        <v>5.79</v>
      </c>
      <c r="T267" s="19">
        <v>69.79</v>
      </c>
      <c r="U267" s="19">
        <f t="shared" si="44"/>
        <v>0.377243243243243</v>
      </c>
      <c r="V267" s="19">
        <v>30.38</v>
      </c>
      <c r="W267" s="19">
        <f t="shared" si="45"/>
        <v>0.164216216216216</v>
      </c>
      <c r="X267" s="19">
        <v>84.83</v>
      </c>
      <c r="Y267" s="14">
        <f t="shared" si="46"/>
        <v>0.458540540540541</v>
      </c>
      <c r="Z267" s="14">
        <v>185</v>
      </c>
      <c r="AA267" s="25">
        <v>0.3</v>
      </c>
      <c r="AB267" s="25">
        <v>0.5</v>
      </c>
      <c r="AC267" s="25">
        <v>0.9</v>
      </c>
      <c r="AD267" s="25">
        <v>0.7</v>
      </c>
      <c r="AE267" s="25">
        <v>1.5</v>
      </c>
      <c r="AF267" s="25">
        <v>0.9</v>
      </c>
      <c r="AG267" s="25">
        <v>0.5</v>
      </c>
      <c r="AH267" s="25">
        <v>0.9</v>
      </c>
      <c r="AI267" s="25">
        <v>1.2</v>
      </c>
      <c r="AJ267" s="25">
        <v>0.4</v>
      </c>
      <c r="AK267" s="25">
        <f t="shared" si="47"/>
        <v>3.9</v>
      </c>
      <c r="AL267" s="25">
        <v>1</v>
      </c>
      <c r="AM267" s="25">
        <v>0.5</v>
      </c>
      <c r="AN267" s="19">
        <v>0.2</v>
      </c>
      <c r="AO267" s="25">
        <v>0.7</v>
      </c>
      <c r="AP267" s="25">
        <f t="shared" si="48"/>
        <v>2.4</v>
      </c>
      <c r="AQ267" s="25">
        <v>0.2</v>
      </c>
      <c r="AR267" s="25">
        <v>4.9</v>
      </c>
      <c r="AS267" s="25">
        <v>1.9</v>
      </c>
      <c r="AT267" s="25">
        <v>14</v>
      </c>
      <c r="AU267" s="25">
        <f t="shared" si="49"/>
        <v>21</v>
      </c>
      <c r="AV267" s="25">
        <v>0.2</v>
      </c>
      <c r="AW267" s="19">
        <v>21.065</v>
      </c>
      <c r="AX267" s="25">
        <v>158.48</v>
      </c>
      <c r="AY267" s="19">
        <v>179.545</v>
      </c>
      <c r="AZ267" s="25">
        <v>36.83</v>
      </c>
      <c r="BA267" s="25">
        <v>28.542</v>
      </c>
      <c r="BB267" s="25">
        <v>65.372</v>
      </c>
      <c r="BC267" s="25">
        <f t="shared" si="40"/>
        <v>0.680715401930577</v>
      </c>
    </row>
    <row r="268" ht="14" spans="1:55">
      <c r="A268" s="29">
        <v>2017</v>
      </c>
      <c r="B268" s="29">
        <v>540000</v>
      </c>
      <c r="C268" s="30" t="s">
        <v>77</v>
      </c>
      <c r="D268" s="25">
        <v>1</v>
      </c>
      <c r="E268" s="25">
        <v>0</v>
      </c>
      <c r="F268" s="25">
        <v>0</v>
      </c>
      <c r="G268" s="25">
        <v>0</v>
      </c>
      <c r="H268" s="19">
        <v>61.46</v>
      </c>
      <c r="I268" s="19">
        <v>38.54</v>
      </c>
      <c r="J268" s="25">
        <v>23.659</v>
      </c>
      <c r="K268" s="25">
        <v>46.434</v>
      </c>
      <c r="L268" s="25">
        <f t="shared" si="41"/>
        <v>70.093</v>
      </c>
      <c r="M268" s="25">
        <v>12.835</v>
      </c>
      <c r="N268" s="25">
        <v>3.35</v>
      </c>
      <c r="O268" s="25">
        <v>5.974</v>
      </c>
      <c r="P268" s="25">
        <f t="shared" si="42"/>
        <v>22.159</v>
      </c>
      <c r="Q268" s="25">
        <v>5.533</v>
      </c>
      <c r="R268" s="19">
        <v>0.244</v>
      </c>
      <c r="S268" s="19">
        <f t="shared" si="43"/>
        <v>5.777</v>
      </c>
      <c r="T268" s="19">
        <v>69.75</v>
      </c>
      <c r="U268" s="19">
        <f t="shared" si="44"/>
        <v>0.372994652406417</v>
      </c>
      <c r="V268" s="19">
        <v>33.1</v>
      </c>
      <c r="W268" s="19">
        <f t="shared" si="45"/>
        <v>0.177005347593583</v>
      </c>
      <c r="X268" s="19">
        <v>84.15</v>
      </c>
      <c r="Y268" s="14">
        <f t="shared" si="46"/>
        <v>0.45</v>
      </c>
      <c r="Z268" s="14">
        <v>187</v>
      </c>
      <c r="AA268" s="25">
        <v>0.3</v>
      </c>
      <c r="AB268" s="25">
        <v>0.5</v>
      </c>
      <c r="AC268" s="25">
        <v>0.9</v>
      </c>
      <c r="AD268" s="25">
        <v>1.2</v>
      </c>
      <c r="AE268" s="25">
        <v>1.8</v>
      </c>
      <c r="AF268" s="25">
        <v>0.9</v>
      </c>
      <c r="AG268" s="25">
        <v>0.5</v>
      </c>
      <c r="AH268" s="25">
        <v>1.3</v>
      </c>
      <c r="AI268" s="25">
        <v>1</v>
      </c>
      <c r="AJ268" s="25">
        <v>0.5</v>
      </c>
      <c r="AK268" s="25">
        <f t="shared" si="47"/>
        <v>4.2</v>
      </c>
      <c r="AL268" s="25">
        <v>0.9</v>
      </c>
      <c r="AM268" s="25">
        <v>0.5</v>
      </c>
      <c r="AN268" s="19">
        <v>0.2</v>
      </c>
      <c r="AO268" s="25">
        <v>0.8</v>
      </c>
      <c r="AP268" s="25">
        <f t="shared" si="48"/>
        <v>2.4</v>
      </c>
      <c r="AQ268" s="25">
        <v>0.2</v>
      </c>
      <c r="AR268" s="25">
        <v>5.1</v>
      </c>
      <c r="AS268" s="25">
        <v>2</v>
      </c>
      <c r="AT268" s="25">
        <v>14.4</v>
      </c>
      <c r="AU268" s="25">
        <f t="shared" si="49"/>
        <v>21.7</v>
      </c>
      <c r="AV268" s="25">
        <v>0.2</v>
      </c>
      <c r="AW268" s="19">
        <v>42.867</v>
      </c>
      <c r="AX268" s="25">
        <v>183.138</v>
      </c>
      <c r="AY268" s="19">
        <v>226.005</v>
      </c>
      <c r="AZ268" s="25">
        <v>39.981</v>
      </c>
      <c r="BA268" s="25">
        <v>29.892</v>
      </c>
      <c r="BB268" s="25">
        <v>69.873</v>
      </c>
      <c r="BC268" s="25">
        <f t="shared" si="40"/>
        <v>0.761868063408342</v>
      </c>
    </row>
    <row r="269" ht="14" spans="1:55">
      <c r="A269" s="29">
        <v>2018</v>
      </c>
      <c r="B269" s="29">
        <v>540000</v>
      </c>
      <c r="C269" s="30" t="s">
        <v>77</v>
      </c>
      <c r="D269" s="25">
        <v>1</v>
      </c>
      <c r="E269" s="25">
        <v>0</v>
      </c>
      <c r="F269" s="25">
        <v>0</v>
      </c>
      <c r="G269" s="25">
        <v>0</v>
      </c>
      <c r="H269" s="19">
        <v>58.59</v>
      </c>
      <c r="I269" s="19">
        <v>41.41</v>
      </c>
      <c r="J269" s="25">
        <v>21.937</v>
      </c>
      <c r="K269" s="25">
        <v>44.026</v>
      </c>
      <c r="L269" s="25">
        <f t="shared" si="41"/>
        <v>65.963</v>
      </c>
      <c r="M269" s="25">
        <v>15.401</v>
      </c>
      <c r="N269" s="25">
        <v>4.083</v>
      </c>
      <c r="O269" s="25">
        <v>5.474</v>
      </c>
      <c r="P269" s="25">
        <f t="shared" si="42"/>
        <v>24.958</v>
      </c>
      <c r="Q269" s="25">
        <v>7.403</v>
      </c>
      <c r="R269" s="19">
        <v>0.118</v>
      </c>
      <c r="S269" s="19">
        <f t="shared" si="43"/>
        <v>7.521</v>
      </c>
      <c r="T269" s="19">
        <v>68.31</v>
      </c>
      <c r="U269" s="19">
        <f t="shared" si="44"/>
        <v>0.365294117647059</v>
      </c>
      <c r="V269" s="19">
        <v>36.83</v>
      </c>
      <c r="W269" s="19">
        <f t="shared" si="45"/>
        <v>0.196951871657754</v>
      </c>
      <c r="X269" s="19">
        <v>81.87</v>
      </c>
      <c r="Y269" s="14">
        <f t="shared" si="46"/>
        <v>0.437807486631016</v>
      </c>
      <c r="Z269" s="14">
        <v>187</v>
      </c>
      <c r="AA269" s="25">
        <v>0.2</v>
      </c>
      <c r="AB269" s="25">
        <v>0.5</v>
      </c>
      <c r="AC269" s="25">
        <v>0.9</v>
      </c>
      <c r="AD269" s="25">
        <v>1.3</v>
      </c>
      <c r="AE269" s="25">
        <v>2.1</v>
      </c>
      <c r="AF269" s="25">
        <v>1</v>
      </c>
      <c r="AG269" s="25">
        <v>0.4</v>
      </c>
      <c r="AH269" s="25">
        <v>1</v>
      </c>
      <c r="AI269" s="25">
        <v>0.8</v>
      </c>
      <c r="AJ269" s="25">
        <v>0.7</v>
      </c>
      <c r="AK269" s="25">
        <f t="shared" si="47"/>
        <v>3.9</v>
      </c>
      <c r="AL269" s="25">
        <v>0.9</v>
      </c>
      <c r="AM269" s="25">
        <v>0.5</v>
      </c>
      <c r="AN269" s="19">
        <v>0.2</v>
      </c>
      <c r="AO269" s="25">
        <v>0.9</v>
      </c>
      <c r="AP269" s="25">
        <f t="shared" si="48"/>
        <v>2.5</v>
      </c>
      <c r="AQ269" s="25">
        <v>0.5</v>
      </c>
      <c r="AR269" s="25">
        <v>6.2</v>
      </c>
      <c r="AS269" s="25">
        <v>1.8</v>
      </c>
      <c r="AT269" s="25">
        <v>16.7</v>
      </c>
      <c r="AU269" s="25">
        <f t="shared" si="49"/>
        <v>25.2</v>
      </c>
      <c r="AV269" s="25">
        <v>0.2</v>
      </c>
      <c r="AW269" s="19">
        <v>46.213</v>
      </c>
      <c r="AX269" s="25">
        <v>165.91</v>
      </c>
      <c r="AY269" s="19">
        <v>212.123</v>
      </c>
      <c r="AZ269" s="25">
        <v>43.875</v>
      </c>
      <c r="BA269" s="25">
        <v>298.819</v>
      </c>
      <c r="BB269" s="25">
        <v>342.693</v>
      </c>
      <c r="BC269" s="25">
        <f t="shared" si="40"/>
        <v>0.345889493854103</v>
      </c>
    </row>
    <row r="270" ht="14" spans="1:55">
      <c r="A270" s="29">
        <v>2019</v>
      </c>
      <c r="B270" s="29">
        <v>540000</v>
      </c>
      <c r="C270" s="30" t="s">
        <v>77</v>
      </c>
      <c r="D270" s="25">
        <v>1</v>
      </c>
      <c r="E270" s="25">
        <v>0</v>
      </c>
      <c r="F270" s="25">
        <v>0</v>
      </c>
      <c r="G270" s="25">
        <v>0</v>
      </c>
      <c r="H270" s="19">
        <v>52.5</v>
      </c>
      <c r="I270" s="19">
        <v>47.5</v>
      </c>
      <c r="J270" s="25">
        <v>13.2</v>
      </c>
      <c r="K270" s="25">
        <v>55.4</v>
      </c>
      <c r="L270" s="25">
        <f t="shared" si="41"/>
        <v>68.6</v>
      </c>
      <c r="M270" s="25">
        <v>12.3</v>
      </c>
      <c r="N270" s="25">
        <v>5.6</v>
      </c>
      <c r="O270" s="25">
        <v>5.8</v>
      </c>
      <c r="P270" s="25">
        <f t="shared" si="42"/>
        <v>23.7</v>
      </c>
      <c r="Q270" s="25">
        <v>7.4</v>
      </c>
      <c r="R270" s="19">
        <v>0.2</v>
      </c>
      <c r="S270" s="19">
        <f t="shared" si="43"/>
        <v>7.6</v>
      </c>
      <c r="T270" s="19">
        <v>67.74</v>
      </c>
      <c r="U270" s="19">
        <f t="shared" si="44"/>
        <v>0.356526315789474</v>
      </c>
      <c r="V270" s="19">
        <v>41.3</v>
      </c>
      <c r="W270" s="19">
        <f t="shared" si="45"/>
        <v>0.217368421052632</v>
      </c>
      <c r="X270" s="19">
        <v>80.96</v>
      </c>
      <c r="Y270" s="14">
        <f t="shared" si="46"/>
        <v>0.426105263157895</v>
      </c>
      <c r="Z270" s="14">
        <v>190</v>
      </c>
      <c r="AA270" s="25">
        <v>0.2</v>
      </c>
      <c r="AB270" s="25">
        <v>0.6</v>
      </c>
      <c r="AC270" s="25">
        <v>1.4</v>
      </c>
      <c r="AD270" s="25">
        <v>1.4</v>
      </c>
      <c r="AE270" s="25">
        <v>4.3</v>
      </c>
      <c r="AF270" s="25">
        <v>2.6</v>
      </c>
      <c r="AG270" s="25">
        <v>0.9</v>
      </c>
      <c r="AH270" s="25">
        <v>1.4</v>
      </c>
      <c r="AI270" s="25">
        <v>1.2</v>
      </c>
      <c r="AJ270" s="25">
        <v>1.5</v>
      </c>
      <c r="AK270" s="25">
        <f t="shared" si="47"/>
        <v>7.6</v>
      </c>
      <c r="AL270" s="25">
        <v>2.4</v>
      </c>
      <c r="AM270" s="25">
        <v>0.6</v>
      </c>
      <c r="AN270" s="19">
        <v>0.2</v>
      </c>
      <c r="AO270" s="25">
        <v>0.6</v>
      </c>
      <c r="AP270" s="25">
        <f t="shared" si="48"/>
        <v>3.8</v>
      </c>
      <c r="AQ270" s="25">
        <v>0.5</v>
      </c>
      <c r="AR270" s="25">
        <v>5.4</v>
      </c>
      <c r="AS270" s="25">
        <v>1.9</v>
      </c>
      <c r="AT270" s="25">
        <v>17.3</v>
      </c>
      <c r="AU270" s="25">
        <f t="shared" si="49"/>
        <v>25.1</v>
      </c>
      <c r="AV270" s="25">
        <v>0.5</v>
      </c>
      <c r="AW270" s="19">
        <v>48.2</v>
      </c>
      <c r="AX270" s="25">
        <v>166</v>
      </c>
      <c r="AY270" s="19">
        <v>214.2</v>
      </c>
      <c r="AZ270" s="25">
        <v>47.7</v>
      </c>
      <c r="BA270" s="25">
        <v>299.4</v>
      </c>
      <c r="BB270" s="25">
        <v>347.1</v>
      </c>
      <c r="BC270" s="25">
        <f t="shared" si="40"/>
        <v>0.362447716049831</v>
      </c>
    </row>
    <row r="271" ht="14" spans="1:55">
      <c r="A271" s="29">
        <v>2020</v>
      </c>
      <c r="B271" s="29">
        <v>540000</v>
      </c>
      <c r="C271" s="30" t="s">
        <v>77</v>
      </c>
      <c r="D271" s="25">
        <v>1</v>
      </c>
      <c r="E271" s="25">
        <v>0</v>
      </c>
      <c r="F271" s="25">
        <v>0</v>
      </c>
      <c r="G271" s="25">
        <v>0</v>
      </c>
      <c r="H271" s="19">
        <v>53.3</v>
      </c>
      <c r="I271" s="19">
        <v>46.7</v>
      </c>
      <c r="J271" s="25">
        <v>19.6</v>
      </c>
      <c r="K271" s="25">
        <v>50.8</v>
      </c>
      <c r="L271" s="25">
        <f t="shared" si="41"/>
        <v>70.4</v>
      </c>
      <c r="M271" s="25">
        <v>12.9</v>
      </c>
      <c r="N271" s="25">
        <v>4.4</v>
      </c>
      <c r="O271" s="25">
        <v>5</v>
      </c>
      <c r="P271" s="25">
        <f t="shared" si="42"/>
        <v>22.3</v>
      </c>
      <c r="Q271" s="25">
        <v>7.2</v>
      </c>
      <c r="R271" s="19">
        <v>0.2</v>
      </c>
      <c r="S271" s="19">
        <f t="shared" si="43"/>
        <v>7.4</v>
      </c>
      <c r="T271" s="19">
        <v>69</v>
      </c>
      <c r="U271" s="19">
        <f t="shared" si="44"/>
        <v>0.357512953367876</v>
      </c>
      <c r="V271" s="19">
        <v>30</v>
      </c>
      <c r="W271" s="19">
        <f t="shared" si="45"/>
        <v>0.155440414507772</v>
      </c>
      <c r="X271" s="19">
        <v>94</v>
      </c>
      <c r="Y271" s="14">
        <f t="shared" si="46"/>
        <v>0.487046632124352</v>
      </c>
      <c r="Z271" s="14">
        <v>193</v>
      </c>
      <c r="AA271" s="25">
        <v>0.3</v>
      </c>
      <c r="AB271" s="25">
        <v>0.7</v>
      </c>
      <c r="AC271" s="25">
        <v>1.7</v>
      </c>
      <c r="AD271" s="25">
        <v>1.1</v>
      </c>
      <c r="AE271" s="25">
        <v>3.5</v>
      </c>
      <c r="AF271" s="25">
        <v>2.1</v>
      </c>
      <c r="AG271" s="25">
        <v>1.1</v>
      </c>
      <c r="AH271" s="25">
        <v>1.1</v>
      </c>
      <c r="AI271" s="25">
        <v>1</v>
      </c>
      <c r="AJ271" s="25">
        <v>1.8</v>
      </c>
      <c r="AK271" s="25">
        <f t="shared" si="47"/>
        <v>7.1</v>
      </c>
      <c r="AL271" s="25">
        <v>2.5</v>
      </c>
      <c r="AM271" s="25">
        <v>0.8</v>
      </c>
      <c r="AN271" s="19">
        <v>0.2</v>
      </c>
      <c r="AO271" s="25">
        <v>0.7</v>
      </c>
      <c r="AP271" s="25">
        <f t="shared" si="48"/>
        <v>4.2</v>
      </c>
      <c r="AQ271" s="25">
        <v>0.6</v>
      </c>
      <c r="AR271" s="25">
        <v>5.1</v>
      </c>
      <c r="AS271" s="25">
        <v>1.9</v>
      </c>
      <c r="AT271" s="25">
        <v>14.8</v>
      </c>
      <c r="AU271" s="25">
        <f t="shared" si="49"/>
        <v>22.4</v>
      </c>
      <c r="AV271" s="25">
        <v>0.6</v>
      </c>
      <c r="AW271" s="19">
        <v>52.6</v>
      </c>
      <c r="AX271" s="25">
        <v>168.4</v>
      </c>
      <c r="AY271" s="19">
        <v>221</v>
      </c>
      <c r="AZ271" s="25">
        <v>50.4</v>
      </c>
      <c r="BA271" s="25">
        <v>292.3</v>
      </c>
      <c r="BB271" s="25">
        <v>342.8</v>
      </c>
      <c r="BC271" s="25">
        <f t="shared" ref="BC271:BC334" si="50">AW271/AY271+AZ271/BB271</f>
        <v>0.38503355385777</v>
      </c>
    </row>
    <row r="272" ht="14" spans="1:55">
      <c r="A272" s="29">
        <v>2021</v>
      </c>
      <c r="B272" s="29">
        <v>540000</v>
      </c>
      <c r="C272" s="30" t="s">
        <v>77</v>
      </c>
      <c r="D272" s="25">
        <v>1</v>
      </c>
      <c r="E272" s="25">
        <v>0</v>
      </c>
      <c r="F272" s="25">
        <v>0</v>
      </c>
      <c r="G272" s="25">
        <v>0</v>
      </c>
      <c r="H272" s="19">
        <v>58.593</v>
      </c>
      <c r="I272" s="19">
        <v>41.407</v>
      </c>
      <c r="J272" s="25">
        <v>23.307</v>
      </c>
      <c r="K272" s="25">
        <v>34.824</v>
      </c>
      <c r="L272" s="25">
        <f t="shared" si="41"/>
        <v>58.131</v>
      </c>
      <c r="M272" s="25">
        <v>18.483</v>
      </c>
      <c r="N272" s="25">
        <v>5.415</v>
      </c>
      <c r="O272" s="25">
        <v>7.419</v>
      </c>
      <c r="P272" s="25">
        <f t="shared" si="42"/>
        <v>31.317</v>
      </c>
      <c r="Q272" s="25">
        <v>10.236</v>
      </c>
      <c r="R272" s="19">
        <v>0.315</v>
      </c>
      <c r="S272" s="19">
        <f t="shared" si="43"/>
        <v>10.551</v>
      </c>
      <c r="T272" s="19">
        <v>69</v>
      </c>
      <c r="U272" s="19">
        <f t="shared" si="44"/>
        <v>0.355670103092784</v>
      </c>
      <c r="V272" s="19">
        <v>30</v>
      </c>
      <c r="W272" s="19">
        <f t="shared" si="45"/>
        <v>0.154639175257732</v>
      </c>
      <c r="X272" s="19">
        <v>95</v>
      </c>
      <c r="Y272" s="14">
        <f t="shared" si="46"/>
        <v>0.489690721649485</v>
      </c>
      <c r="Z272" s="14">
        <v>194</v>
      </c>
      <c r="AA272" s="25">
        <v>0.2</v>
      </c>
      <c r="AB272" s="25">
        <v>0.7</v>
      </c>
      <c r="AC272" s="25">
        <v>1.7</v>
      </c>
      <c r="AD272" s="25">
        <v>1.5</v>
      </c>
      <c r="AE272" s="25">
        <v>3.4</v>
      </c>
      <c r="AF272" s="25">
        <v>2.3</v>
      </c>
      <c r="AG272" s="25">
        <v>1.3</v>
      </c>
      <c r="AH272" s="25">
        <v>2</v>
      </c>
      <c r="AI272" s="25">
        <v>1.1</v>
      </c>
      <c r="AJ272" s="25">
        <v>1.9</v>
      </c>
      <c r="AK272" s="25">
        <f t="shared" si="47"/>
        <v>8.6</v>
      </c>
      <c r="AL272" s="25">
        <v>2.6</v>
      </c>
      <c r="AM272" s="25">
        <v>0.7</v>
      </c>
      <c r="AN272" s="19">
        <v>0.3</v>
      </c>
      <c r="AO272" s="25">
        <v>0.7</v>
      </c>
      <c r="AP272" s="25">
        <f t="shared" si="48"/>
        <v>4.3</v>
      </c>
      <c r="AQ272" s="25">
        <v>0.7</v>
      </c>
      <c r="AR272" s="25">
        <v>5.3</v>
      </c>
      <c r="AS272" s="25">
        <v>2.1</v>
      </c>
      <c r="AT272" s="25">
        <v>15.4</v>
      </c>
      <c r="AU272" s="25">
        <f t="shared" si="49"/>
        <v>23.5</v>
      </c>
      <c r="AV272" s="25">
        <v>0.8</v>
      </c>
      <c r="AW272" s="19">
        <v>59.514</v>
      </c>
      <c r="AX272" s="25">
        <v>174.934</v>
      </c>
      <c r="AY272" s="19">
        <v>234.448</v>
      </c>
      <c r="AZ272" s="25">
        <v>55.056</v>
      </c>
      <c r="BA272" s="25">
        <v>290.955</v>
      </c>
      <c r="BB272" s="25">
        <v>346.011</v>
      </c>
      <c r="BC272" s="25">
        <f t="shared" si="50"/>
        <v>0.412963663688352</v>
      </c>
    </row>
    <row r="273" ht="14" spans="1:55">
      <c r="A273" s="29">
        <v>2022</v>
      </c>
      <c r="B273" s="29">
        <v>540000</v>
      </c>
      <c r="C273" s="30" t="s">
        <v>77</v>
      </c>
      <c r="D273" s="25">
        <v>1</v>
      </c>
      <c r="E273" s="25">
        <v>0</v>
      </c>
      <c r="F273" s="25">
        <v>0</v>
      </c>
      <c r="G273" s="25">
        <v>0</v>
      </c>
      <c r="H273" s="19">
        <v>55.718</v>
      </c>
      <c r="I273" s="19">
        <v>44.282</v>
      </c>
      <c r="J273" s="25">
        <v>22.381</v>
      </c>
      <c r="K273" s="25">
        <v>41.566</v>
      </c>
      <c r="L273" s="25">
        <f t="shared" si="41"/>
        <v>63.947</v>
      </c>
      <c r="M273" s="25">
        <v>14.602</v>
      </c>
      <c r="N273" s="25">
        <v>4.267</v>
      </c>
      <c r="O273" s="25">
        <v>7.265</v>
      </c>
      <c r="P273" s="25">
        <f t="shared" si="42"/>
        <v>26.134</v>
      </c>
      <c r="Q273" s="25">
        <v>9.754</v>
      </c>
      <c r="R273" s="19">
        <v>0.165</v>
      </c>
      <c r="S273" s="19">
        <f t="shared" si="43"/>
        <v>9.919</v>
      </c>
      <c r="T273" s="19">
        <v>71</v>
      </c>
      <c r="U273" s="19">
        <f t="shared" si="44"/>
        <v>0.369791666666667</v>
      </c>
      <c r="V273" s="19">
        <v>29</v>
      </c>
      <c r="W273" s="19">
        <f t="shared" si="45"/>
        <v>0.151041666666667</v>
      </c>
      <c r="X273" s="19">
        <v>92</v>
      </c>
      <c r="Y273" s="14">
        <f t="shared" si="46"/>
        <v>0.479166666666667</v>
      </c>
      <c r="Z273" s="14">
        <v>192</v>
      </c>
      <c r="AA273" s="25">
        <v>0.2</v>
      </c>
      <c r="AB273" s="25">
        <v>0.8</v>
      </c>
      <c r="AC273" s="25">
        <v>1.6</v>
      </c>
      <c r="AD273" s="25">
        <v>1.4</v>
      </c>
      <c r="AE273" s="25">
        <v>2.8</v>
      </c>
      <c r="AF273" s="25">
        <v>2.2</v>
      </c>
      <c r="AG273" s="25">
        <v>1.2</v>
      </c>
      <c r="AH273" s="25">
        <v>1.9</v>
      </c>
      <c r="AI273" s="25">
        <v>1.1</v>
      </c>
      <c r="AJ273" s="25">
        <v>1.7</v>
      </c>
      <c r="AK273" s="25">
        <f t="shared" si="47"/>
        <v>8.1</v>
      </c>
      <c r="AL273" s="25">
        <v>2.3</v>
      </c>
      <c r="AM273" s="25">
        <v>0.6</v>
      </c>
      <c r="AN273" s="19">
        <v>0.2</v>
      </c>
      <c r="AO273" s="25">
        <v>0.6</v>
      </c>
      <c r="AP273" s="25">
        <f t="shared" si="48"/>
        <v>3.7</v>
      </c>
      <c r="AQ273" s="25">
        <v>0.6</v>
      </c>
      <c r="AR273" s="25">
        <v>5.3</v>
      </c>
      <c r="AS273" s="25">
        <v>2.2</v>
      </c>
      <c r="AT273" s="25">
        <v>15.2</v>
      </c>
      <c r="AU273" s="25">
        <f t="shared" si="49"/>
        <v>23.3</v>
      </c>
      <c r="AV273" s="25">
        <v>0.7</v>
      </c>
      <c r="AW273" s="19">
        <v>66.4280000000017</v>
      </c>
      <c r="AX273" s="25">
        <v>174.784</v>
      </c>
      <c r="AY273" s="19">
        <v>247.896000000001</v>
      </c>
      <c r="AZ273" s="25">
        <v>55.606</v>
      </c>
      <c r="BA273" s="25">
        <v>284.012</v>
      </c>
      <c r="BB273" s="25">
        <v>339.618</v>
      </c>
      <c r="BC273" s="25">
        <f t="shared" si="50"/>
        <v>0.431698227491663</v>
      </c>
    </row>
    <row r="274" ht="14" spans="1:55">
      <c r="A274" s="29">
        <v>2013</v>
      </c>
      <c r="B274" s="29">
        <v>650000</v>
      </c>
      <c r="C274" s="30" t="s">
        <v>78</v>
      </c>
      <c r="D274" s="25">
        <v>1</v>
      </c>
      <c r="E274" s="25">
        <v>0</v>
      </c>
      <c r="F274" s="25">
        <v>0</v>
      </c>
      <c r="G274" s="25">
        <v>0</v>
      </c>
      <c r="H274" s="19">
        <v>53.1459999999997</v>
      </c>
      <c r="I274" s="19">
        <v>46.8540000000003</v>
      </c>
      <c r="J274" s="25">
        <v>0.906</v>
      </c>
      <c r="K274" s="25">
        <v>24.784</v>
      </c>
      <c r="L274" s="25">
        <f t="shared" si="41"/>
        <v>25.69</v>
      </c>
      <c r="M274" s="25">
        <v>42.719</v>
      </c>
      <c r="N274" s="25">
        <v>13.478</v>
      </c>
      <c r="O274" s="25">
        <v>11.264</v>
      </c>
      <c r="P274" s="25">
        <f t="shared" si="42"/>
        <v>67.461</v>
      </c>
      <c r="Q274" s="25">
        <v>6.435</v>
      </c>
      <c r="R274" s="19">
        <v>0.414</v>
      </c>
      <c r="S274" s="19">
        <f t="shared" si="43"/>
        <v>6.849</v>
      </c>
      <c r="T274" s="19">
        <v>581.8</v>
      </c>
      <c r="U274" s="19">
        <f t="shared" si="44"/>
        <v>0.461746031746032</v>
      </c>
      <c r="V274" s="19">
        <v>205.43</v>
      </c>
      <c r="W274" s="19">
        <f t="shared" si="45"/>
        <v>0.163039682539683</v>
      </c>
      <c r="X274" s="19">
        <v>411.46</v>
      </c>
      <c r="Y274" s="14">
        <f t="shared" si="46"/>
        <v>0.326555555555556</v>
      </c>
      <c r="Z274" s="14">
        <v>1260</v>
      </c>
      <c r="AA274" s="25">
        <v>54.9</v>
      </c>
      <c r="AB274" s="25">
        <v>19.7</v>
      </c>
      <c r="AC274" s="25">
        <v>33.7</v>
      </c>
      <c r="AD274" s="25">
        <v>8.3</v>
      </c>
      <c r="AE274" s="25">
        <v>26.3</v>
      </c>
      <c r="AF274" s="25">
        <v>17.5</v>
      </c>
      <c r="AG274" s="25">
        <v>2.9</v>
      </c>
      <c r="AH274" s="25">
        <v>8.7</v>
      </c>
      <c r="AI274" s="25">
        <v>6.5</v>
      </c>
      <c r="AJ274" s="25">
        <v>5.9</v>
      </c>
      <c r="AK274" s="25">
        <f t="shared" si="47"/>
        <v>41.5</v>
      </c>
      <c r="AL274" s="25">
        <v>8.3</v>
      </c>
      <c r="AM274" s="25">
        <v>2.8</v>
      </c>
      <c r="AN274" s="19">
        <v>0.7</v>
      </c>
      <c r="AO274" s="25">
        <v>3</v>
      </c>
      <c r="AP274" s="25">
        <f t="shared" si="48"/>
        <v>14.8</v>
      </c>
      <c r="AQ274" s="25">
        <v>5.5</v>
      </c>
      <c r="AR274" s="25">
        <v>37</v>
      </c>
      <c r="AS274" s="25">
        <v>16.7</v>
      </c>
      <c r="AT274" s="25">
        <v>47.2</v>
      </c>
      <c r="AU274" s="25">
        <f t="shared" si="49"/>
        <v>106.4</v>
      </c>
      <c r="AV274" s="25">
        <v>4</v>
      </c>
      <c r="AW274" s="19">
        <v>476.337</v>
      </c>
      <c r="AX274" s="25">
        <v>543.554</v>
      </c>
      <c r="AY274" s="19">
        <v>1019.891</v>
      </c>
      <c r="AZ274" s="25">
        <v>487.97</v>
      </c>
      <c r="BA274" s="25">
        <v>389.11</v>
      </c>
      <c r="BB274" s="25">
        <v>877.079</v>
      </c>
      <c r="BC274" s="25">
        <f t="shared" si="50"/>
        <v>1.02340506191533</v>
      </c>
    </row>
    <row r="275" ht="14" spans="1:55">
      <c r="A275" s="29">
        <v>2014</v>
      </c>
      <c r="B275" s="29">
        <v>650000</v>
      </c>
      <c r="C275" s="30" t="s">
        <v>78</v>
      </c>
      <c r="D275" s="25">
        <v>1</v>
      </c>
      <c r="E275" s="25">
        <v>0</v>
      </c>
      <c r="F275" s="25">
        <v>0</v>
      </c>
      <c r="G275" s="25">
        <v>0</v>
      </c>
      <c r="H275" s="19">
        <v>55.6</v>
      </c>
      <c r="I275" s="19">
        <v>44.4</v>
      </c>
      <c r="J275" s="25">
        <v>1</v>
      </c>
      <c r="K275" s="25">
        <v>23.2</v>
      </c>
      <c r="L275" s="25">
        <f t="shared" si="41"/>
        <v>24.2</v>
      </c>
      <c r="M275" s="25">
        <v>44.6</v>
      </c>
      <c r="N275" s="25">
        <v>13.5</v>
      </c>
      <c r="O275" s="25">
        <v>11.7</v>
      </c>
      <c r="P275" s="25">
        <f t="shared" si="42"/>
        <v>69.8</v>
      </c>
      <c r="Q275" s="25">
        <v>5.6</v>
      </c>
      <c r="R275" s="19">
        <v>0.4</v>
      </c>
      <c r="S275" s="19">
        <f t="shared" si="43"/>
        <v>6</v>
      </c>
      <c r="T275" s="19">
        <v>574.1</v>
      </c>
      <c r="U275" s="19">
        <f t="shared" si="44"/>
        <v>0.453833992094862</v>
      </c>
      <c r="V275" s="19">
        <v>202.02</v>
      </c>
      <c r="W275" s="19">
        <f t="shared" si="45"/>
        <v>0.159699604743083</v>
      </c>
      <c r="X275" s="19">
        <v>438.73</v>
      </c>
      <c r="Y275" s="14">
        <f t="shared" si="46"/>
        <v>0.346822134387352</v>
      </c>
      <c r="Z275" s="14">
        <v>1265</v>
      </c>
      <c r="AA275" s="25">
        <v>52.9</v>
      </c>
      <c r="AB275" s="25">
        <v>19.2</v>
      </c>
      <c r="AC275" s="25">
        <v>36</v>
      </c>
      <c r="AD275" s="25">
        <v>9.5</v>
      </c>
      <c r="AE275" s="25">
        <v>25.4</v>
      </c>
      <c r="AF275" s="25">
        <v>17.4</v>
      </c>
      <c r="AG275" s="25">
        <v>2.8</v>
      </c>
      <c r="AH275" s="25">
        <v>8.9</v>
      </c>
      <c r="AI275" s="25">
        <v>6.6</v>
      </c>
      <c r="AJ275" s="25">
        <v>7.4</v>
      </c>
      <c r="AK275" s="25">
        <f t="shared" si="47"/>
        <v>43.1</v>
      </c>
      <c r="AL275" s="25">
        <v>8.3</v>
      </c>
      <c r="AM275" s="25">
        <v>2.4</v>
      </c>
      <c r="AN275" s="19">
        <v>0.7</v>
      </c>
      <c r="AO275" s="25">
        <v>3</v>
      </c>
      <c r="AP275" s="25">
        <f t="shared" si="48"/>
        <v>14.4</v>
      </c>
      <c r="AQ275" s="25">
        <v>5.6</v>
      </c>
      <c r="AR275" s="25">
        <v>37.9</v>
      </c>
      <c r="AS275" s="25">
        <v>17.5</v>
      </c>
      <c r="AT275" s="25">
        <v>50.6</v>
      </c>
      <c r="AU275" s="25">
        <f t="shared" si="49"/>
        <v>111.6</v>
      </c>
      <c r="AV275" s="25">
        <v>4.5</v>
      </c>
      <c r="AW275" s="19">
        <v>490.8</v>
      </c>
      <c r="AX275" s="25">
        <v>545.2</v>
      </c>
      <c r="AY275" s="19">
        <v>1036</v>
      </c>
      <c r="AZ275" s="25">
        <v>498</v>
      </c>
      <c r="BA275" s="25">
        <v>387.1</v>
      </c>
      <c r="BB275" s="25">
        <v>885.1</v>
      </c>
      <c r="BC275" s="25">
        <f t="shared" si="50"/>
        <v>1.03639346207418</v>
      </c>
    </row>
    <row r="276" ht="14" spans="1:55">
      <c r="A276" s="29">
        <v>2015</v>
      </c>
      <c r="B276" s="29">
        <v>650000</v>
      </c>
      <c r="C276" s="30" t="s">
        <v>78</v>
      </c>
      <c r="D276" s="25">
        <v>1</v>
      </c>
      <c r="E276" s="25">
        <v>0</v>
      </c>
      <c r="F276" s="25">
        <v>0</v>
      </c>
      <c r="G276" s="25">
        <v>0</v>
      </c>
      <c r="H276" s="19">
        <v>58.054</v>
      </c>
      <c r="I276" s="19">
        <v>41.946</v>
      </c>
      <c r="J276" s="25">
        <v>2.164</v>
      </c>
      <c r="K276" s="25">
        <v>16.928</v>
      </c>
      <c r="L276" s="25">
        <f t="shared" si="41"/>
        <v>19.092</v>
      </c>
      <c r="M276" s="25">
        <v>41.003</v>
      </c>
      <c r="N276" s="25">
        <v>10.624</v>
      </c>
      <c r="O276" s="25">
        <v>12.3</v>
      </c>
      <c r="P276" s="25">
        <f t="shared" si="42"/>
        <v>63.927</v>
      </c>
      <c r="Q276" s="25">
        <v>9.895</v>
      </c>
      <c r="R276" s="19">
        <v>0.759</v>
      </c>
      <c r="S276" s="19">
        <f t="shared" si="43"/>
        <v>10.654</v>
      </c>
      <c r="T276" s="19">
        <v>569.55</v>
      </c>
      <c r="U276" s="19">
        <f t="shared" si="44"/>
        <v>0.440828173374613</v>
      </c>
      <c r="V276" s="19">
        <v>195.81</v>
      </c>
      <c r="W276" s="19">
        <f t="shared" si="45"/>
        <v>0.15155572755418</v>
      </c>
      <c r="X276" s="19">
        <v>487.12</v>
      </c>
      <c r="Y276" s="14">
        <f t="shared" si="46"/>
        <v>0.37702786377709</v>
      </c>
      <c r="Z276" s="14">
        <v>1292</v>
      </c>
      <c r="AA276" s="25">
        <v>51.7</v>
      </c>
      <c r="AB276" s="25">
        <v>17.9</v>
      </c>
      <c r="AC276" s="25">
        <v>34.8</v>
      </c>
      <c r="AD276" s="25">
        <v>8.9</v>
      </c>
      <c r="AE276" s="25">
        <v>24.7</v>
      </c>
      <c r="AF276" s="25">
        <v>16.7</v>
      </c>
      <c r="AG276" s="25">
        <v>2.9</v>
      </c>
      <c r="AH276" s="25">
        <v>9</v>
      </c>
      <c r="AI276" s="25">
        <v>6.4</v>
      </c>
      <c r="AJ276" s="25">
        <v>8.5</v>
      </c>
      <c r="AK276" s="25">
        <f t="shared" si="47"/>
        <v>43.5</v>
      </c>
      <c r="AL276" s="25">
        <v>8.2</v>
      </c>
      <c r="AM276" s="25">
        <v>2.4</v>
      </c>
      <c r="AN276" s="19">
        <v>0.7</v>
      </c>
      <c r="AO276" s="25">
        <v>3</v>
      </c>
      <c r="AP276" s="25">
        <f t="shared" si="48"/>
        <v>14.3</v>
      </c>
      <c r="AQ276" s="25">
        <v>5.9</v>
      </c>
      <c r="AR276" s="25">
        <v>38.4</v>
      </c>
      <c r="AS276" s="25">
        <v>18</v>
      </c>
      <c r="AT276" s="25">
        <v>53.9</v>
      </c>
      <c r="AU276" s="25">
        <f t="shared" si="49"/>
        <v>116.2</v>
      </c>
      <c r="AV276" s="25">
        <v>5.1</v>
      </c>
      <c r="AW276" s="19">
        <v>499.446</v>
      </c>
      <c r="AX276" s="25">
        <v>546.126</v>
      </c>
      <c r="AY276" s="19">
        <v>1045.572</v>
      </c>
      <c r="AZ276" s="25">
        <v>505.855</v>
      </c>
      <c r="BA276" s="25">
        <v>385.166</v>
      </c>
      <c r="BB276" s="25">
        <v>891.021</v>
      </c>
      <c r="BC276" s="25">
        <f t="shared" si="50"/>
        <v>1.04540240586178</v>
      </c>
    </row>
    <row r="277" ht="14" spans="1:55">
      <c r="A277" s="29">
        <v>2016</v>
      </c>
      <c r="B277" s="29">
        <v>650000</v>
      </c>
      <c r="C277" s="30" t="s">
        <v>78</v>
      </c>
      <c r="D277" s="25">
        <v>1</v>
      </c>
      <c r="E277" s="25">
        <v>0</v>
      </c>
      <c r="F277" s="25">
        <v>0</v>
      </c>
      <c r="G277" s="25">
        <v>0</v>
      </c>
      <c r="H277" s="19">
        <v>56.696</v>
      </c>
      <c r="I277" s="19">
        <v>43.304</v>
      </c>
      <c r="J277" s="25">
        <v>2.068</v>
      </c>
      <c r="K277" s="25">
        <v>17.495</v>
      </c>
      <c r="L277" s="25">
        <f t="shared" si="41"/>
        <v>19.563</v>
      </c>
      <c r="M277" s="25">
        <v>41.463</v>
      </c>
      <c r="N277" s="25">
        <v>10.02</v>
      </c>
      <c r="O277" s="25">
        <v>11.797</v>
      </c>
      <c r="P277" s="25">
        <f t="shared" si="42"/>
        <v>63.28</v>
      </c>
      <c r="Q277" s="25">
        <v>10.362</v>
      </c>
      <c r="R277" s="19">
        <v>0.871</v>
      </c>
      <c r="S277" s="19">
        <f t="shared" si="43"/>
        <v>11.233</v>
      </c>
      <c r="T277" s="19">
        <v>573.87</v>
      </c>
      <c r="U277" s="19">
        <f t="shared" si="44"/>
        <v>0.43475</v>
      </c>
      <c r="V277" s="19">
        <v>189.56</v>
      </c>
      <c r="W277" s="19">
        <f t="shared" si="45"/>
        <v>0.143606060606061</v>
      </c>
      <c r="X277" s="19">
        <v>532.58</v>
      </c>
      <c r="Y277" s="14">
        <f t="shared" si="46"/>
        <v>0.403469696969697</v>
      </c>
      <c r="Z277" s="14">
        <v>1320</v>
      </c>
      <c r="AA277" s="25">
        <v>48.8</v>
      </c>
      <c r="AB277" s="25">
        <v>16</v>
      </c>
      <c r="AC277" s="25">
        <v>35.8</v>
      </c>
      <c r="AD277" s="25">
        <v>9.6</v>
      </c>
      <c r="AE277" s="25">
        <v>25</v>
      </c>
      <c r="AF277" s="25">
        <v>16.6</v>
      </c>
      <c r="AG277" s="25">
        <v>2.9</v>
      </c>
      <c r="AH277" s="25">
        <v>9.4</v>
      </c>
      <c r="AI277" s="25">
        <v>6.4</v>
      </c>
      <c r="AJ277" s="25">
        <v>8</v>
      </c>
      <c r="AK277" s="25">
        <f t="shared" si="47"/>
        <v>43.3</v>
      </c>
      <c r="AL277" s="25">
        <v>8.9</v>
      </c>
      <c r="AM277" s="25">
        <v>2.3</v>
      </c>
      <c r="AN277" s="19">
        <v>0.7</v>
      </c>
      <c r="AO277" s="25">
        <v>3</v>
      </c>
      <c r="AP277" s="25">
        <f t="shared" si="48"/>
        <v>14.9</v>
      </c>
      <c r="AQ277" s="25">
        <v>5.7</v>
      </c>
      <c r="AR277" s="25">
        <v>39.1</v>
      </c>
      <c r="AS277" s="25">
        <v>18.6</v>
      </c>
      <c r="AT277" s="25">
        <v>58.1</v>
      </c>
      <c r="AU277" s="25">
        <f t="shared" si="49"/>
        <v>121.5</v>
      </c>
      <c r="AV277" s="25">
        <v>5.4</v>
      </c>
      <c r="AW277" s="19">
        <v>624.983</v>
      </c>
      <c r="AX277" s="25">
        <v>554.942</v>
      </c>
      <c r="AY277" s="19">
        <v>1179.926</v>
      </c>
      <c r="AZ277" s="25">
        <v>517.672</v>
      </c>
      <c r="BA277" s="25">
        <v>405.545</v>
      </c>
      <c r="BB277" s="25">
        <v>923.217</v>
      </c>
      <c r="BC277" s="25">
        <f t="shared" si="50"/>
        <v>1.09040607050494</v>
      </c>
    </row>
    <row r="278" ht="14" spans="1:55">
      <c r="A278" s="29">
        <v>2017</v>
      </c>
      <c r="B278" s="29">
        <v>650000</v>
      </c>
      <c r="C278" s="30" t="s">
        <v>78</v>
      </c>
      <c r="D278" s="25">
        <v>1</v>
      </c>
      <c r="E278" s="25">
        <v>0</v>
      </c>
      <c r="F278" s="25">
        <v>0</v>
      </c>
      <c r="G278" s="25">
        <v>0</v>
      </c>
      <c r="H278" s="19">
        <v>56.974</v>
      </c>
      <c r="I278" s="19">
        <v>43.026</v>
      </c>
      <c r="J278" s="25">
        <v>1.431</v>
      </c>
      <c r="K278" s="25">
        <v>16.27</v>
      </c>
      <c r="L278" s="25">
        <f t="shared" si="41"/>
        <v>17.701</v>
      </c>
      <c r="M278" s="25">
        <v>40.743</v>
      </c>
      <c r="N278" s="25">
        <v>10.615</v>
      </c>
      <c r="O278" s="25">
        <v>12.359</v>
      </c>
      <c r="P278" s="25">
        <f t="shared" si="42"/>
        <v>63.717</v>
      </c>
      <c r="Q278" s="25">
        <v>10.767</v>
      </c>
      <c r="R278" s="19">
        <v>0.695</v>
      </c>
      <c r="S278" s="19">
        <f t="shared" si="43"/>
        <v>11.462</v>
      </c>
      <c r="T278" s="19">
        <v>546.2</v>
      </c>
      <c r="U278" s="19">
        <f t="shared" si="44"/>
        <v>0.408832335329341</v>
      </c>
      <c r="V278" s="19">
        <v>192.65</v>
      </c>
      <c r="W278" s="19">
        <f t="shared" si="45"/>
        <v>0.144199101796407</v>
      </c>
      <c r="X278" s="19">
        <v>584.44</v>
      </c>
      <c r="Y278" s="14">
        <f t="shared" si="46"/>
        <v>0.437455089820359</v>
      </c>
      <c r="Z278" s="14">
        <v>1336</v>
      </c>
      <c r="AA278" s="25">
        <v>49.7</v>
      </c>
      <c r="AB278" s="25">
        <v>15.7</v>
      </c>
      <c r="AC278" s="25">
        <v>35.6</v>
      </c>
      <c r="AD278" s="25">
        <v>9.9</v>
      </c>
      <c r="AE278" s="25">
        <v>26.4</v>
      </c>
      <c r="AF278" s="25">
        <v>16.7</v>
      </c>
      <c r="AG278" s="25">
        <v>2.8</v>
      </c>
      <c r="AH278" s="25">
        <v>9.8</v>
      </c>
      <c r="AI278" s="25">
        <v>6.3</v>
      </c>
      <c r="AJ278" s="25">
        <v>8.6</v>
      </c>
      <c r="AK278" s="25">
        <f t="shared" si="47"/>
        <v>44.2</v>
      </c>
      <c r="AL278" s="25">
        <v>9</v>
      </c>
      <c r="AM278" s="25">
        <v>2.2</v>
      </c>
      <c r="AN278" s="19">
        <v>1</v>
      </c>
      <c r="AO278" s="25">
        <v>2.9</v>
      </c>
      <c r="AP278" s="25">
        <f t="shared" si="48"/>
        <v>15.1</v>
      </c>
      <c r="AQ278" s="25">
        <v>5.7</v>
      </c>
      <c r="AR278" s="25">
        <v>40</v>
      </c>
      <c r="AS278" s="25">
        <v>18.9</v>
      </c>
      <c r="AT278" s="25">
        <v>68</v>
      </c>
      <c r="AU278" s="25">
        <f t="shared" si="49"/>
        <v>132.6</v>
      </c>
      <c r="AV278" s="25">
        <v>5.6</v>
      </c>
      <c r="AW278" s="19">
        <v>646.38</v>
      </c>
      <c r="AX278" s="25">
        <v>607.426</v>
      </c>
      <c r="AY278" s="19">
        <v>1253.806</v>
      </c>
      <c r="AZ278" s="25">
        <v>534.556</v>
      </c>
      <c r="BA278" s="25">
        <v>505.013</v>
      </c>
      <c r="BB278" s="25">
        <v>1039.569</v>
      </c>
      <c r="BC278" s="25">
        <f t="shared" si="50"/>
        <v>1.02974355518722</v>
      </c>
    </row>
    <row r="279" ht="14" spans="1:55">
      <c r="A279" s="29">
        <v>2018</v>
      </c>
      <c r="B279" s="29">
        <v>650000</v>
      </c>
      <c r="C279" s="30" t="s">
        <v>78</v>
      </c>
      <c r="D279" s="25">
        <v>1</v>
      </c>
      <c r="E279" s="25">
        <v>0</v>
      </c>
      <c r="F279" s="25">
        <v>0</v>
      </c>
      <c r="G279" s="25">
        <v>0</v>
      </c>
      <c r="H279" s="19">
        <v>56.195</v>
      </c>
      <c r="I279" s="19">
        <v>43.805</v>
      </c>
      <c r="J279" s="25">
        <v>1.415</v>
      </c>
      <c r="K279" s="25">
        <v>15.672</v>
      </c>
      <c r="L279" s="25">
        <f t="shared" si="41"/>
        <v>17.087</v>
      </c>
      <c r="M279" s="25">
        <v>40.467</v>
      </c>
      <c r="N279" s="25">
        <v>10.65</v>
      </c>
      <c r="O279" s="25">
        <v>12.717</v>
      </c>
      <c r="P279" s="25">
        <f t="shared" si="42"/>
        <v>63.834</v>
      </c>
      <c r="Q279" s="25">
        <v>11.287</v>
      </c>
      <c r="R279" s="19">
        <v>0.852</v>
      </c>
      <c r="S279" s="19">
        <f t="shared" si="43"/>
        <v>12.139</v>
      </c>
      <c r="T279" s="19">
        <v>539.62</v>
      </c>
      <c r="U279" s="19">
        <f t="shared" si="44"/>
        <v>0.405424492862509</v>
      </c>
      <c r="V279" s="19">
        <v>180.99</v>
      </c>
      <c r="W279" s="19">
        <f t="shared" si="45"/>
        <v>0.135980465815177</v>
      </c>
      <c r="X279" s="19">
        <v>598</v>
      </c>
      <c r="Y279" s="14">
        <f t="shared" si="46"/>
        <v>0.449286250939143</v>
      </c>
      <c r="Z279" s="14">
        <v>1331</v>
      </c>
      <c r="AA279" s="25">
        <v>10.2</v>
      </c>
      <c r="AB279" s="25">
        <v>14.7</v>
      </c>
      <c r="AC279" s="25">
        <v>32.5</v>
      </c>
      <c r="AD279" s="25">
        <v>9.6</v>
      </c>
      <c r="AE279" s="25">
        <v>21.8</v>
      </c>
      <c r="AF279" s="25">
        <v>16.7</v>
      </c>
      <c r="AG279" s="25">
        <v>3.1</v>
      </c>
      <c r="AH279" s="25">
        <v>9.5</v>
      </c>
      <c r="AI279" s="25">
        <v>6.5</v>
      </c>
      <c r="AJ279" s="25">
        <v>10</v>
      </c>
      <c r="AK279" s="25">
        <f t="shared" si="47"/>
        <v>45.8</v>
      </c>
      <c r="AL279" s="25">
        <v>8.7</v>
      </c>
      <c r="AM279" s="25">
        <v>2.3</v>
      </c>
      <c r="AN279" s="19">
        <v>0.6</v>
      </c>
      <c r="AO279" s="25">
        <v>2.7</v>
      </c>
      <c r="AP279" s="25">
        <f t="shared" si="48"/>
        <v>14.3</v>
      </c>
      <c r="AQ279" s="25">
        <v>5.9</v>
      </c>
      <c r="AR279" s="25">
        <v>46.1</v>
      </c>
      <c r="AS279" s="25">
        <v>19.8</v>
      </c>
      <c r="AT279" s="25">
        <v>79.5</v>
      </c>
      <c r="AU279" s="25">
        <f t="shared" si="49"/>
        <v>151.3</v>
      </c>
      <c r="AV279" s="25">
        <v>5.2</v>
      </c>
      <c r="AW279" s="19">
        <v>695.274</v>
      </c>
      <c r="AX279" s="25">
        <v>731.137</v>
      </c>
      <c r="AY279" s="19">
        <v>1426.411</v>
      </c>
      <c r="AZ279" s="25">
        <v>441.586</v>
      </c>
      <c r="BA279" s="25">
        <v>1557.367</v>
      </c>
      <c r="BB279" s="25">
        <v>1998.953</v>
      </c>
      <c r="BC279" s="25">
        <f t="shared" si="50"/>
        <v>0.708337584460135</v>
      </c>
    </row>
    <row r="280" ht="14" spans="1:55">
      <c r="A280" s="29">
        <v>2019</v>
      </c>
      <c r="B280" s="29">
        <v>650000</v>
      </c>
      <c r="C280" s="30" t="s">
        <v>78</v>
      </c>
      <c r="D280" s="25">
        <v>1</v>
      </c>
      <c r="E280" s="25">
        <v>0</v>
      </c>
      <c r="F280" s="25">
        <v>0</v>
      </c>
      <c r="G280" s="25">
        <v>0</v>
      </c>
      <c r="H280" s="19">
        <v>52.8</v>
      </c>
      <c r="I280" s="19">
        <v>47.2</v>
      </c>
      <c r="J280" s="25">
        <v>1</v>
      </c>
      <c r="K280" s="25">
        <v>16.2</v>
      </c>
      <c r="L280" s="25">
        <f t="shared" si="41"/>
        <v>17.2</v>
      </c>
      <c r="M280" s="25">
        <v>38.8</v>
      </c>
      <c r="N280" s="25">
        <v>17.4</v>
      </c>
      <c r="O280" s="25">
        <v>14.9</v>
      </c>
      <c r="P280" s="25">
        <f t="shared" si="42"/>
        <v>71.1</v>
      </c>
      <c r="Q280" s="25">
        <v>11</v>
      </c>
      <c r="R280" s="19">
        <v>0.7</v>
      </c>
      <c r="S280" s="19">
        <f t="shared" si="43"/>
        <v>11.7</v>
      </c>
      <c r="T280" s="19">
        <v>489.16</v>
      </c>
      <c r="U280" s="19">
        <f t="shared" si="44"/>
        <v>0.364229337304542</v>
      </c>
      <c r="V280" s="19">
        <v>189.04</v>
      </c>
      <c r="W280" s="19">
        <f t="shared" si="45"/>
        <v>0.140759493670886</v>
      </c>
      <c r="X280" s="19">
        <v>658.42</v>
      </c>
      <c r="Y280" s="14">
        <f t="shared" si="46"/>
        <v>0.490260610573343</v>
      </c>
      <c r="Z280" s="14">
        <v>1343</v>
      </c>
      <c r="AA280" s="25">
        <v>3.2</v>
      </c>
      <c r="AB280" s="25">
        <v>14.1</v>
      </c>
      <c r="AC280" s="25">
        <v>32.4</v>
      </c>
      <c r="AD280" s="25">
        <v>10.2</v>
      </c>
      <c r="AE280" s="25">
        <v>20.4</v>
      </c>
      <c r="AF280" s="25">
        <v>16.7</v>
      </c>
      <c r="AG280" s="25">
        <v>3.6</v>
      </c>
      <c r="AH280" s="25">
        <v>11.2</v>
      </c>
      <c r="AI280" s="25">
        <v>6.6</v>
      </c>
      <c r="AJ280" s="25">
        <v>10.9</v>
      </c>
      <c r="AK280" s="25">
        <f t="shared" si="47"/>
        <v>49</v>
      </c>
      <c r="AL280" s="25">
        <v>10.4</v>
      </c>
      <c r="AM280" s="25">
        <v>2.5</v>
      </c>
      <c r="AN280" s="19">
        <v>0.5</v>
      </c>
      <c r="AO280" s="25">
        <v>2.6</v>
      </c>
      <c r="AP280" s="25">
        <f t="shared" si="48"/>
        <v>16</v>
      </c>
      <c r="AQ280" s="25">
        <v>5.8</v>
      </c>
      <c r="AR280" s="25">
        <v>51.9</v>
      </c>
      <c r="AS280" s="25">
        <v>22.6</v>
      </c>
      <c r="AT280" s="25">
        <v>87.2</v>
      </c>
      <c r="AU280" s="25">
        <f t="shared" si="49"/>
        <v>167.5</v>
      </c>
      <c r="AV280" s="25">
        <v>6</v>
      </c>
      <c r="AW280" s="19">
        <v>744.2</v>
      </c>
      <c r="AX280" s="25">
        <v>734.1</v>
      </c>
      <c r="AY280" s="19">
        <v>1478.4</v>
      </c>
      <c r="AZ280" s="25">
        <v>605.1</v>
      </c>
      <c r="BA280" s="25">
        <v>1688.1</v>
      </c>
      <c r="BB280" s="25">
        <v>2293.1</v>
      </c>
      <c r="BC280" s="25">
        <f t="shared" si="50"/>
        <v>0.76726062693067</v>
      </c>
    </row>
    <row r="281" ht="14" spans="1:55">
      <c r="A281" s="29">
        <v>2020</v>
      </c>
      <c r="B281" s="29">
        <v>650000</v>
      </c>
      <c r="C281" s="30" t="s">
        <v>78</v>
      </c>
      <c r="D281" s="25">
        <v>1</v>
      </c>
      <c r="E281" s="25">
        <v>0</v>
      </c>
      <c r="F281" s="25">
        <v>0</v>
      </c>
      <c r="G281" s="25">
        <v>0</v>
      </c>
      <c r="H281" s="19">
        <v>53.7</v>
      </c>
      <c r="I281" s="19">
        <v>46.3</v>
      </c>
      <c r="J281" s="25">
        <v>1.1</v>
      </c>
      <c r="K281" s="25">
        <v>16.8</v>
      </c>
      <c r="L281" s="25">
        <f t="shared" si="41"/>
        <v>17.9</v>
      </c>
      <c r="M281" s="25">
        <v>40.3</v>
      </c>
      <c r="N281" s="25">
        <v>16.5</v>
      </c>
      <c r="O281" s="25">
        <v>13.6</v>
      </c>
      <c r="P281" s="25">
        <f t="shared" si="42"/>
        <v>70.4</v>
      </c>
      <c r="Q281" s="25">
        <v>11.1</v>
      </c>
      <c r="R281" s="19">
        <v>0.6</v>
      </c>
      <c r="S281" s="19">
        <f t="shared" si="43"/>
        <v>11.7</v>
      </c>
      <c r="T281" s="19">
        <v>460</v>
      </c>
      <c r="U281" s="19">
        <f t="shared" si="44"/>
        <v>0.339233038348083</v>
      </c>
      <c r="V281" s="19">
        <v>191</v>
      </c>
      <c r="W281" s="19">
        <f t="shared" si="45"/>
        <v>0.140855457227139</v>
      </c>
      <c r="X281" s="19">
        <v>705</v>
      </c>
      <c r="Y281" s="14">
        <f t="shared" si="46"/>
        <v>0.519911504424779</v>
      </c>
      <c r="Z281" s="14">
        <v>1356</v>
      </c>
      <c r="AA281" s="25">
        <v>1.8</v>
      </c>
      <c r="AB281" s="25">
        <v>13.5</v>
      </c>
      <c r="AC281" s="25">
        <v>32.8</v>
      </c>
      <c r="AD281" s="25">
        <v>11.4</v>
      </c>
      <c r="AE281" s="25">
        <v>21.8</v>
      </c>
      <c r="AF281" s="25">
        <v>17.6</v>
      </c>
      <c r="AG281" s="25">
        <v>4</v>
      </c>
      <c r="AH281" s="25">
        <v>13.1</v>
      </c>
      <c r="AI281" s="25">
        <v>6.7</v>
      </c>
      <c r="AJ281" s="25">
        <v>12.6</v>
      </c>
      <c r="AK281" s="25">
        <f t="shared" si="47"/>
        <v>54</v>
      </c>
      <c r="AL281" s="25">
        <v>10.2</v>
      </c>
      <c r="AM281" s="25">
        <v>2.3</v>
      </c>
      <c r="AN281" s="19">
        <v>0.6</v>
      </c>
      <c r="AO281" s="25">
        <v>2.7</v>
      </c>
      <c r="AP281" s="25">
        <f t="shared" si="48"/>
        <v>15.8</v>
      </c>
      <c r="AQ281" s="25">
        <v>6.7</v>
      </c>
      <c r="AR281" s="25">
        <v>51.6</v>
      </c>
      <c r="AS281" s="25">
        <v>23.8</v>
      </c>
      <c r="AT281" s="25">
        <v>83.5</v>
      </c>
      <c r="AU281" s="25">
        <f t="shared" si="49"/>
        <v>165.6</v>
      </c>
      <c r="AV281" s="25">
        <v>6.4</v>
      </c>
      <c r="AW281" s="19">
        <v>767.1</v>
      </c>
      <c r="AX281" s="25">
        <v>744.7</v>
      </c>
      <c r="AY281" s="19">
        <v>1511.8</v>
      </c>
      <c r="AZ281" s="25">
        <v>629.1</v>
      </c>
      <c r="BA281" s="25">
        <v>1687.6</v>
      </c>
      <c r="BB281" s="25">
        <v>2316.8</v>
      </c>
      <c r="BC281" s="25">
        <f t="shared" si="50"/>
        <v>0.778946716082106</v>
      </c>
    </row>
    <row r="282" ht="14" spans="1:55">
      <c r="A282" s="29">
        <v>2021</v>
      </c>
      <c r="B282" s="29">
        <v>650000</v>
      </c>
      <c r="C282" s="30" t="s">
        <v>78</v>
      </c>
      <c r="D282" s="25">
        <v>1</v>
      </c>
      <c r="E282" s="25">
        <v>0</v>
      </c>
      <c r="F282" s="25">
        <v>0</v>
      </c>
      <c r="G282" s="25">
        <v>0</v>
      </c>
      <c r="H282" s="19">
        <v>56.676</v>
      </c>
      <c r="I282" s="19">
        <v>43.324</v>
      </c>
      <c r="J282" s="25">
        <v>0.938</v>
      </c>
      <c r="K282" s="25">
        <v>16.934</v>
      </c>
      <c r="L282" s="25">
        <f t="shared" si="41"/>
        <v>17.872</v>
      </c>
      <c r="M282" s="25">
        <v>42.157</v>
      </c>
      <c r="N282" s="25">
        <v>16.448</v>
      </c>
      <c r="O282" s="25">
        <v>13.345</v>
      </c>
      <c r="P282" s="25">
        <f t="shared" si="42"/>
        <v>71.95</v>
      </c>
      <c r="Q282" s="25">
        <v>9.629</v>
      </c>
      <c r="R282" s="19">
        <v>0.549</v>
      </c>
      <c r="S282" s="19">
        <f t="shared" si="43"/>
        <v>10.178</v>
      </c>
      <c r="T282" s="19">
        <v>455</v>
      </c>
      <c r="U282" s="19">
        <f t="shared" si="44"/>
        <v>0.334558823529412</v>
      </c>
      <c r="V282" s="19">
        <v>195</v>
      </c>
      <c r="W282" s="19">
        <f t="shared" si="45"/>
        <v>0.143382352941176</v>
      </c>
      <c r="X282" s="19">
        <v>710</v>
      </c>
      <c r="Y282" s="14">
        <f t="shared" si="46"/>
        <v>0.522058823529412</v>
      </c>
      <c r="Z282" s="14">
        <v>1360</v>
      </c>
      <c r="AA282" s="25">
        <v>2.3</v>
      </c>
      <c r="AB282" s="25">
        <v>13</v>
      </c>
      <c r="AC282" s="25">
        <v>33.7</v>
      </c>
      <c r="AD282" s="25">
        <v>11</v>
      </c>
      <c r="AE282" s="25">
        <v>19.1</v>
      </c>
      <c r="AF282" s="25">
        <v>17.6</v>
      </c>
      <c r="AG282" s="25">
        <v>4.1</v>
      </c>
      <c r="AH282" s="25">
        <v>11.3</v>
      </c>
      <c r="AI282" s="25">
        <v>7</v>
      </c>
      <c r="AJ282" s="25">
        <v>10.6</v>
      </c>
      <c r="AK282" s="25">
        <f t="shared" si="47"/>
        <v>50.6</v>
      </c>
      <c r="AL282" s="25">
        <v>10.5</v>
      </c>
      <c r="AM282" s="25">
        <v>2.7</v>
      </c>
      <c r="AN282" s="19">
        <v>0.7</v>
      </c>
      <c r="AO282" s="25">
        <v>3.2</v>
      </c>
      <c r="AP282" s="25">
        <f t="shared" si="48"/>
        <v>17.1</v>
      </c>
      <c r="AQ282" s="25">
        <v>6.6</v>
      </c>
      <c r="AR282" s="25">
        <v>54</v>
      </c>
      <c r="AS282" s="25">
        <v>24</v>
      </c>
      <c r="AT282" s="25">
        <v>86.1</v>
      </c>
      <c r="AU282" s="25">
        <f t="shared" si="49"/>
        <v>170.7</v>
      </c>
      <c r="AV282" s="25">
        <v>6.7</v>
      </c>
      <c r="AW282" s="19">
        <v>791.477</v>
      </c>
      <c r="AX282" s="25">
        <v>754.772</v>
      </c>
      <c r="AY282" s="19">
        <v>1546.248</v>
      </c>
      <c r="AZ282" s="25">
        <v>654.134</v>
      </c>
      <c r="BA282" s="25">
        <v>1672.303</v>
      </c>
      <c r="BB282" s="25">
        <v>2326.437</v>
      </c>
      <c r="BC282" s="25">
        <f t="shared" si="50"/>
        <v>0.793043549920527</v>
      </c>
    </row>
    <row r="283" ht="14" spans="1:55">
      <c r="A283" s="29">
        <v>2022</v>
      </c>
      <c r="B283" s="29">
        <v>650000</v>
      </c>
      <c r="C283" s="30" t="s">
        <v>78</v>
      </c>
      <c r="D283" s="25">
        <v>1</v>
      </c>
      <c r="E283" s="25">
        <v>0</v>
      </c>
      <c r="F283" s="25">
        <v>0</v>
      </c>
      <c r="G283" s="25">
        <v>0</v>
      </c>
      <c r="H283" s="19">
        <v>56.119</v>
      </c>
      <c r="I283" s="19">
        <v>43.881</v>
      </c>
      <c r="J283" s="25">
        <v>0.924</v>
      </c>
      <c r="K283" s="25">
        <v>21.884</v>
      </c>
      <c r="L283" s="25">
        <f t="shared" si="41"/>
        <v>22.808</v>
      </c>
      <c r="M283" s="25">
        <v>39.566</v>
      </c>
      <c r="N283" s="25">
        <v>14.13</v>
      </c>
      <c r="O283" s="25">
        <v>12.331</v>
      </c>
      <c r="P283" s="25">
        <f t="shared" si="42"/>
        <v>66.027</v>
      </c>
      <c r="Q283" s="25">
        <v>10.568</v>
      </c>
      <c r="R283" s="19">
        <v>0.597</v>
      </c>
      <c r="S283" s="19">
        <f t="shared" si="43"/>
        <v>11.165</v>
      </c>
      <c r="T283" s="19">
        <v>481</v>
      </c>
      <c r="U283" s="19">
        <f t="shared" si="44"/>
        <v>0.377847604084839</v>
      </c>
      <c r="V283" s="19">
        <v>161</v>
      </c>
      <c r="W283" s="19">
        <f t="shared" si="45"/>
        <v>0.126472898664572</v>
      </c>
      <c r="X283" s="19">
        <v>631</v>
      </c>
      <c r="Y283" s="14">
        <f t="shared" si="46"/>
        <v>0.495679497250589</v>
      </c>
      <c r="Z283" s="14">
        <v>1273</v>
      </c>
      <c r="AA283" s="25">
        <v>2.4</v>
      </c>
      <c r="AB283" s="25">
        <v>13.8</v>
      </c>
      <c r="AC283" s="25">
        <v>31.7</v>
      </c>
      <c r="AD283" s="25">
        <v>11.3</v>
      </c>
      <c r="AE283" s="25">
        <v>20.1</v>
      </c>
      <c r="AF283" s="25">
        <v>16.8</v>
      </c>
      <c r="AG283" s="25">
        <v>4.4</v>
      </c>
      <c r="AH283" s="25">
        <v>10.5</v>
      </c>
      <c r="AI283" s="25">
        <v>6.8</v>
      </c>
      <c r="AJ283" s="25">
        <v>10.7</v>
      </c>
      <c r="AK283" s="25">
        <f t="shared" si="47"/>
        <v>49.2</v>
      </c>
      <c r="AL283" s="25">
        <v>10</v>
      </c>
      <c r="AM283" s="25">
        <v>2.6</v>
      </c>
      <c r="AN283" s="19">
        <v>0.5</v>
      </c>
      <c r="AO283" s="25">
        <v>2.8</v>
      </c>
      <c r="AP283" s="25">
        <f t="shared" si="48"/>
        <v>15.9</v>
      </c>
      <c r="AQ283" s="25">
        <v>5.9</v>
      </c>
      <c r="AR283" s="25">
        <v>51.9</v>
      </c>
      <c r="AS283" s="25">
        <v>24.2</v>
      </c>
      <c r="AT283" s="25">
        <v>84.5</v>
      </c>
      <c r="AU283" s="25">
        <f t="shared" si="49"/>
        <v>166.5</v>
      </c>
      <c r="AV283" s="25">
        <v>6.3</v>
      </c>
      <c r="AW283" s="19">
        <v>815.853999999999</v>
      </c>
      <c r="AX283" s="25">
        <v>762.806</v>
      </c>
      <c r="AY283" s="19">
        <v>1580.69600000001</v>
      </c>
      <c r="AZ283" s="25">
        <v>661.155</v>
      </c>
      <c r="BA283" s="25">
        <v>1671.734</v>
      </c>
      <c r="BB283" s="25">
        <v>2332.89</v>
      </c>
      <c r="BC283" s="25">
        <f t="shared" si="50"/>
        <v>0.799541919990633</v>
      </c>
    </row>
    <row r="284" ht="14" spans="1:55">
      <c r="A284" s="29">
        <v>2013</v>
      </c>
      <c r="B284" s="29">
        <v>530000</v>
      </c>
      <c r="C284" s="30" t="s">
        <v>79</v>
      </c>
      <c r="D284" s="25">
        <v>1</v>
      </c>
      <c r="E284" s="25">
        <v>0</v>
      </c>
      <c r="F284" s="25">
        <v>0</v>
      </c>
      <c r="G284" s="25">
        <v>0</v>
      </c>
      <c r="H284" s="19">
        <v>54.216</v>
      </c>
      <c r="I284" s="19">
        <v>45.784</v>
      </c>
      <c r="J284" s="25">
        <v>2.927</v>
      </c>
      <c r="K284" s="25">
        <v>38.689</v>
      </c>
      <c r="L284" s="25">
        <f t="shared" si="41"/>
        <v>41.616</v>
      </c>
      <c r="M284" s="25">
        <v>40.137</v>
      </c>
      <c r="N284" s="25">
        <v>8.248</v>
      </c>
      <c r="O284" s="25">
        <v>5.757</v>
      </c>
      <c r="P284" s="25">
        <f t="shared" si="42"/>
        <v>54.142</v>
      </c>
      <c r="Q284" s="25">
        <v>3.941</v>
      </c>
      <c r="R284" s="19">
        <v>0.301</v>
      </c>
      <c r="S284" s="19">
        <f t="shared" si="43"/>
        <v>4.242</v>
      </c>
      <c r="T284" s="19">
        <v>1559.25</v>
      </c>
      <c r="U284" s="19">
        <f t="shared" si="44"/>
        <v>0.55</v>
      </c>
      <c r="V284" s="19">
        <v>388.395</v>
      </c>
      <c r="W284" s="19">
        <f t="shared" si="45"/>
        <v>0.137</v>
      </c>
      <c r="X284" s="19">
        <v>887.355</v>
      </c>
      <c r="Y284" s="14">
        <f t="shared" si="46"/>
        <v>0.313</v>
      </c>
      <c r="Z284" s="14">
        <v>2835</v>
      </c>
      <c r="AA284" s="25">
        <v>7.1</v>
      </c>
      <c r="AB284" s="25">
        <v>22.9</v>
      </c>
      <c r="AC284" s="25">
        <v>74</v>
      </c>
      <c r="AD284" s="25">
        <v>10.3</v>
      </c>
      <c r="AE284" s="25">
        <v>73.7</v>
      </c>
      <c r="AF284" s="25">
        <v>16.8</v>
      </c>
      <c r="AG284" s="25">
        <v>6.6</v>
      </c>
      <c r="AH284" s="25">
        <v>9.9</v>
      </c>
      <c r="AI284" s="25">
        <v>9.2</v>
      </c>
      <c r="AJ284" s="25">
        <v>9.4</v>
      </c>
      <c r="AK284" s="25">
        <f t="shared" si="47"/>
        <v>51.9</v>
      </c>
      <c r="AL284" s="25">
        <v>25.5</v>
      </c>
      <c r="AM284" s="25">
        <v>9.6</v>
      </c>
      <c r="AN284" s="19">
        <v>1.4</v>
      </c>
      <c r="AO284" s="25">
        <v>3.5</v>
      </c>
      <c r="AP284" s="25">
        <f t="shared" si="48"/>
        <v>40</v>
      </c>
      <c r="AQ284" s="25">
        <v>7.8</v>
      </c>
      <c r="AR284" s="25">
        <v>58</v>
      </c>
      <c r="AS284" s="25">
        <v>22.2</v>
      </c>
      <c r="AT284" s="25">
        <v>50.2</v>
      </c>
      <c r="AU284" s="25">
        <f t="shared" si="49"/>
        <v>138.2</v>
      </c>
      <c r="AV284" s="25">
        <v>10.1</v>
      </c>
      <c r="AW284" s="19">
        <v>384.319</v>
      </c>
      <c r="AX284" s="25">
        <v>2152.721</v>
      </c>
      <c r="AY284" s="19">
        <v>2537.04</v>
      </c>
      <c r="AZ284" s="25">
        <v>457.966</v>
      </c>
      <c r="BA284" s="25">
        <v>660.789</v>
      </c>
      <c r="BB284" s="25">
        <v>1118.755</v>
      </c>
      <c r="BC284" s="25">
        <f t="shared" si="50"/>
        <v>0.560836478832271</v>
      </c>
    </row>
    <row r="285" ht="14" spans="1:55">
      <c r="A285" s="29">
        <v>2014</v>
      </c>
      <c r="B285" s="29">
        <v>530000</v>
      </c>
      <c r="C285" s="30" t="s">
        <v>79</v>
      </c>
      <c r="D285" s="25">
        <v>1</v>
      </c>
      <c r="E285" s="25">
        <v>0</v>
      </c>
      <c r="F285" s="25">
        <v>0</v>
      </c>
      <c r="G285" s="25">
        <v>0</v>
      </c>
      <c r="H285" s="19">
        <v>54.3</v>
      </c>
      <c r="I285" s="19">
        <v>45.7</v>
      </c>
      <c r="J285" s="25">
        <v>2.9</v>
      </c>
      <c r="K285" s="25">
        <v>41.2</v>
      </c>
      <c r="L285" s="25">
        <f t="shared" si="41"/>
        <v>44.1</v>
      </c>
      <c r="M285" s="25">
        <v>36.1</v>
      </c>
      <c r="N285" s="25">
        <v>9.5</v>
      </c>
      <c r="O285" s="25">
        <v>5.6</v>
      </c>
      <c r="P285" s="25">
        <f t="shared" si="42"/>
        <v>51.2</v>
      </c>
      <c r="Q285" s="25">
        <v>4.4</v>
      </c>
      <c r="R285" s="19">
        <v>0.2</v>
      </c>
      <c r="S285" s="19">
        <f t="shared" si="43"/>
        <v>4.6</v>
      </c>
      <c r="T285" s="19">
        <v>1515.27</v>
      </c>
      <c r="U285" s="19">
        <f t="shared" si="44"/>
        <v>0.53</v>
      </c>
      <c r="V285" s="19">
        <v>397.401</v>
      </c>
      <c r="W285" s="19">
        <f t="shared" si="45"/>
        <v>0.139</v>
      </c>
      <c r="X285" s="19">
        <v>946.329</v>
      </c>
      <c r="Y285" s="14">
        <f t="shared" si="46"/>
        <v>0.331</v>
      </c>
      <c r="Z285" s="14">
        <v>2859</v>
      </c>
      <c r="AA285" s="25">
        <v>6.7</v>
      </c>
      <c r="AB285" s="25">
        <v>17.3</v>
      </c>
      <c r="AC285" s="25">
        <v>72.1</v>
      </c>
      <c r="AD285" s="25">
        <v>10.3</v>
      </c>
      <c r="AE285" s="25">
        <v>67.6</v>
      </c>
      <c r="AF285" s="25">
        <v>17.1</v>
      </c>
      <c r="AG285" s="25">
        <v>5.2</v>
      </c>
      <c r="AH285" s="25">
        <v>10.1</v>
      </c>
      <c r="AI285" s="25">
        <v>10.1</v>
      </c>
      <c r="AJ285" s="25">
        <v>9.3</v>
      </c>
      <c r="AK285" s="25">
        <f t="shared" si="47"/>
        <v>51.8</v>
      </c>
      <c r="AL285" s="25">
        <v>26</v>
      </c>
      <c r="AM285" s="25">
        <v>8.7</v>
      </c>
      <c r="AN285" s="19">
        <v>1.4</v>
      </c>
      <c r="AO285" s="25">
        <v>3.4</v>
      </c>
      <c r="AP285" s="25">
        <f t="shared" si="48"/>
        <v>39.5</v>
      </c>
      <c r="AQ285" s="25">
        <v>7.6</v>
      </c>
      <c r="AR285" s="25">
        <v>59.9</v>
      </c>
      <c r="AS285" s="25">
        <v>24.6</v>
      </c>
      <c r="AT285" s="25">
        <v>51.1</v>
      </c>
      <c r="AU285" s="25">
        <f t="shared" si="49"/>
        <v>143.2</v>
      </c>
      <c r="AV285" s="25">
        <v>11.1</v>
      </c>
      <c r="AW285" s="19">
        <v>397.9</v>
      </c>
      <c r="AX285" s="25">
        <v>2160.5</v>
      </c>
      <c r="AY285" s="19">
        <v>2558.4</v>
      </c>
      <c r="AZ285" s="25">
        <v>462.6</v>
      </c>
      <c r="BA285" s="25">
        <v>673.3</v>
      </c>
      <c r="BB285" s="25">
        <v>1135.9</v>
      </c>
      <c r="BC285" s="25">
        <f t="shared" si="50"/>
        <v>0.562781051504536</v>
      </c>
    </row>
    <row r="286" ht="14" spans="1:55">
      <c r="A286" s="29">
        <v>2015</v>
      </c>
      <c r="B286" s="29">
        <v>530000</v>
      </c>
      <c r="C286" s="30" t="s">
        <v>79</v>
      </c>
      <c r="D286" s="25">
        <v>1</v>
      </c>
      <c r="E286" s="25">
        <v>0</v>
      </c>
      <c r="F286" s="25">
        <v>0</v>
      </c>
      <c r="G286" s="25">
        <v>0</v>
      </c>
      <c r="H286" s="19">
        <v>54.384</v>
      </c>
      <c r="I286" s="19">
        <v>45.616</v>
      </c>
      <c r="J286" s="25">
        <v>6.148</v>
      </c>
      <c r="K286" s="25">
        <v>34.273</v>
      </c>
      <c r="L286" s="25">
        <f t="shared" si="41"/>
        <v>40.421</v>
      </c>
      <c r="M286" s="25">
        <v>39.668</v>
      </c>
      <c r="N286" s="25">
        <v>5.711</v>
      </c>
      <c r="O286" s="25">
        <v>4.939</v>
      </c>
      <c r="P286" s="25">
        <f t="shared" si="42"/>
        <v>50.318</v>
      </c>
      <c r="Q286" s="25">
        <v>4.609</v>
      </c>
      <c r="R286" s="19">
        <v>0.359</v>
      </c>
      <c r="S286" s="19">
        <f t="shared" si="43"/>
        <v>4.968</v>
      </c>
      <c r="T286" s="19">
        <v>1478.4051</v>
      </c>
      <c r="U286" s="19">
        <f t="shared" si="44"/>
        <v>0.5237</v>
      </c>
      <c r="V286" s="19">
        <v>400.866</v>
      </c>
      <c r="W286" s="19">
        <f t="shared" si="45"/>
        <v>0.142</v>
      </c>
      <c r="X286" s="19">
        <v>943.7289</v>
      </c>
      <c r="Y286" s="14">
        <f t="shared" si="46"/>
        <v>0.3343</v>
      </c>
      <c r="Z286" s="14">
        <v>2823</v>
      </c>
      <c r="AA286" s="25">
        <v>6.5</v>
      </c>
      <c r="AB286" s="25">
        <v>15.3</v>
      </c>
      <c r="AC286" s="25">
        <v>67.5</v>
      </c>
      <c r="AD286" s="25">
        <v>10.6</v>
      </c>
      <c r="AE286" s="25">
        <v>68</v>
      </c>
      <c r="AF286" s="25">
        <v>17.1</v>
      </c>
      <c r="AG286" s="25">
        <v>4.9</v>
      </c>
      <c r="AH286" s="25">
        <v>9.9</v>
      </c>
      <c r="AI286" s="25">
        <v>10</v>
      </c>
      <c r="AJ286" s="25">
        <v>9.6</v>
      </c>
      <c r="AK286" s="25">
        <f t="shared" si="47"/>
        <v>51.5</v>
      </c>
      <c r="AL286" s="25">
        <v>25</v>
      </c>
      <c r="AM286" s="25">
        <v>8.4</v>
      </c>
      <c r="AN286" s="19">
        <v>1.4</v>
      </c>
      <c r="AO286" s="25">
        <v>3.5</v>
      </c>
      <c r="AP286" s="25">
        <f t="shared" si="48"/>
        <v>38.3</v>
      </c>
      <c r="AQ286" s="25">
        <v>7.5</v>
      </c>
      <c r="AR286" s="25">
        <v>60</v>
      </c>
      <c r="AS286" s="25">
        <v>25.7</v>
      </c>
      <c r="AT286" s="25">
        <v>52.8</v>
      </c>
      <c r="AU286" s="25">
        <f t="shared" si="49"/>
        <v>146</v>
      </c>
      <c r="AV286" s="25">
        <v>10.9</v>
      </c>
      <c r="AW286" s="19">
        <v>412.944</v>
      </c>
      <c r="AX286" s="25">
        <v>2253.301</v>
      </c>
      <c r="AY286" s="19">
        <v>2666.245</v>
      </c>
      <c r="AZ286" s="25">
        <v>468.286</v>
      </c>
      <c r="BA286" s="25">
        <v>672.476</v>
      </c>
      <c r="BB286" s="25">
        <v>1140.761</v>
      </c>
      <c r="BC286" s="25">
        <f t="shared" si="50"/>
        <v>0.565381654277141</v>
      </c>
    </row>
    <row r="287" ht="14" spans="1:55">
      <c r="A287" s="29">
        <v>2016</v>
      </c>
      <c r="B287" s="29">
        <v>530000</v>
      </c>
      <c r="C287" s="30" t="s">
        <v>79</v>
      </c>
      <c r="D287" s="25">
        <v>1</v>
      </c>
      <c r="E287" s="25">
        <v>0</v>
      </c>
      <c r="F287" s="25">
        <v>0</v>
      </c>
      <c r="G287" s="25">
        <v>0</v>
      </c>
      <c r="H287" s="19">
        <v>54.361</v>
      </c>
      <c r="I287" s="19">
        <v>45.639</v>
      </c>
      <c r="J287" s="25">
        <v>5.451</v>
      </c>
      <c r="K287" s="25">
        <v>34.037</v>
      </c>
      <c r="L287" s="25">
        <f t="shared" si="41"/>
        <v>39.488</v>
      </c>
      <c r="M287" s="25">
        <v>41.32</v>
      </c>
      <c r="N287" s="25">
        <v>5.707</v>
      </c>
      <c r="O287" s="25">
        <v>4.685</v>
      </c>
      <c r="P287" s="25">
        <f t="shared" si="42"/>
        <v>51.712</v>
      </c>
      <c r="Q287" s="25">
        <v>4.286</v>
      </c>
      <c r="R287" s="19">
        <v>0.384</v>
      </c>
      <c r="S287" s="19">
        <f t="shared" si="43"/>
        <v>4.67</v>
      </c>
      <c r="T287" s="19">
        <v>1474.0365</v>
      </c>
      <c r="U287" s="19">
        <f t="shared" si="44"/>
        <v>0.5163</v>
      </c>
      <c r="V287" s="19">
        <v>415.9735</v>
      </c>
      <c r="W287" s="19">
        <f t="shared" si="45"/>
        <v>0.1457</v>
      </c>
      <c r="X287" s="19">
        <v>964.99</v>
      </c>
      <c r="Y287" s="14">
        <f t="shared" si="46"/>
        <v>0.338</v>
      </c>
      <c r="Z287" s="14">
        <v>2855</v>
      </c>
      <c r="AA287" s="25">
        <v>6.3</v>
      </c>
      <c r="AB287" s="25">
        <v>13.6</v>
      </c>
      <c r="AC287" s="25">
        <v>66.3</v>
      </c>
      <c r="AD287" s="25">
        <v>10.7</v>
      </c>
      <c r="AE287" s="25">
        <v>71.7</v>
      </c>
      <c r="AF287" s="25">
        <v>17.3</v>
      </c>
      <c r="AG287" s="25">
        <v>5</v>
      </c>
      <c r="AH287" s="25">
        <v>10.4</v>
      </c>
      <c r="AI287" s="25">
        <v>10.1</v>
      </c>
      <c r="AJ287" s="25">
        <v>10.4</v>
      </c>
      <c r="AK287" s="25">
        <f t="shared" si="47"/>
        <v>53.2</v>
      </c>
      <c r="AL287" s="25">
        <v>24.8</v>
      </c>
      <c r="AM287" s="25">
        <v>8.2</v>
      </c>
      <c r="AN287" s="19">
        <v>1.6</v>
      </c>
      <c r="AO287" s="25">
        <v>3.6</v>
      </c>
      <c r="AP287" s="25">
        <f t="shared" si="48"/>
        <v>38.2</v>
      </c>
      <c r="AQ287" s="25">
        <v>7.5</v>
      </c>
      <c r="AR287" s="25">
        <v>59.8</v>
      </c>
      <c r="AS287" s="25">
        <v>26.3</v>
      </c>
      <c r="AT287" s="25">
        <v>54.3</v>
      </c>
      <c r="AU287" s="25">
        <f t="shared" si="49"/>
        <v>147.9</v>
      </c>
      <c r="AV287" s="25">
        <v>11.2</v>
      </c>
      <c r="AW287" s="19">
        <v>581.796</v>
      </c>
      <c r="AX287" s="25">
        <v>2257.532</v>
      </c>
      <c r="AY287" s="19">
        <v>2839.328</v>
      </c>
      <c r="AZ287" s="25">
        <v>479.134</v>
      </c>
      <c r="BA287" s="25">
        <v>684.491</v>
      </c>
      <c r="BB287" s="25">
        <v>1163.625</v>
      </c>
      <c r="BC287" s="25">
        <f t="shared" si="50"/>
        <v>0.616666033675431</v>
      </c>
    </row>
    <row r="288" ht="14" spans="1:55">
      <c r="A288" s="29">
        <v>2017</v>
      </c>
      <c r="B288" s="29">
        <v>530000</v>
      </c>
      <c r="C288" s="30" t="s">
        <v>79</v>
      </c>
      <c r="D288" s="25">
        <v>1</v>
      </c>
      <c r="E288" s="25">
        <v>0</v>
      </c>
      <c r="F288" s="25">
        <v>0</v>
      </c>
      <c r="G288" s="25">
        <v>0</v>
      </c>
      <c r="H288" s="19">
        <v>54.502</v>
      </c>
      <c r="I288" s="19">
        <v>45.498</v>
      </c>
      <c r="J288" s="25">
        <v>4.655</v>
      </c>
      <c r="K288" s="25">
        <v>32.614</v>
      </c>
      <c r="L288" s="25">
        <f t="shared" si="41"/>
        <v>37.269</v>
      </c>
      <c r="M288" s="25">
        <v>42.766</v>
      </c>
      <c r="N288" s="25">
        <v>6.114</v>
      </c>
      <c r="O288" s="25">
        <v>4.609</v>
      </c>
      <c r="P288" s="25">
        <f t="shared" si="42"/>
        <v>53.489</v>
      </c>
      <c r="Q288" s="25">
        <v>4.478</v>
      </c>
      <c r="R288" s="19">
        <v>0.393</v>
      </c>
      <c r="S288" s="19">
        <f t="shared" si="43"/>
        <v>4.871</v>
      </c>
      <c r="T288" s="19">
        <v>1380.1125</v>
      </c>
      <c r="U288" s="19">
        <f t="shared" si="44"/>
        <v>0.4875</v>
      </c>
      <c r="V288" s="19">
        <v>437.1064</v>
      </c>
      <c r="W288" s="19">
        <f t="shared" si="45"/>
        <v>0.1544</v>
      </c>
      <c r="X288" s="19">
        <v>1013.7811</v>
      </c>
      <c r="Y288" s="14">
        <f t="shared" si="46"/>
        <v>0.3581</v>
      </c>
      <c r="Z288" s="14">
        <v>2831</v>
      </c>
      <c r="AA288" s="25">
        <v>5.8</v>
      </c>
      <c r="AB288" s="25">
        <v>12.3</v>
      </c>
      <c r="AC288" s="25">
        <v>64.5</v>
      </c>
      <c r="AD288" s="25">
        <v>10.3</v>
      </c>
      <c r="AE288" s="25">
        <v>73.7</v>
      </c>
      <c r="AF288" s="25">
        <v>17.9</v>
      </c>
      <c r="AG288" s="25">
        <v>5.2</v>
      </c>
      <c r="AH288" s="25">
        <v>10.5</v>
      </c>
      <c r="AI288" s="25">
        <v>10.4</v>
      </c>
      <c r="AJ288" s="25">
        <v>11.2</v>
      </c>
      <c r="AK288" s="25">
        <f t="shared" si="47"/>
        <v>55.2</v>
      </c>
      <c r="AL288" s="25">
        <v>23.4</v>
      </c>
      <c r="AM288" s="25">
        <v>8.1</v>
      </c>
      <c r="AN288" s="19">
        <v>2.2</v>
      </c>
      <c r="AO288" s="25">
        <v>3.7</v>
      </c>
      <c r="AP288" s="25">
        <f t="shared" si="48"/>
        <v>37.4</v>
      </c>
      <c r="AQ288" s="25">
        <v>7</v>
      </c>
      <c r="AR288" s="25">
        <v>59.4</v>
      </c>
      <c r="AS288" s="25">
        <v>27.3</v>
      </c>
      <c r="AT288" s="25">
        <v>57.3</v>
      </c>
      <c r="AU288" s="25">
        <f t="shared" si="49"/>
        <v>151</v>
      </c>
      <c r="AV288" s="25">
        <v>12.4</v>
      </c>
      <c r="AW288" s="19">
        <v>591.459</v>
      </c>
      <c r="AX288" s="25">
        <v>2258.945</v>
      </c>
      <c r="AY288" s="19">
        <v>2850.404</v>
      </c>
      <c r="AZ288" s="25">
        <v>491.323</v>
      </c>
      <c r="BA288" s="25">
        <v>3972.486</v>
      </c>
      <c r="BB288" s="25">
        <v>4463.81</v>
      </c>
      <c r="BC288" s="25">
        <f t="shared" si="50"/>
        <v>0.317568140495364</v>
      </c>
    </row>
    <row r="289" ht="14" spans="1:55">
      <c r="A289" s="29">
        <v>2018</v>
      </c>
      <c r="B289" s="29">
        <v>530000</v>
      </c>
      <c r="C289" s="30" t="s">
        <v>79</v>
      </c>
      <c r="D289" s="25">
        <v>1</v>
      </c>
      <c r="E289" s="25">
        <v>0</v>
      </c>
      <c r="F289" s="25">
        <v>0</v>
      </c>
      <c r="G289" s="25">
        <v>0</v>
      </c>
      <c r="H289" s="19">
        <v>54.171</v>
      </c>
      <c r="I289" s="19">
        <v>45.829</v>
      </c>
      <c r="J289" s="25">
        <v>4.269</v>
      </c>
      <c r="K289" s="25">
        <v>31.506</v>
      </c>
      <c r="L289" s="25">
        <f t="shared" si="41"/>
        <v>35.775</v>
      </c>
      <c r="M289" s="25">
        <v>43.696</v>
      </c>
      <c r="N289" s="25">
        <v>6.509</v>
      </c>
      <c r="O289" s="25">
        <v>4.583</v>
      </c>
      <c r="P289" s="25">
        <f t="shared" si="42"/>
        <v>54.788</v>
      </c>
      <c r="Q289" s="25">
        <v>4.449</v>
      </c>
      <c r="R289" s="19">
        <v>0.44</v>
      </c>
      <c r="S289" s="19">
        <f t="shared" si="43"/>
        <v>4.889</v>
      </c>
      <c r="T289" s="19">
        <v>1295.298</v>
      </c>
      <c r="U289" s="19">
        <f t="shared" si="44"/>
        <v>0.459</v>
      </c>
      <c r="V289" s="19">
        <v>459.986</v>
      </c>
      <c r="W289" s="19">
        <f t="shared" si="45"/>
        <v>0.163</v>
      </c>
      <c r="X289" s="19">
        <v>1066.716</v>
      </c>
      <c r="Y289" s="14">
        <f t="shared" si="46"/>
        <v>0.378</v>
      </c>
      <c r="Z289" s="14">
        <v>2822</v>
      </c>
      <c r="AA289" s="25">
        <v>4.7</v>
      </c>
      <c r="AB289" s="25">
        <v>11.5</v>
      </c>
      <c r="AC289" s="25">
        <v>62.7</v>
      </c>
      <c r="AD289" s="25">
        <v>10.3</v>
      </c>
      <c r="AE289" s="25">
        <v>73.9</v>
      </c>
      <c r="AF289" s="25">
        <v>17.1</v>
      </c>
      <c r="AG289" s="25">
        <v>4.9</v>
      </c>
      <c r="AH289" s="25">
        <v>10.5</v>
      </c>
      <c r="AI289" s="25">
        <v>9.9</v>
      </c>
      <c r="AJ289" s="25">
        <v>12.3</v>
      </c>
      <c r="AK289" s="25">
        <f t="shared" si="47"/>
        <v>54.7</v>
      </c>
      <c r="AL289" s="25">
        <v>23.6</v>
      </c>
      <c r="AM289" s="25">
        <v>8</v>
      </c>
      <c r="AN289" s="19">
        <v>2.5</v>
      </c>
      <c r="AO289" s="25">
        <v>3.8</v>
      </c>
      <c r="AP289" s="25">
        <f t="shared" si="48"/>
        <v>37.9</v>
      </c>
      <c r="AQ289" s="25">
        <v>7.2</v>
      </c>
      <c r="AR289" s="25">
        <v>60.7</v>
      </c>
      <c r="AS289" s="25">
        <v>28.1</v>
      </c>
      <c r="AT289" s="25">
        <v>61.4</v>
      </c>
      <c r="AU289" s="25">
        <f t="shared" si="49"/>
        <v>157.4</v>
      </c>
      <c r="AV289" s="25">
        <v>13.9</v>
      </c>
      <c r="AW289" s="19">
        <v>616.216</v>
      </c>
      <c r="AX289" s="25">
        <v>2360.982</v>
      </c>
      <c r="AY289" s="19">
        <v>2977.198</v>
      </c>
      <c r="AZ289" s="25">
        <v>506.885</v>
      </c>
      <c r="BA289" s="25">
        <v>4014.042</v>
      </c>
      <c r="BB289" s="25">
        <v>4520.928</v>
      </c>
      <c r="BC289" s="25">
        <f t="shared" si="50"/>
        <v>0.31909818783299</v>
      </c>
    </row>
    <row r="290" ht="14" spans="1:55">
      <c r="A290" s="29">
        <v>2019</v>
      </c>
      <c r="B290" s="29">
        <v>530000</v>
      </c>
      <c r="C290" s="30" t="s">
        <v>79</v>
      </c>
      <c r="D290" s="25">
        <v>1</v>
      </c>
      <c r="E290" s="25">
        <v>0</v>
      </c>
      <c r="F290" s="25">
        <v>0</v>
      </c>
      <c r="G290" s="25">
        <v>0</v>
      </c>
      <c r="H290" s="19">
        <v>54.3</v>
      </c>
      <c r="I290" s="19">
        <v>45.7</v>
      </c>
      <c r="J290" s="25">
        <v>4.1</v>
      </c>
      <c r="K290" s="25">
        <v>31.7</v>
      </c>
      <c r="L290" s="25">
        <f t="shared" si="41"/>
        <v>35.8</v>
      </c>
      <c r="M290" s="25">
        <v>37.5</v>
      </c>
      <c r="N290" s="25">
        <v>12</v>
      </c>
      <c r="O290" s="25">
        <v>7.7</v>
      </c>
      <c r="P290" s="25">
        <f t="shared" si="42"/>
        <v>57.2</v>
      </c>
      <c r="Q290" s="25">
        <v>6.4</v>
      </c>
      <c r="R290" s="19">
        <v>0.5</v>
      </c>
      <c r="S290" s="19">
        <f t="shared" si="43"/>
        <v>6.9</v>
      </c>
      <c r="T290" s="19">
        <v>1260.5096</v>
      </c>
      <c r="U290" s="19">
        <f t="shared" si="44"/>
        <v>0.448260881934566</v>
      </c>
      <c r="V290" s="19">
        <v>469.95197</v>
      </c>
      <c r="W290" s="19">
        <f t="shared" si="45"/>
        <v>0.167123744665718</v>
      </c>
      <c r="X290" s="19">
        <v>1081.5385</v>
      </c>
      <c r="Y290" s="14">
        <f t="shared" si="46"/>
        <v>0.38461539829303</v>
      </c>
      <c r="Z290" s="14">
        <v>2812</v>
      </c>
      <c r="AA290" s="25">
        <v>3.5</v>
      </c>
      <c r="AB290" s="25">
        <v>6.6</v>
      </c>
      <c r="AC290" s="25">
        <v>42.1</v>
      </c>
      <c r="AD290" s="25">
        <v>12.1</v>
      </c>
      <c r="AE290" s="25">
        <v>38.9</v>
      </c>
      <c r="AF290" s="25">
        <v>16.3</v>
      </c>
      <c r="AG290" s="25">
        <v>5.3</v>
      </c>
      <c r="AH290" s="25">
        <v>11.9</v>
      </c>
      <c r="AI290" s="25">
        <v>9.4</v>
      </c>
      <c r="AJ290" s="25">
        <v>11.9</v>
      </c>
      <c r="AK290" s="25">
        <f t="shared" si="47"/>
        <v>54.8</v>
      </c>
      <c r="AL290" s="25">
        <v>15.8</v>
      </c>
      <c r="AM290" s="25">
        <v>5.4</v>
      </c>
      <c r="AN290" s="19">
        <v>1.6</v>
      </c>
      <c r="AO290" s="25">
        <v>3.8</v>
      </c>
      <c r="AP290" s="25">
        <f t="shared" si="48"/>
        <v>26.6</v>
      </c>
      <c r="AQ290" s="25">
        <v>6.1</v>
      </c>
      <c r="AR290" s="25">
        <v>63.4</v>
      </c>
      <c r="AS290" s="25">
        <v>30.2</v>
      </c>
      <c r="AT290" s="25">
        <v>72.8</v>
      </c>
      <c r="AU290" s="25">
        <f t="shared" si="49"/>
        <v>172.5</v>
      </c>
      <c r="AV290" s="25">
        <v>10.4</v>
      </c>
      <c r="AW290" s="19">
        <v>649.9</v>
      </c>
      <c r="AX290" s="25">
        <v>2410</v>
      </c>
      <c r="AY290" s="19">
        <v>3059.9</v>
      </c>
      <c r="AZ290" s="25">
        <v>528</v>
      </c>
      <c r="BA290" s="25">
        <v>4005.5</v>
      </c>
      <c r="BB290" s="25">
        <v>4533.4</v>
      </c>
      <c r="BC290" s="25">
        <f t="shared" si="50"/>
        <v>0.32886143730614</v>
      </c>
    </row>
    <row r="291" ht="14" spans="1:55">
      <c r="A291" s="29">
        <v>2020</v>
      </c>
      <c r="B291" s="29">
        <v>530000</v>
      </c>
      <c r="C291" s="30" t="s">
        <v>79</v>
      </c>
      <c r="D291" s="25">
        <v>1</v>
      </c>
      <c r="E291" s="25">
        <v>0</v>
      </c>
      <c r="F291" s="25">
        <v>0</v>
      </c>
      <c r="G291" s="25">
        <v>0</v>
      </c>
      <c r="H291" s="19">
        <v>53.9</v>
      </c>
      <c r="I291" s="19">
        <v>46.1</v>
      </c>
      <c r="J291" s="25">
        <v>4.6</v>
      </c>
      <c r="K291" s="25">
        <v>30.9</v>
      </c>
      <c r="L291" s="25">
        <f t="shared" si="41"/>
        <v>35.5</v>
      </c>
      <c r="M291" s="25">
        <v>39.2</v>
      </c>
      <c r="N291" s="25">
        <v>11.1</v>
      </c>
      <c r="O291" s="25">
        <v>7.2</v>
      </c>
      <c r="P291" s="25">
        <f t="shared" si="42"/>
        <v>57.5</v>
      </c>
      <c r="Q291" s="25">
        <v>6.5</v>
      </c>
      <c r="R291" s="19">
        <v>0.5</v>
      </c>
      <c r="S291" s="19">
        <f t="shared" si="43"/>
        <v>7</v>
      </c>
      <c r="T291" s="19">
        <v>1226</v>
      </c>
      <c r="U291" s="19">
        <f t="shared" si="44"/>
        <v>0.436920883820385</v>
      </c>
      <c r="V291" s="19">
        <v>497</v>
      </c>
      <c r="W291" s="19">
        <f t="shared" si="45"/>
        <v>0.17712045616536</v>
      </c>
      <c r="X291" s="19">
        <v>1083</v>
      </c>
      <c r="Y291" s="14">
        <f t="shared" si="46"/>
        <v>0.385958660014255</v>
      </c>
      <c r="Z291" s="14">
        <v>2806</v>
      </c>
      <c r="AA291" s="25">
        <v>2.6</v>
      </c>
      <c r="AB291" s="25">
        <v>5.7</v>
      </c>
      <c r="AC291" s="25">
        <v>40.3</v>
      </c>
      <c r="AD291" s="25">
        <v>11.3</v>
      </c>
      <c r="AE291" s="25">
        <v>33.7</v>
      </c>
      <c r="AF291" s="25">
        <v>16.2</v>
      </c>
      <c r="AG291" s="25">
        <v>5.3</v>
      </c>
      <c r="AH291" s="25">
        <v>11.9</v>
      </c>
      <c r="AI291" s="25">
        <v>9.6</v>
      </c>
      <c r="AJ291" s="25">
        <v>11.7</v>
      </c>
      <c r="AK291" s="25">
        <f t="shared" si="47"/>
        <v>54.7</v>
      </c>
      <c r="AL291" s="25">
        <v>14.4</v>
      </c>
      <c r="AM291" s="25">
        <v>4.9</v>
      </c>
      <c r="AN291" s="19">
        <v>1.5</v>
      </c>
      <c r="AO291" s="25">
        <v>3.8</v>
      </c>
      <c r="AP291" s="25">
        <f t="shared" si="48"/>
        <v>24.6</v>
      </c>
      <c r="AQ291" s="25">
        <v>6.4</v>
      </c>
      <c r="AR291" s="25">
        <v>68.5</v>
      </c>
      <c r="AS291" s="25">
        <v>33.6</v>
      </c>
      <c r="AT291" s="25">
        <v>66.6</v>
      </c>
      <c r="AU291" s="25">
        <f t="shared" si="49"/>
        <v>175.1</v>
      </c>
      <c r="AV291" s="25">
        <v>10.2</v>
      </c>
      <c r="AW291" s="19">
        <v>701.3</v>
      </c>
      <c r="AX291" s="25">
        <v>2450.2</v>
      </c>
      <c r="AY291" s="19">
        <v>3151.5</v>
      </c>
      <c r="AZ291" s="25">
        <v>548.4</v>
      </c>
      <c r="BA291" s="25">
        <v>4032.8</v>
      </c>
      <c r="BB291" s="25">
        <v>4581.3</v>
      </c>
      <c r="BC291" s="25">
        <f t="shared" si="50"/>
        <v>0.342232968610584</v>
      </c>
    </row>
    <row r="292" ht="14" spans="1:55">
      <c r="A292" s="29">
        <v>2021</v>
      </c>
      <c r="B292" s="29">
        <v>530000</v>
      </c>
      <c r="C292" s="30" t="s">
        <v>79</v>
      </c>
      <c r="D292" s="25">
        <v>1</v>
      </c>
      <c r="E292" s="25">
        <v>0</v>
      </c>
      <c r="F292" s="25">
        <v>0</v>
      </c>
      <c r="G292" s="25">
        <v>0</v>
      </c>
      <c r="H292" s="19">
        <v>55.412</v>
      </c>
      <c r="I292" s="19">
        <v>44.588</v>
      </c>
      <c r="J292" s="25">
        <v>4.28</v>
      </c>
      <c r="K292" s="25">
        <v>31.573</v>
      </c>
      <c r="L292" s="25">
        <f t="shared" si="41"/>
        <v>35.853</v>
      </c>
      <c r="M292" s="25">
        <v>36.428</v>
      </c>
      <c r="N292" s="25">
        <v>11.851</v>
      </c>
      <c r="O292" s="25">
        <v>7.866</v>
      </c>
      <c r="P292" s="25">
        <f t="shared" si="42"/>
        <v>56.145</v>
      </c>
      <c r="Q292" s="25">
        <v>7.545</v>
      </c>
      <c r="R292" s="19">
        <v>0.457</v>
      </c>
      <c r="S292" s="19">
        <f t="shared" si="43"/>
        <v>8.002</v>
      </c>
      <c r="T292" s="19">
        <v>1187</v>
      </c>
      <c r="U292" s="19">
        <f t="shared" si="44"/>
        <v>0.427901946647441</v>
      </c>
      <c r="V292" s="19">
        <v>499</v>
      </c>
      <c r="W292" s="19">
        <f t="shared" si="45"/>
        <v>0.179884643114636</v>
      </c>
      <c r="X292" s="19">
        <v>1088</v>
      </c>
      <c r="Y292" s="14">
        <f t="shared" si="46"/>
        <v>0.392213410237924</v>
      </c>
      <c r="Z292" s="14">
        <v>2774</v>
      </c>
      <c r="AA292" s="25">
        <v>2.5</v>
      </c>
      <c r="AB292" s="25">
        <v>5.6</v>
      </c>
      <c r="AC292" s="25">
        <v>39.6</v>
      </c>
      <c r="AD292" s="25">
        <v>11.2</v>
      </c>
      <c r="AE292" s="25">
        <v>29.7</v>
      </c>
      <c r="AF292" s="25">
        <v>15.8</v>
      </c>
      <c r="AG292" s="25">
        <v>5.3</v>
      </c>
      <c r="AH292" s="25">
        <v>12.5</v>
      </c>
      <c r="AI292" s="25">
        <v>9.6</v>
      </c>
      <c r="AJ292" s="25">
        <v>11.3</v>
      </c>
      <c r="AK292" s="25">
        <f t="shared" si="47"/>
        <v>54.5</v>
      </c>
      <c r="AL292" s="25">
        <v>15.2</v>
      </c>
      <c r="AM292" s="25">
        <v>5</v>
      </c>
      <c r="AN292" s="19">
        <v>1.8</v>
      </c>
      <c r="AO292" s="25">
        <v>3.7</v>
      </c>
      <c r="AP292" s="25">
        <f t="shared" si="48"/>
        <v>25.7</v>
      </c>
      <c r="AQ292" s="25">
        <v>7</v>
      </c>
      <c r="AR292" s="25">
        <v>66.5</v>
      </c>
      <c r="AS292" s="25">
        <v>35.7</v>
      </c>
      <c r="AT292" s="25">
        <v>70.7</v>
      </c>
      <c r="AU292" s="25">
        <f t="shared" si="49"/>
        <v>179.9</v>
      </c>
      <c r="AV292" s="25">
        <v>9.5</v>
      </c>
      <c r="AW292" s="19">
        <v>739.35</v>
      </c>
      <c r="AX292" s="25">
        <v>2460.306</v>
      </c>
      <c r="AY292" s="19">
        <v>3199.655</v>
      </c>
      <c r="AZ292" s="25">
        <v>569.222</v>
      </c>
      <c r="BA292" s="25">
        <v>3952.635</v>
      </c>
      <c r="BB292" s="25">
        <v>4521.857</v>
      </c>
      <c r="BC292" s="25">
        <f t="shared" si="50"/>
        <v>0.356954140628433</v>
      </c>
    </row>
    <row r="293" ht="14" spans="1:55">
      <c r="A293" s="29">
        <v>2022</v>
      </c>
      <c r="B293" s="29">
        <v>530000</v>
      </c>
      <c r="C293" s="30" t="s">
        <v>79</v>
      </c>
      <c r="D293" s="25">
        <v>1</v>
      </c>
      <c r="E293" s="25">
        <v>0</v>
      </c>
      <c r="F293" s="25">
        <v>0</v>
      </c>
      <c r="G293" s="25">
        <v>0</v>
      </c>
      <c r="H293" s="19">
        <v>54.67</v>
      </c>
      <c r="I293" s="19">
        <v>45.33</v>
      </c>
      <c r="J293" s="25">
        <v>4.384</v>
      </c>
      <c r="K293" s="25">
        <v>36.039</v>
      </c>
      <c r="L293" s="25">
        <f t="shared" si="41"/>
        <v>40.423</v>
      </c>
      <c r="M293" s="25">
        <v>33.416</v>
      </c>
      <c r="N293" s="25">
        <v>10.201</v>
      </c>
      <c r="O293" s="25">
        <v>7.768</v>
      </c>
      <c r="P293" s="25">
        <f t="shared" si="42"/>
        <v>51.385</v>
      </c>
      <c r="Q293" s="25">
        <v>7.699</v>
      </c>
      <c r="R293" s="19">
        <v>0.492</v>
      </c>
      <c r="S293" s="19">
        <f t="shared" si="43"/>
        <v>8.191</v>
      </c>
      <c r="T293" s="19">
        <v>1225</v>
      </c>
      <c r="U293" s="19">
        <f t="shared" si="44"/>
        <v>0.447897623400366</v>
      </c>
      <c r="V293" s="19">
        <v>478</v>
      </c>
      <c r="W293" s="19">
        <f t="shared" si="45"/>
        <v>0.174771480804388</v>
      </c>
      <c r="X293" s="19">
        <v>1032</v>
      </c>
      <c r="Y293" s="14">
        <f t="shared" si="46"/>
        <v>0.377330895795247</v>
      </c>
      <c r="Z293" s="14">
        <v>2735</v>
      </c>
      <c r="AA293" s="25">
        <v>2.4</v>
      </c>
      <c r="AB293" s="25">
        <v>5.5</v>
      </c>
      <c r="AC293" s="25">
        <v>37.7</v>
      </c>
      <c r="AD293" s="25">
        <v>10.8</v>
      </c>
      <c r="AE293" s="25">
        <v>28.5</v>
      </c>
      <c r="AF293" s="25">
        <v>15.9</v>
      </c>
      <c r="AG293" s="25">
        <v>5</v>
      </c>
      <c r="AH293" s="25">
        <v>12.1</v>
      </c>
      <c r="AI293" s="25">
        <v>9.3</v>
      </c>
      <c r="AJ293" s="25">
        <v>11.6</v>
      </c>
      <c r="AK293" s="25">
        <f t="shared" si="47"/>
        <v>53.9</v>
      </c>
      <c r="AL293" s="25">
        <v>14.8</v>
      </c>
      <c r="AM293" s="25">
        <v>4.6</v>
      </c>
      <c r="AN293" s="19">
        <v>1.6</v>
      </c>
      <c r="AO293" s="25">
        <v>3.6</v>
      </c>
      <c r="AP293" s="25">
        <f t="shared" si="48"/>
        <v>24.6</v>
      </c>
      <c r="AQ293" s="25">
        <v>7.1</v>
      </c>
      <c r="AR293" s="25">
        <v>66.2</v>
      </c>
      <c r="AS293" s="25">
        <v>36.4</v>
      </c>
      <c r="AT293" s="25">
        <v>73</v>
      </c>
      <c r="AU293" s="25">
        <f t="shared" si="49"/>
        <v>182.7</v>
      </c>
      <c r="AV293" s="25">
        <v>9.2</v>
      </c>
      <c r="AW293" s="19">
        <v>806.962</v>
      </c>
      <c r="AX293" s="25">
        <v>2479.712</v>
      </c>
      <c r="AY293" s="19">
        <v>3286.674</v>
      </c>
      <c r="AZ293" s="25">
        <v>584.005</v>
      </c>
      <c r="BA293" s="25">
        <v>3975.752</v>
      </c>
      <c r="BB293" s="25">
        <v>4559.757</v>
      </c>
      <c r="BC293" s="25">
        <f t="shared" si="50"/>
        <v>0.373603512807585</v>
      </c>
    </row>
    <row r="294" ht="14" spans="1:55">
      <c r="A294" s="29">
        <v>2013</v>
      </c>
      <c r="B294" s="29">
        <v>330000</v>
      </c>
      <c r="C294" s="30" t="s">
        <v>80</v>
      </c>
      <c r="D294" s="25">
        <v>0</v>
      </c>
      <c r="E294" s="25">
        <v>1</v>
      </c>
      <c r="F294" s="25">
        <v>0</v>
      </c>
      <c r="G294" s="25">
        <v>0</v>
      </c>
      <c r="H294" s="19">
        <v>54.6750000000002</v>
      </c>
      <c r="I294" s="19">
        <v>45.3249999999998</v>
      </c>
      <c r="J294" s="25">
        <v>2.445</v>
      </c>
      <c r="K294" s="25">
        <v>19.358</v>
      </c>
      <c r="L294" s="25">
        <f t="shared" si="41"/>
        <v>21.803</v>
      </c>
      <c r="M294" s="25">
        <v>41.943</v>
      </c>
      <c r="N294" s="25">
        <v>17.058</v>
      </c>
      <c r="O294" s="25">
        <v>10.937</v>
      </c>
      <c r="P294" s="25">
        <f t="shared" si="42"/>
        <v>69.938</v>
      </c>
      <c r="Q294" s="25">
        <v>7.703</v>
      </c>
      <c r="R294" s="19">
        <v>0.556</v>
      </c>
      <c r="S294" s="19">
        <f t="shared" si="43"/>
        <v>8.259</v>
      </c>
      <c r="T294" s="19">
        <v>460.98</v>
      </c>
      <c r="U294" s="19">
        <f t="shared" si="44"/>
        <v>0.134161816065192</v>
      </c>
      <c r="V294" s="19">
        <v>1553.63</v>
      </c>
      <c r="W294" s="19">
        <f t="shared" si="45"/>
        <v>0.452162398137369</v>
      </c>
      <c r="X294" s="19">
        <v>1421.39</v>
      </c>
      <c r="Y294" s="14">
        <f t="shared" si="46"/>
        <v>0.413675785797439</v>
      </c>
      <c r="Z294" s="14">
        <v>3436</v>
      </c>
      <c r="AA294" s="25">
        <v>0.8</v>
      </c>
      <c r="AB294" s="25">
        <v>1</v>
      </c>
      <c r="AC294" s="25">
        <v>357.9</v>
      </c>
      <c r="AD294" s="25">
        <v>13.5</v>
      </c>
      <c r="AE294" s="25">
        <v>303.2</v>
      </c>
      <c r="AF294" s="25">
        <v>31.4</v>
      </c>
      <c r="AG294" s="25">
        <v>15.4</v>
      </c>
      <c r="AH294" s="25">
        <v>36.3</v>
      </c>
      <c r="AI294" s="25">
        <v>16</v>
      </c>
      <c r="AJ294" s="25">
        <v>28.8</v>
      </c>
      <c r="AK294" s="25">
        <f t="shared" si="47"/>
        <v>127.9</v>
      </c>
      <c r="AL294" s="25">
        <v>40.2</v>
      </c>
      <c r="AM294" s="25">
        <v>14.7</v>
      </c>
      <c r="AN294" s="19">
        <v>2.2</v>
      </c>
      <c r="AO294" s="25">
        <v>7.2</v>
      </c>
      <c r="AP294" s="25">
        <f t="shared" si="48"/>
        <v>64.3</v>
      </c>
      <c r="AQ294" s="25">
        <v>11.7</v>
      </c>
      <c r="AR294" s="25">
        <v>68.4</v>
      </c>
      <c r="AS294" s="25">
        <v>39.4</v>
      </c>
      <c r="AT294" s="25">
        <v>65.6</v>
      </c>
      <c r="AU294" s="25">
        <f t="shared" si="49"/>
        <v>185.1</v>
      </c>
      <c r="AV294" s="25">
        <v>17.9</v>
      </c>
      <c r="AW294" s="19">
        <v>2375.398</v>
      </c>
      <c r="AX294" s="25">
        <v>1355.827</v>
      </c>
      <c r="AY294" s="19">
        <v>3731.225</v>
      </c>
      <c r="AZ294" s="25">
        <v>1791.088</v>
      </c>
      <c r="BA294" s="25">
        <v>2330.027</v>
      </c>
      <c r="BB294" s="25">
        <v>4121.114</v>
      </c>
      <c r="BC294" s="25">
        <f t="shared" si="50"/>
        <v>1.0712394279794</v>
      </c>
    </row>
    <row r="295" ht="14" spans="1:55">
      <c r="A295" s="29">
        <v>2014</v>
      </c>
      <c r="B295" s="29">
        <v>330000</v>
      </c>
      <c r="C295" s="30" t="s">
        <v>80</v>
      </c>
      <c r="D295" s="25">
        <v>0</v>
      </c>
      <c r="E295" s="25">
        <v>1</v>
      </c>
      <c r="F295" s="25">
        <v>0</v>
      </c>
      <c r="G295" s="25">
        <v>0</v>
      </c>
      <c r="H295" s="19">
        <v>56</v>
      </c>
      <c r="I295" s="19">
        <v>44</v>
      </c>
      <c r="J295" s="25">
        <v>1.9</v>
      </c>
      <c r="K295" s="25">
        <v>20.1</v>
      </c>
      <c r="L295" s="25">
        <f t="shared" si="41"/>
        <v>22</v>
      </c>
      <c r="M295" s="25">
        <v>39.5</v>
      </c>
      <c r="N295" s="25">
        <v>17</v>
      </c>
      <c r="O295" s="25">
        <v>11.8</v>
      </c>
      <c r="P295" s="25">
        <f t="shared" si="42"/>
        <v>68.3</v>
      </c>
      <c r="Q295" s="25">
        <v>9.2</v>
      </c>
      <c r="R295" s="19">
        <v>0.5</v>
      </c>
      <c r="S295" s="19">
        <f t="shared" si="43"/>
        <v>9.7</v>
      </c>
      <c r="T295" s="19">
        <v>425.5</v>
      </c>
      <c r="U295" s="19">
        <f t="shared" si="44"/>
        <v>0.123012431338537</v>
      </c>
      <c r="V295" s="19">
        <v>1569.26</v>
      </c>
      <c r="W295" s="19">
        <f t="shared" si="45"/>
        <v>0.453674472390864</v>
      </c>
      <c r="X295" s="19">
        <v>1464.24</v>
      </c>
      <c r="Y295" s="14">
        <f t="shared" si="46"/>
        <v>0.423313096270598</v>
      </c>
      <c r="Z295" s="14">
        <v>3459</v>
      </c>
      <c r="AA295" s="25">
        <v>0.6</v>
      </c>
      <c r="AB295" s="25">
        <v>0.9</v>
      </c>
      <c r="AC295" s="25">
        <v>350.6</v>
      </c>
      <c r="AD295" s="25">
        <v>13.4</v>
      </c>
      <c r="AE295" s="25">
        <v>329.5</v>
      </c>
      <c r="AF295" s="25">
        <v>32.7</v>
      </c>
      <c r="AG295" s="25">
        <v>16.4</v>
      </c>
      <c r="AH295" s="25">
        <v>38</v>
      </c>
      <c r="AI295" s="25">
        <v>16.1</v>
      </c>
      <c r="AJ295" s="25">
        <v>28.4</v>
      </c>
      <c r="AK295" s="25">
        <f t="shared" si="47"/>
        <v>131.6</v>
      </c>
      <c r="AL295" s="25">
        <v>41.7</v>
      </c>
      <c r="AM295" s="25">
        <v>13.8</v>
      </c>
      <c r="AN295" s="19">
        <v>2.6</v>
      </c>
      <c r="AO295" s="25">
        <v>7.2</v>
      </c>
      <c r="AP295" s="25">
        <f t="shared" si="48"/>
        <v>65.3</v>
      </c>
      <c r="AQ295" s="25">
        <v>11.7</v>
      </c>
      <c r="AR295" s="25">
        <v>70.1</v>
      </c>
      <c r="AS295" s="25">
        <v>41.6</v>
      </c>
      <c r="AT295" s="25">
        <v>67.7</v>
      </c>
      <c r="AU295" s="25">
        <f t="shared" si="49"/>
        <v>191.1</v>
      </c>
      <c r="AV295" s="25">
        <v>19.7</v>
      </c>
      <c r="AW295" s="19">
        <v>2548</v>
      </c>
      <c r="AX295" s="25">
        <v>1342.1</v>
      </c>
      <c r="AY295" s="19">
        <v>3890.1</v>
      </c>
      <c r="AZ295" s="25">
        <v>1900</v>
      </c>
      <c r="BA295" s="25">
        <v>2947.5</v>
      </c>
      <c r="BB295" s="25">
        <v>4847.6</v>
      </c>
      <c r="BC295" s="25">
        <f t="shared" si="50"/>
        <v>1.04694254576836</v>
      </c>
    </row>
    <row r="296" ht="14" spans="1:55">
      <c r="A296" s="29">
        <v>2015</v>
      </c>
      <c r="B296" s="29">
        <v>330000</v>
      </c>
      <c r="C296" s="30" t="s">
        <v>80</v>
      </c>
      <c r="D296" s="25">
        <v>0</v>
      </c>
      <c r="E296" s="25">
        <v>1</v>
      </c>
      <c r="F296" s="25">
        <v>0</v>
      </c>
      <c r="G296" s="25">
        <v>0</v>
      </c>
      <c r="H296" s="19">
        <v>57.325</v>
      </c>
      <c r="I296" s="19">
        <v>42.675</v>
      </c>
      <c r="J296" s="25">
        <v>2.691</v>
      </c>
      <c r="K296" s="25">
        <v>16.494</v>
      </c>
      <c r="L296" s="25">
        <f t="shared" si="41"/>
        <v>19.185</v>
      </c>
      <c r="M296" s="25">
        <v>37.598</v>
      </c>
      <c r="N296" s="25">
        <v>13.677</v>
      </c>
      <c r="O296" s="25">
        <v>12.401</v>
      </c>
      <c r="P296" s="25">
        <f t="shared" si="42"/>
        <v>63.676</v>
      </c>
      <c r="Q296" s="25">
        <v>11.495</v>
      </c>
      <c r="R296" s="19">
        <v>0.846</v>
      </c>
      <c r="S296" s="19">
        <f t="shared" si="43"/>
        <v>12.341</v>
      </c>
      <c r="T296" s="19">
        <v>387.66</v>
      </c>
      <c r="U296" s="19">
        <f t="shared" si="44"/>
        <v>0.110601997146933</v>
      </c>
      <c r="V296" s="19">
        <v>1588.73</v>
      </c>
      <c r="W296" s="19">
        <f t="shared" si="45"/>
        <v>0.453275320970043</v>
      </c>
      <c r="X296" s="19">
        <v>1528.61</v>
      </c>
      <c r="Y296" s="14">
        <f t="shared" si="46"/>
        <v>0.436122681883024</v>
      </c>
      <c r="Z296" s="14">
        <v>3505</v>
      </c>
      <c r="AA296" s="25">
        <v>0.5</v>
      </c>
      <c r="AB296" s="25">
        <v>0.7</v>
      </c>
      <c r="AC296" s="25">
        <v>330.6</v>
      </c>
      <c r="AD296" s="25">
        <v>11</v>
      </c>
      <c r="AE296" s="25">
        <v>323.4</v>
      </c>
      <c r="AF296" s="25">
        <v>32</v>
      </c>
      <c r="AG296" s="25">
        <v>17.1</v>
      </c>
      <c r="AH296" s="25">
        <v>42.3</v>
      </c>
      <c r="AI296" s="25">
        <v>16.1</v>
      </c>
      <c r="AJ296" s="25">
        <v>27.9</v>
      </c>
      <c r="AK296" s="25">
        <f t="shared" si="47"/>
        <v>135.4</v>
      </c>
      <c r="AL296" s="25">
        <v>42.1</v>
      </c>
      <c r="AM296" s="25">
        <v>13.5</v>
      </c>
      <c r="AN296" s="19">
        <v>2.5</v>
      </c>
      <c r="AO296" s="25">
        <v>7.4</v>
      </c>
      <c r="AP296" s="25">
        <f t="shared" si="48"/>
        <v>65.5</v>
      </c>
      <c r="AQ296" s="25">
        <v>11.6</v>
      </c>
      <c r="AR296" s="25">
        <v>70.9</v>
      </c>
      <c r="AS296" s="25">
        <v>43.7</v>
      </c>
      <c r="AT296" s="25">
        <v>70.1</v>
      </c>
      <c r="AU296" s="25">
        <f t="shared" si="49"/>
        <v>196.3</v>
      </c>
      <c r="AV296" s="25">
        <v>20.1</v>
      </c>
      <c r="AW296" s="19">
        <v>2504.281</v>
      </c>
      <c r="AX296" s="25">
        <v>1285.888</v>
      </c>
      <c r="AY296" s="19">
        <v>3790.168</v>
      </c>
      <c r="AZ296" s="25">
        <v>1992.703</v>
      </c>
      <c r="BA296" s="25">
        <v>2971.443</v>
      </c>
      <c r="BB296" s="25">
        <v>4964.146</v>
      </c>
      <c r="BC296" s="25">
        <f t="shared" si="50"/>
        <v>1.06214996603125</v>
      </c>
    </row>
    <row r="297" ht="14" spans="1:55">
      <c r="A297" s="29">
        <v>2016</v>
      </c>
      <c r="B297" s="29">
        <v>330000</v>
      </c>
      <c r="C297" s="30" t="s">
        <v>80</v>
      </c>
      <c r="D297" s="25">
        <v>0</v>
      </c>
      <c r="E297" s="25">
        <v>1</v>
      </c>
      <c r="F297" s="25">
        <v>0</v>
      </c>
      <c r="G297" s="25">
        <v>0</v>
      </c>
      <c r="H297" s="19">
        <v>57.226</v>
      </c>
      <c r="I297" s="19">
        <v>42.774</v>
      </c>
      <c r="J297" s="25">
        <v>2.1</v>
      </c>
      <c r="K297" s="25">
        <v>15.972</v>
      </c>
      <c r="L297" s="25">
        <f t="shared" si="41"/>
        <v>18.072</v>
      </c>
      <c r="M297" s="25">
        <v>38.222</v>
      </c>
      <c r="N297" s="25">
        <v>13.403</v>
      </c>
      <c r="O297" s="25">
        <v>12.423</v>
      </c>
      <c r="P297" s="25">
        <f t="shared" si="42"/>
        <v>64.048</v>
      </c>
      <c r="Q297" s="25">
        <v>11.761</v>
      </c>
      <c r="R297" s="19">
        <v>0.98</v>
      </c>
      <c r="S297" s="19">
        <f t="shared" si="43"/>
        <v>12.741</v>
      </c>
      <c r="T297" s="19">
        <v>351.64</v>
      </c>
      <c r="U297" s="19">
        <f t="shared" si="44"/>
        <v>0.0989977477477477</v>
      </c>
      <c r="V297" s="19">
        <v>1609.18</v>
      </c>
      <c r="W297" s="19">
        <f t="shared" si="45"/>
        <v>0.45303490990991</v>
      </c>
      <c r="X297" s="19">
        <v>1591.18</v>
      </c>
      <c r="Y297" s="14">
        <f t="shared" si="46"/>
        <v>0.447967342342342</v>
      </c>
      <c r="Z297" s="14">
        <v>3552</v>
      </c>
      <c r="AA297" s="25">
        <v>0.4</v>
      </c>
      <c r="AB297" s="25">
        <v>0.6</v>
      </c>
      <c r="AC297" s="25">
        <v>315.9</v>
      </c>
      <c r="AD297" s="25">
        <v>12</v>
      </c>
      <c r="AE297" s="25">
        <v>310.1</v>
      </c>
      <c r="AF297" s="25">
        <v>31.5</v>
      </c>
      <c r="AG297" s="25">
        <v>18.6</v>
      </c>
      <c r="AH297" s="25">
        <v>46.4</v>
      </c>
      <c r="AI297" s="25">
        <v>18.6</v>
      </c>
      <c r="AJ297" s="25">
        <v>29</v>
      </c>
      <c r="AK297" s="25">
        <f t="shared" si="47"/>
        <v>144.1</v>
      </c>
      <c r="AL297" s="25">
        <v>37.6</v>
      </c>
      <c r="AM297" s="25">
        <v>13.5</v>
      </c>
      <c r="AN297" s="19">
        <v>2.3</v>
      </c>
      <c r="AO297" s="25">
        <v>6.8</v>
      </c>
      <c r="AP297" s="25">
        <f t="shared" si="48"/>
        <v>60.2</v>
      </c>
      <c r="AQ297" s="25">
        <v>10.6</v>
      </c>
      <c r="AR297" s="25">
        <v>71.4</v>
      </c>
      <c r="AS297" s="25">
        <v>44.3</v>
      </c>
      <c r="AT297" s="25">
        <v>70.5</v>
      </c>
      <c r="AU297" s="25">
        <f t="shared" si="49"/>
        <v>196.8</v>
      </c>
      <c r="AV297" s="25">
        <v>20.9</v>
      </c>
      <c r="AW297" s="19">
        <v>2506.94</v>
      </c>
      <c r="AX297" s="25">
        <v>1233.125</v>
      </c>
      <c r="AY297" s="19">
        <v>3740.065</v>
      </c>
      <c r="AZ297" s="25">
        <v>2017.498</v>
      </c>
      <c r="BA297" s="25">
        <v>2975.79</v>
      </c>
      <c r="BB297" s="25">
        <v>4993.288</v>
      </c>
      <c r="BC297" s="25">
        <f t="shared" si="50"/>
        <v>1.07433514931607</v>
      </c>
    </row>
    <row r="298" ht="14" spans="1:55">
      <c r="A298" s="29">
        <v>2017</v>
      </c>
      <c r="B298" s="29">
        <v>330000</v>
      </c>
      <c r="C298" s="30" t="s">
        <v>80</v>
      </c>
      <c r="D298" s="25">
        <v>0</v>
      </c>
      <c r="E298" s="25">
        <v>1</v>
      </c>
      <c r="F298" s="25">
        <v>0</v>
      </c>
      <c r="G298" s="25">
        <v>0</v>
      </c>
      <c r="H298" s="19">
        <v>56.997</v>
      </c>
      <c r="I298" s="19">
        <v>43.003</v>
      </c>
      <c r="J298" s="25">
        <v>1.824</v>
      </c>
      <c r="K298" s="25">
        <v>15.001</v>
      </c>
      <c r="L298" s="25">
        <f t="shared" si="41"/>
        <v>16.825</v>
      </c>
      <c r="M298" s="25">
        <v>37.159</v>
      </c>
      <c r="N298" s="25">
        <v>14.096</v>
      </c>
      <c r="O298" s="25">
        <v>12.637</v>
      </c>
      <c r="P298" s="25">
        <f t="shared" si="42"/>
        <v>63.892</v>
      </c>
      <c r="Q298" s="25">
        <v>12.937</v>
      </c>
      <c r="R298" s="19">
        <v>0.958</v>
      </c>
      <c r="S298" s="19">
        <f t="shared" si="43"/>
        <v>13.895</v>
      </c>
      <c r="T298" s="19">
        <v>319.22</v>
      </c>
      <c r="U298" s="19">
        <f t="shared" si="44"/>
        <v>0.0883531691115417</v>
      </c>
      <c r="V298" s="19">
        <v>1629.66</v>
      </c>
      <c r="W298" s="19">
        <f t="shared" si="45"/>
        <v>0.451054525325215</v>
      </c>
      <c r="X298" s="19">
        <v>1664.12</v>
      </c>
      <c r="Y298" s="14">
        <f t="shared" si="46"/>
        <v>0.460592305563244</v>
      </c>
      <c r="Z298" s="14">
        <v>3613</v>
      </c>
      <c r="AA298" s="25">
        <v>0.5</v>
      </c>
      <c r="AB298" s="25">
        <v>0.5</v>
      </c>
      <c r="AC298" s="25">
        <v>315</v>
      </c>
      <c r="AD298" s="25">
        <v>12.3</v>
      </c>
      <c r="AE298" s="25">
        <v>288.3</v>
      </c>
      <c r="AF298" s="25">
        <v>31.8</v>
      </c>
      <c r="AG298" s="25">
        <v>23</v>
      </c>
      <c r="AH298" s="25">
        <v>48.5</v>
      </c>
      <c r="AI298" s="25">
        <v>19</v>
      </c>
      <c r="AJ298" s="25">
        <v>30.2</v>
      </c>
      <c r="AK298" s="25">
        <f t="shared" si="47"/>
        <v>152.5</v>
      </c>
      <c r="AL298" s="25">
        <v>38.3</v>
      </c>
      <c r="AM298" s="25">
        <v>14</v>
      </c>
      <c r="AN298" s="19">
        <v>2.6</v>
      </c>
      <c r="AO298" s="25">
        <v>6.7</v>
      </c>
      <c r="AP298" s="25">
        <f t="shared" si="48"/>
        <v>61.6</v>
      </c>
      <c r="AQ298" s="25">
        <v>10.3</v>
      </c>
      <c r="AR298" s="25">
        <v>74.3</v>
      </c>
      <c r="AS298" s="25">
        <v>46</v>
      </c>
      <c r="AT298" s="25">
        <v>71.7</v>
      </c>
      <c r="AU298" s="25">
        <f t="shared" si="49"/>
        <v>202.3</v>
      </c>
      <c r="AV298" s="25">
        <v>21.6</v>
      </c>
      <c r="AW298" s="19">
        <v>2712.368</v>
      </c>
      <c r="AX298" s="25">
        <v>1200.696</v>
      </c>
      <c r="AY298" s="19">
        <v>3913.064</v>
      </c>
      <c r="AZ298" s="25">
        <v>2117.438</v>
      </c>
      <c r="BA298" s="25">
        <v>3134.196</v>
      </c>
      <c r="BB298" s="25">
        <v>5251.634</v>
      </c>
      <c r="BC298" s="25">
        <f t="shared" si="50"/>
        <v>1.09635310973128</v>
      </c>
    </row>
    <row r="299" ht="14" spans="1:55">
      <c r="A299" s="29">
        <v>2018</v>
      </c>
      <c r="B299" s="29">
        <v>330000</v>
      </c>
      <c r="C299" s="30" t="s">
        <v>80</v>
      </c>
      <c r="D299" s="25">
        <v>0</v>
      </c>
      <c r="E299" s="25">
        <v>1</v>
      </c>
      <c r="F299" s="25">
        <v>0</v>
      </c>
      <c r="G299" s="25">
        <v>0</v>
      </c>
      <c r="H299" s="19">
        <v>56.857</v>
      </c>
      <c r="I299" s="19">
        <v>43.143</v>
      </c>
      <c r="J299" s="25">
        <v>1.735</v>
      </c>
      <c r="K299" s="25">
        <v>15.243</v>
      </c>
      <c r="L299" s="25">
        <f t="shared" si="41"/>
        <v>16.978</v>
      </c>
      <c r="M299" s="25">
        <v>35.536</v>
      </c>
      <c r="N299" s="25">
        <v>14.522</v>
      </c>
      <c r="O299" s="25">
        <v>13.409</v>
      </c>
      <c r="P299" s="25">
        <f t="shared" si="42"/>
        <v>63.467</v>
      </c>
      <c r="Q299" s="25">
        <v>13.055</v>
      </c>
      <c r="R299" s="19">
        <v>0.919</v>
      </c>
      <c r="S299" s="19">
        <f t="shared" si="43"/>
        <v>13.974</v>
      </c>
      <c r="T299" s="19">
        <v>278.13</v>
      </c>
      <c r="U299" s="19">
        <f t="shared" si="44"/>
        <v>0.0753535627201301</v>
      </c>
      <c r="V299" s="19">
        <v>1649.05</v>
      </c>
      <c r="W299" s="19">
        <f t="shared" si="45"/>
        <v>0.446775941479274</v>
      </c>
      <c r="X299" s="19">
        <v>1763.82</v>
      </c>
      <c r="Y299" s="14">
        <f t="shared" si="46"/>
        <v>0.477870495800596</v>
      </c>
      <c r="Z299" s="14">
        <v>3691</v>
      </c>
      <c r="AA299" s="25">
        <v>0.4</v>
      </c>
      <c r="AB299" s="25">
        <v>0.4</v>
      </c>
      <c r="AC299" s="25">
        <v>289.3</v>
      </c>
      <c r="AD299" s="25">
        <v>12.2</v>
      </c>
      <c r="AE299" s="25">
        <v>279.9</v>
      </c>
      <c r="AF299" s="25">
        <v>30.1</v>
      </c>
      <c r="AG299" s="25">
        <v>21.8</v>
      </c>
      <c r="AH299" s="25">
        <v>45</v>
      </c>
      <c r="AI299" s="25">
        <v>16.6</v>
      </c>
      <c r="AJ299" s="25">
        <v>29.1</v>
      </c>
      <c r="AK299" s="25">
        <f t="shared" si="47"/>
        <v>142.6</v>
      </c>
      <c r="AL299" s="25">
        <v>36.8</v>
      </c>
      <c r="AM299" s="25">
        <v>13.8</v>
      </c>
      <c r="AN299" s="19">
        <v>2.4</v>
      </c>
      <c r="AO299" s="25">
        <v>7.1</v>
      </c>
      <c r="AP299" s="25">
        <f t="shared" si="48"/>
        <v>60.1</v>
      </c>
      <c r="AQ299" s="25">
        <v>10.1</v>
      </c>
      <c r="AR299" s="25">
        <v>75.3</v>
      </c>
      <c r="AS299" s="25">
        <v>47.4</v>
      </c>
      <c r="AT299" s="25">
        <v>73.2</v>
      </c>
      <c r="AU299" s="25">
        <f t="shared" si="49"/>
        <v>206</v>
      </c>
      <c r="AV299" s="25">
        <v>22.4</v>
      </c>
      <c r="AW299" s="19">
        <v>2883.406</v>
      </c>
      <c r="AX299" s="25">
        <v>1197.838</v>
      </c>
      <c r="AY299" s="19">
        <v>4081.244</v>
      </c>
      <c r="AZ299" s="25">
        <v>2277.043</v>
      </c>
      <c r="BA299" s="25">
        <v>3091.661</v>
      </c>
      <c r="BB299" s="25">
        <v>5368.705</v>
      </c>
      <c r="BC299" s="25">
        <f t="shared" si="50"/>
        <v>1.13063437843355</v>
      </c>
    </row>
    <row r="300" ht="14" spans="1:55">
      <c r="A300" s="29">
        <v>2019</v>
      </c>
      <c r="B300" s="29">
        <v>330000</v>
      </c>
      <c r="C300" s="30" t="s">
        <v>80</v>
      </c>
      <c r="D300" s="25">
        <v>0</v>
      </c>
      <c r="E300" s="25">
        <v>1</v>
      </c>
      <c r="F300" s="25">
        <v>0</v>
      </c>
      <c r="G300" s="25">
        <v>0</v>
      </c>
      <c r="H300" s="19">
        <v>56.8</v>
      </c>
      <c r="I300" s="19">
        <v>43.2</v>
      </c>
      <c r="J300" s="25">
        <v>1.5</v>
      </c>
      <c r="K300" s="25">
        <v>14.9</v>
      </c>
      <c r="L300" s="25">
        <f t="shared" si="41"/>
        <v>16.4</v>
      </c>
      <c r="M300" s="25">
        <v>34.2</v>
      </c>
      <c r="N300" s="25">
        <v>18.8</v>
      </c>
      <c r="O300" s="25">
        <v>15.5</v>
      </c>
      <c r="P300" s="25">
        <f t="shared" si="42"/>
        <v>68.5</v>
      </c>
      <c r="Q300" s="25">
        <v>13.7</v>
      </c>
      <c r="R300" s="19">
        <v>1.4</v>
      </c>
      <c r="S300" s="19">
        <f t="shared" si="43"/>
        <v>15.1</v>
      </c>
      <c r="T300" s="19">
        <v>244.41</v>
      </c>
      <c r="U300" s="19">
        <f t="shared" si="44"/>
        <v>0.064813046937152</v>
      </c>
      <c r="V300" s="19">
        <v>1673.08</v>
      </c>
      <c r="W300" s="19">
        <f t="shared" si="45"/>
        <v>0.443670114028109</v>
      </c>
      <c r="X300" s="19">
        <v>1853.51</v>
      </c>
      <c r="Y300" s="14">
        <f t="shared" si="46"/>
        <v>0.491516839034739</v>
      </c>
      <c r="Z300" s="14">
        <v>3771</v>
      </c>
      <c r="AA300" s="25">
        <v>0.5</v>
      </c>
      <c r="AB300" s="25">
        <v>0.4</v>
      </c>
      <c r="AC300" s="25">
        <v>286.8</v>
      </c>
      <c r="AD300" s="25">
        <v>11.1</v>
      </c>
      <c r="AE300" s="25">
        <v>212.4</v>
      </c>
      <c r="AF300" s="25">
        <v>31.2</v>
      </c>
      <c r="AG300" s="25">
        <v>24.4</v>
      </c>
      <c r="AH300" s="25">
        <v>47.6</v>
      </c>
      <c r="AI300" s="25">
        <v>18</v>
      </c>
      <c r="AJ300" s="25">
        <v>35.6</v>
      </c>
      <c r="AK300" s="25">
        <f t="shared" si="47"/>
        <v>156.8</v>
      </c>
      <c r="AL300" s="25">
        <v>39.7</v>
      </c>
      <c r="AM300" s="25">
        <v>14.6</v>
      </c>
      <c r="AN300" s="19">
        <v>3.7</v>
      </c>
      <c r="AO300" s="25">
        <v>8</v>
      </c>
      <c r="AP300" s="25">
        <f t="shared" si="48"/>
        <v>66</v>
      </c>
      <c r="AQ300" s="25">
        <v>11.3</v>
      </c>
      <c r="AR300" s="25">
        <v>87.6</v>
      </c>
      <c r="AS300" s="25">
        <v>51.3</v>
      </c>
      <c r="AT300" s="25">
        <v>76.4</v>
      </c>
      <c r="AU300" s="25">
        <f t="shared" si="49"/>
        <v>226.6</v>
      </c>
      <c r="AV300" s="25">
        <v>26.8</v>
      </c>
      <c r="AW300" s="19">
        <v>3031.7</v>
      </c>
      <c r="AX300" s="25">
        <v>1199.4</v>
      </c>
      <c r="AY300" s="19">
        <v>4231.2</v>
      </c>
      <c r="AZ300" s="25">
        <v>2426.6</v>
      </c>
      <c r="BA300" s="25">
        <v>3034.9</v>
      </c>
      <c r="BB300" s="25">
        <v>5461.5</v>
      </c>
      <c r="BC300" s="25">
        <f t="shared" si="50"/>
        <v>1.16082085374707</v>
      </c>
    </row>
    <row r="301" ht="14" spans="1:55">
      <c r="A301" s="29">
        <v>2020</v>
      </c>
      <c r="B301" s="29">
        <v>330000</v>
      </c>
      <c r="C301" s="30" t="s">
        <v>80</v>
      </c>
      <c r="D301" s="25">
        <v>0</v>
      </c>
      <c r="E301" s="25">
        <v>1</v>
      </c>
      <c r="F301" s="25">
        <v>0</v>
      </c>
      <c r="G301" s="25">
        <v>0</v>
      </c>
      <c r="H301" s="19">
        <v>57.4</v>
      </c>
      <c r="I301" s="19">
        <v>42.6</v>
      </c>
      <c r="J301" s="25">
        <v>1.5</v>
      </c>
      <c r="K301" s="25">
        <v>15.8</v>
      </c>
      <c r="L301" s="25">
        <f t="shared" si="41"/>
        <v>17.3</v>
      </c>
      <c r="M301" s="25">
        <v>35.6</v>
      </c>
      <c r="N301" s="25">
        <v>18.4</v>
      </c>
      <c r="O301" s="25">
        <v>13.9</v>
      </c>
      <c r="P301" s="25">
        <f t="shared" si="42"/>
        <v>67.9</v>
      </c>
      <c r="Q301" s="25">
        <v>13.4</v>
      </c>
      <c r="R301" s="19">
        <v>1.3</v>
      </c>
      <c r="S301" s="19">
        <f t="shared" si="43"/>
        <v>14.7</v>
      </c>
      <c r="T301" s="19">
        <v>208</v>
      </c>
      <c r="U301" s="19">
        <f t="shared" si="44"/>
        <v>0.0539279232564169</v>
      </c>
      <c r="V301" s="19">
        <v>1692</v>
      </c>
      <c r="W301" s="19">
        <f t="shared" si="45"/>
        <v>0.438682914182007</v>
      </c>
      <c r="X301" s="19">
        <v>1957</v>
      </c>
      <c r="Y301" s="14">
        <f t="shared" si="46"/>
        <v>0.507389162561576</v>
      </c>
      <c r="Z301" s="14">
        <v>3857</v>
      </c>
      <c r="AA301" s="25">
        <v>0.6</v>
      </c>
      <c r="AB301" s="25">
        <v>0.5</v>
      </c>
      <c r="AC301" s="25">
        <v>309.4</v>
      </c>
      <c r="AD301" s="25">
        <v>13</v>
      </c>
      <c r="AE301" s="25">
        <v>198</v>
      </c>
      <c r="AF301" s="25">
        <v>35.2</v>
      </c>
      <c r="AG301" s="25">
        <v>28.3</v>
      </c>
      <c r="AH301" s="25">
        <v>48.2</v>
      </c>
      <c r="AI301" s="25">
        <v>19.6</v>
      </c>
      <c r="AJ301" s="25">
        <v>37.5</v>
      </c>
      <c r="AK301" s="25">
        <f t="shared" si="47"/>
        <v>168.8</v>
      </c>
      <c r="AL301" s="25">
        <v>41.4</v>
      </c>
      <c r="AM301" s="25">
        <v>14.7</v>
      </c>
      <c r="AN301" s="19">
        <v>4.2</v>
      </c>
      <c r="AO301" s="25">
        <v>7.9</v>
      </c>
      <c r="AP301" s="25">
        <f t="shared" si="48"/>
        <v>68.2</v>
      </c>
      <c r="AQ301" s="25">
        <v>11.6</v>
      </c>
      <c r="AR301" s="25">
        <v>90.9</v>
      </c>
      <c r="AS301" s="25">
        <v>53.2</v>
      </c>
      <c r="AT301" s="25">
        <v>82.9</v>
      </c>
      <c r="AU301" s="25">
        <f t="shared" si="49"/>
        <v>238.6</v>
      </c>
      <c r="AV301" s="25">
        <v>28.8</v>
      </c>
      <c r="AW301" s="19">
        <v>3211.1</v>
      </c>
      <c r="AX301" s="25">
        <v>1143.9</v>
      </c>
      <c r="AY301" s="19">
        <v>4355.1</v>
      </c>
      <c r="AZ301" s="25">
        <v>2579.5</v>
      </c>
      <c r="BA301" s="25">
        <v>2977</v>
      </c>
      <c r="BB301" s="25">
        <v>5556.5</v>
      </c>
      <c r="BC301" s="25">
        <f t="shared" si="50"/>
        <v>1.20155054525211</v>
      </c>
    </row>
    <row r="302" ht="14" spans="1:55">
      <c r="A302" s="29">
        <v>2021</v>
      </c>
      <c r="B302" s="29">
        <v>330000</v>
      </c>
      <c r="C302" s="30" t="s">
        <v>80</v>
      </c>
      <c r="D302" s="25">
        <v>0</v>
      </c>
      <c r="E302" s="25">
        <v>1</v>
      </c>
      <c r="F302" s="25">
        <v>0</v>
      </c>
      <c r="G302" s="25">
        <v>0</v>
      </c>
      <c r="H302" s="19">
        <v>58.065</v>
      </c>
      <c r="I302" s="19">
        <v>41.935</v>
      </c>
      <c r="J302" s="25">
        <v>1.972</v>
      </c>
      <c r="K302" s="25">
        <v>15.097</v>
      </c>
      <c r="L302" s="25">
        <f t="shared" si="41"/>
        <v>17.069</v>
      </c>
      <c r="M302" s="25">
        <v>37.883</v>
      </c>
      <c r="N302" s="25">
        <v>17.764</v>
      </c>
      <c r="O302" s="25">
        <v>13.58</v>
      </c>
      <c r="P302" s="25">
        <f t="shared" si="42"/>
        <v>69.227</v>
      </c>
      <c r="Q302" s="25">
        <v>12.426</v>
      </c>
      <c r="R302" s="19">
        <v>1.279</v>
      </c>
      <c r="S302" s="19">
        <f t="shared" si="43"/>
        <v>13.705</v>
      </c>
      <c r="T302" s="19">
        <v>206</v>
      </c>
      <c r="U302" s="19">
        <f t="shared" si="44"/>
        <v>0.0528611752630228</v>
      </c>
      <c r="V302" s="19">
        <v>1727</v>
      </c>
      <c r="W302" s="19">
        <f t="shared" si="45"/>
        <v>0.443161406209905</v>
      </c>
      <c r="X302" s="19">
        <v>1964</v>
      </c>
      <c r="Y302" s="14">
        <f t="shared" si="46"/>
        <v>0.503977418527072</v>
      </c>
      <c r="Z302" s="14">
        <v>3897</v>
      </c>
      <c r="AA302" s="25">
        <v>0.8</v>
      </c>
      <c r="AB302" s="25">
        <v>0.4</v>
      </c>
      <c r="AC302" s="25">
        <v>322.3</v>
      </c>
      <c r="AD302" s="25">
        <v>13.4</v>
      </c>
      <c r="AE302" s="25">
        <v>179.2</v>
      </c>
      <c r="AF302" s="25">
        <v>37.1</v>
      </c>
      <c r="AG302" s="25">
        <v>32.8</v>
      </c>
      <c r="AH302" s="25">
        <v>46.7</v>
      </c>
      <c r="AI302" s="25">
        <v>21.7</v>
      </c>
      <c r="AJ302" s="25">
        <v>41.8</v>
      </c>
      <c r="AK302" s="25">
        <f t="shared" si="47"/>
        <v>180.1</v>
      </c>
      <c r="AL302" s="25">
        <v>45.2</v>
      </c>
      <c r="AM302" s="25">
        <v>14.4</v>
      </c>
      <c r="AN302" s="19">
        <v>4.8</v>
      </c>
      <c r="AO302" s="25">
        <v>7.4</v>
      </c>
      <c r="AP302" s="25">
        <f t="shared" si="48"/>
        <v>71.8</v>
      </c>
      <c r="AQ302" s="25">
        <v>10.7</v>
      </c>
      <c r="AR302" s="25">
        <v>90.1</v>
      </c>
      <c r="AS302" s="25">
        <v>55.3</v>
      </c>
      <c r="AT302" s="25">
        <v>80.9</v>
      </c>
      <c r="AU302" s="25">
        <f t="shared" si="49"/>
        <v>237</v>
      </c>
      <c r="AV302" s="25">
        <v>29.9</v>
      </c>
      <c r="AW302" s="19">
        <v>3367.499</v>
      </c>
      <c r="AX302" s="25">
        <v>1055.486</v>
      </c>
      <c r="AY302" s="19">
        <v>4422.985</v>
      </c>
      <c r="AZ302" s="25">
        <v>2736.018</v>
      </c>
      <c r="BA302" s="25">
        <v>2918.528</v>
      </c>
      <c r="BB302" s="25">
        <v>5654.546</v>
      </c>
      <c r="BC302" s="25">
        <f t="shared" si="50"/>
        <v>1.2452250806234</v>
      </c>
    </row>
    <row r="303" ht="14" spans="1:55">
      <c r="A303" s="29">
        <v>2022</v>
      </c>
      <c r="B303" s="29">
        <v>330000</v>
      </c>
      <c r="C303" s="30" t="s">
        <v>80</v>
      </c>
      <c r="D303" s="25">
        <v>0</v>
      </c>
      <c r="E303" s="25">
        <v>1</v>
      </c>
      <c r="F303" s="25">
        <v>0</v>
      </c>
      <c r="G303" s="25">
        <v>0</v>
      </c>
      <c r="H303" s="19">
        <v>57.942</v>
      </c>
      <c r="I303" s="19">
        <v>42.058</v>
      </c>
      <c r="J303" s="25">
        <v>2.144</v>
      </c>
      <c r="K303" s="25">
        <v>17.919</v>
      </c>
      <c r="L303" s="25">
        <f t="shared" si="41"/>
        <v>20.063</v>
      </c>
      <c r="M303" s="25">
        <v>36.469</v>
      </c>
      <c r="N303" s="25">
        <v>16.171</v>
      </c>
      <c r="O303" s="25">
        <v>13.408</v>
      </c>
      <c r="P303" s="25">
        <f t="shared" si="42"/>
        <v>66.048</v>
      </c>
      <c r="Q303" s="25">
        <v>12.644</v>
      </c>
      <c r="R303" s="19">
        <v>1.245</v>
      </c>
      <c r="S303" s="19">
        <f t="shared" si="43"/>
        <v>13.889</v>
      </c>
      <c r="T303" s="19">
        <v>203</v>
      </c>
      <c r="U303" s="19">
        <f t="shared" si="44"/>
        <v>0.0522522522522523</v>
      </c>
      <c r="V303" s="19">
        <v>1726</v>
      </c>
      <c r="W303" s="19">
        <f t="shared" si="45"/>
        <v>0.444272844272844</v>
      </c>
      <c r="X303" s="19">
        <v>1956</v>
      </c>
      <c r="Y303" s="14">
        <f t="shared" si="46"/>
        <v>0.503474903474903</v>
      </c>
      <c r="Z303" s="14">
        <v>3885</v>
      </c>
      <c r="AA303" s="25">
        <v>0.7</v>
      </c>
      <c r="AB303" s="25">
        <v>0.4</v>
      </c>
      <c r="AC303" s="25">
        <v>320.7</v>
      </c>
      <c r="AD303" s="25">
        <v>13.2</v>
      </c>
      <c r="AE303" s="25">
        <v>159.1</v>
      </c>
      <c r="AF303" s="25">
        <v>32.9</v>
      </c>
      <c r="AG303" s="25">
        <v>34.4</v>
      </c>
      <c r="AH303" s="25">
        <v>44.2</v>
      </c>
      <c r="AI303" s="25">
        <v>22.7</v>
      </c>
      <c r="AJ303" s="25">
        <v>73</v>
      </c>
      <c r="AK303" s="25">
        <f t="shared" si="47"/>
        <v>207.2</v>
      </c>
      <c r="AL303" s="25">
        <v>44</v>
      </c>
      <c r="AM303" s="25">
        <v>14.2</v>
      </c>
      <c r="AN303" s="19">
        <v>4.8</v>
      </c>
      <c r="AO303" s="25">
        <v>6.9</v>
      </c>
      <c r="AP303" s="25">
        <f t="shared" si="48"/>
        <v>69.9</v>
      </c>
      <c r="AQ303" s="25">
        <v>11.3</v>
      </c>
      <c r="AR303" s="25">
        <v>89.4</v>
      </c>
      <c r="AS303" s="25">
        <v>58.4</v>
      </c>
      <c r="AT303" s="25">
        <v>80.8</v>
      </c>
      <c r="AU303" s="25">
        <f t="shared" si="49"/>
        <v>239.9</v>
      </c>
      <c r="AV303" s="25">
        <v>30.2</v>
      </c>
      <c r="AW303" s="19">
        <v>3472.79</v>
      </c>
      <c r="AX303" s="25">
        <v>1047.284</v>
      </c>
      <c r="AY303" s="19">
        <v>4520.075</v>
      </c>
      <c r="AZ303" s="25">
        <v>2855.835</v>
      </c>
      <c r="BA303" s="25">
        <v>2721.382</v>
      </c>
      <c r="BB303" s="25">
        <v>5577.218</v>
      </c>
      <c r="BC303" s="25">
        <f t="shared" si="50"/>
        <v>1.28035730309013</v>
      </c>
    </row>
    <row r="304" ht="14" spans="1:55">
      <c r="A304" s="29">
        <v>2013</v>
      </c>
      <c r="B304" s="29">
        <v>500000</v>
      </c>
      <c r="C304" s="30" t="s">
        <v>81</v>
      </c>
      <c r="D304" s="25">
        <v>1</v>
      </c>
      <c r="E304" s="25">
        <v>0</v>
      </c>
      <c r="F304" s="25">
        <v>0</v>
      </c>
      <c r="G304" s="25">
        <v>0</v>
      </c>
      <c r="H304" s="19">
        <v>54.1530000000002</v>
      </c>
      <c r="I304" s="19">
        <v>45.8469999999998</v>
      </c>
      <c r="J304" s="25">
        <v>2.566</v>
      </c>
      <c r="K304" s="25">
        <v>28.512</v>
      </c>
      <c r="L304" s="25">
        <f t="shared" si="41"/>
        <v>31.078</v>
      </c>
      <c r="M304" s="25">
        <v>40.266</v>
      </c>
      <c r="N304" s="25">
        <v>16.19</v>
      </c>
      <c r="O304" s="25">
        <v>6.923</v>
      </c>
      <c r="P304" s="25">
        <f t="shared" si="42"/>
        <v>63.379</v>
      </c>
      <c r="Q304" s="25">
        <v>5.013</v>
      </c>
      <c r="R304" s="19">
        <v>0.53</v>
      </c>
      <c r="S304" s="19">
        <f t="shared" si="43"/>
        <v>5.543</v>
      </c>
      <c r="T304" s="19">
        <v>495.08</v>
      </c>
      <c r="U304" s="19">
        <f t="shared" si="44"/>
        <v>0.305852263249912</v>
      </c>
      <c r="V304" s="19">
        <v>452.21</v>
      </c>
      <c r="W304" s="19">
        <f t="shared" si="45"/>
        <v>0.279367883906122</v>
      </c>
      <c r="X304" s="19">
        <v>671.3982</v>
      </c>
      <c r="Y304" s="14">
        <f t="shared" si="46"/>
        <v>0.414778740833637</v>
      </c>
      <c r="Z304" s="14">
        <v>1618.69</v>
      </c>
      <c r="AA304" s="25">
        <v>1.1</v>
      </c>
      <c r="AB304" s="25">
        <v>10.1</v>
      </c>
      <c r="AC304" s="25">
        <v>86.4</v>
      </c>
      <c r="AD304" s="25">
        <v>7</v>
      </c>
      <c r="AE304" s="25">
        <v>103.6</v>
      </c>
      <c r="AF304" s="25">
        <v>26.1</v>
      </c>
      <c r="AG304" s="25">
        <v>4.9</v>
      </c>
      <c r="AH304" s="25">
        <v>13.1</v>
      </c>
      <c r="AI304" s="25">
        <v>6.4</v>
      </c>
      <c r="AJ304" s="25">
        <v>10.9</v>
      </c>
      <c r="AK304" s="25">
        <f t="shared" si="47"/>
        <v>61.4</v>
      </c>
      <c r="AL304" s="25">
        <v>22.1</v>
      </c>
      <c r="AM304" s="25">
        <v>7.1</v>
      </c>
      <c r="AN304" s="19">
        <v>1.3</v>
      </c>
      <c r="AO304" s="25">
        <v>2.6</v>
      </c>
      <c r="AP304" s="25">
        <f t="shared" si="48"/>
        <v>33.1</v>
      </c>
      <c r="AQ304" s="25">
        <v>5</v>
      </c>
      <c r="AR304" s="25">
        <v>39.1</v>
      </c>
      <c r="AS304" s="25">
        <v>16.2</v>
      </c>
      <c r="AT304" s="25">
        <v>28.9</v>
      </c>
      <c r="AU304" s="25">
        <f t="shared" si="49"/>
        <v>89.2</v>
      </c>
      <c r="AV304" s="25">
        <v>10.1</v>
      </c>
      <c r="AW304" s="19">
        <v>773.124</v>
      </c>
      <c r="AX304" s="25">
        <v>1122.922</v>
      </c>
      <c r="AY304" s="19">
        <v>1896.046</v>
      </c>
      <c r="AZ304" s="25">
        <v>539.535</v>
      </c>
      <c r="BA304" s="25">
        <v>2695.264</v>
      </c>
      <c r="BB304" s="25">
        <v>3234.799</v>
      </c>
      <c r="BC304" s="25">
        <f t="shared" si="50"/>
        <v>0.574546818679622</v>
      </c>
    </row>
    <row r="305" ht="14" spans="1:55">
      <c r="A305" s="29">
        <v>2014</v>
      </c>
      <c r="B305" s="29">
        <v>500000</v>
      </c>
      <c r="C305" s="30" t="s">
        <v>81</v>
      </c>
      <c r="D305" s="25">
        <v>1</v>
      </c>
      <c r="E305" s="25">
        <v>0</v>
      </c>
      <c r="F305" s="25">
        <v>0</v>
      </c>
      <c r="G305" s="25">
        <v>0</v>
      </c>
      <c r="H305" s="19">
        <v>55.8</v>
      </c>
      <c r="I305" s="19">
        <v>44.2</v>
      </c>
      <c r="J305" s="25">
        <v>2.1</v>
      </c>
      <c r="K305" s="25">
        <v>29.2</v>
      </c>
      <c r="L305" s="25">
        <f t="shared" si="41"/>
        <v>31.3</v>
      </c>
      <c r="M305" s="25">
        <v>38.3</v>
      </c>
      <c r="N305" s="25">
        <v>16.2</v>
      </c>
      <c r="O305" s="25">
        <v>8.4</v>
      </c>
      <c r="P305" s="25">
        <f t="shared" si="42"/>
        <v>62.9</v>
      </c>
      <c r="Q305" s="25">
        <v>5.2</v>
      </c>
      <c r="R305" s="19">
        <v>0.6</v>
      </c>
      <c r="S305" s="19">
        <f t="shared" si="43"/>
        <v>5.8</v>
      </c>
      <c r="T305" s="19">
        <v>463.78</v>
      </c>
      <c r="U305" s="19">
        <f t="shared" si="44"/>
        <v>0.28415802759601</v>
      </c>
      <c r="V305" s="19">
        <v>464.48</v>
      </c>
      <c r="W305" s="19">
        <f t="shared" si="45"/>
        <v>0.284586917628606</v>
      </c>
      <c r="X305" s="19">
        <v>703.86</v>
      </c>
      <c r="Y305" s="14">
        <f t="shared" si="46"/>
        <v>0.431255054775384</v>
      </c>
      <c r="Z305" s="14">
        <v>1632.12</v>
      </c>
      <c r="AA305" s="25">
        <v>1.2</v>
      </c>
      <c r="AB305" s="25">
        <v>9</v>
      </c>
      <c r="AC305" s="25">
        <v>89.3</v>
      </c>
      <c r="AD305" s="25">
        <v>7</v>
      </c>
      <c r="AE305" s="25">
        <v>103.8</v>
      </c>
      <c r="AF305" s="25">
        <v>27.3</v>
      </c>
      <c r="AG305" s="25">
        <v>4.7</v>
      </c>
      <c r="AH305" s="25">
        <v>13.2</v>
      </c>
      <c r="AI305" s="25">
        <v>7.7</v>
      </c>
      <c r="AJ305" s="25">
        <v>12.1</v>
      </c>
      <c r="AK305" s="25">
        <f t="shared" si="47"/>
        <v>65</v>
      </c>
      <c r="AL305" s="25">
        <v>22.8</v>
      </c>
      <c r="AM305" s="25">
        <v>6.8</v>
      </c>
      <c r="AN305" s="19">
        <v>1.5</v>
      </c>
      <c r="AO305" s="25">
        <v>2.6</v>
      </c>
      <c r="AP305" s="25">
        <f t="shared" si="48"/>
        <v>33.7</v>
      </c>
      <c r="AQ305" s="25">
        <v>5.5</v>
      </c>
      <c r="AR305" s="25">
        <v>40.7</v>
      </c>
      <c r="AS305" s="25">
        <v>17.8</v>
      </c>
      <c r="AT305" s="25">
        <v>29.2</v>
      </c>
      <c r="AU305" s="25">
        <f t="shared" si="49"/>
        <v>93.2</v>
      </c>
      <c r="AV305" s="25">
        <v>12.4</v>
      </c>
      <c r="AW305" s="19">
        <v>825.5</v>
      </c>
      <c r="AX305" s="25">
        <v>1112.5</v>
      </c>
      <c r="AY305" s="19">
        <v>1938</v>
      </c>
      <c r="AZ305" s="25">
        <v>575.8</v>
      </c>
      <c r="BA305" s="25">
        <v>2681.1</v>
      </c>
      <c r="BB305" s="25">
        <v>3256.8</v>
      </c>
      <c r="BC305" s="25">
        <f t="shared" si="50"/>
        <v>0.602753904571564</v>
      </c>
    </row>
    <row r="306" ht="14" spans="1:55">
      <c r="A306" s="29">
        <v>2015</v>
      </c>
      <c r="B306" s="29">
        <v>500000</v>
      </c>
      <c r="C306" s="30" t="s">
        <v>81</v>
      </c>
      <c r="D306" s="25">
        <v>1</v>
      </c>
      <c r="E306" s="25">
        <v>0</v>
      </c>
      <c r="F306" s="25">
        <v>0</v>
      </c>
      <c r="G306" s="25">
        <v>0</v>
      </c>
      <c r="H306" s="19">
        <v>57.447</v>
      </c>
      <c r="I306" s="19">
        <v>42.553</v>
      </c>
      <c r="J306" s="25">
        <v>2.941</v>
      </c>
      <c r="K306" s="25">
        <v>24.723</v>
      </c>
      <c r="L306" s="25">
        <f t="shared" si="41"/>
        <v>27.664</v>
      </c>
      <c r="M306" s="25">
        <v>35.675</v>
      </c>
      <c r="N306" s="25">
        <v>12.438</v>
      </c>
      <c r="O306" s="25">
        <v>10.058</v>
      </c>
      <c r="P306" s="25">
        <f t="shared" si="42"/>
        <v>58.171</v>
      </c>
      <c r="Q306" s="25">
        <v>7.544</v>
      </c>
      <c r="R306" s="19">
        <v>0.862</v>
      </c>
      <c r="S306" s="19">
        <f t="shared" si="43"/>
        <v>8.406</v>
      </c>
      <c r="T306" s="19">
        <v>440.3</v>
      </c>
      <c r="U306" s="19">
        <f t="shared" si="44"/>
        <v>0.267268014641164</v>
      </c>
      <c r="V306" s="19">
        <v>473.7</v>
      </c>
      <c r="W306" s="19">
        <f t="shared" si="45"/>
        <v>0.287542263310287</v>
      </c>
      <c r="X306" s="19">
        <v>733.41</v>
      </c>
      <c r="Y306" s="14">
        <f t="shared" si="46"/>
        <v>0.445189722048549</v>
      </c>
      <c r="Z306" s="14">
        <v>1647.41</v>
      </c>
      <c r="AA306" s="25">
        <v>1.2</v>
      </c>
      <c r="AB306" s="25">
        <v>7.3</v>
      </c>
      <c r="AC306" s="25">
        <v>90.2</v>
      </c>
      <c r="AD306" s="25">
        <v>6.7</v>
      </c>
      <c r="AE306" s="25">
        <v>101.5</v>
      </c>
      <c r="AF306" s="25">
        <v>27.1</v>
      </c>
      <c r="AG306" s="25">
        <v>4.7</v>
      </c>
      <c r="AH306" s="25">
        <v>13.3</v>
      </c>
      <c r="AI306" s="25">
        <v>8</v>
      </c>
      <c r="AJ306" s="25">
        <v>12.2</v>
      </c>
      <c r="AK306" s="25">
        <f t="shared" si="47"/>
        <v>65.3</v>
      </c>
      <c r="AL306" s="25">
        <v>22.1</v>
      </c>
      <c r="AM306" s="25">
        <v>6.3</v>
      </c>
      <c r="AN306" s="19">
        <v>1.5</v>
      </c>
      <c r="AO306" s="25">
        <v>2.9</v>
      </c>
      <c r="AP306" s="25">
        <f t="shared" si="48"/>
        <v>32.8</v>
      </c>
      <c r="AQ306" s="25">
        <v>6.4</v>
      </c>
      <c r="AR306" s="25">
        <v>41.2</v>
      </c>
      <c r="AS306" s="25">
        <v>19</v>
      </c>
      <c r="AT306" s="25">
        <v>31.6</v>
      </c>
      <c r="AU306" s="25">
        <f t="shared" si="49"/>
        <v>98.2</v>
      </c>
      <c r="AV306" s="25">
        <v>12.5</v>
      </c>
      <c r="AW306" s="19">
        <v>849.292</v>
      </c>
      <c r="AX306" s="25">
        <v>1111.064</v>
      </c>
      <c r="AY306" s="19">
        <v>1960.356</v>
      </c>
      <c r="AZ306" s="25">
        <v>588.468</v>
      </c>
      <c r="BA306" s="25">
        <v>2677.799</v>
      </c>
      <c r="BB306" s="25">
        <v>3266.267</v>
      </c>
      <c r="BC306" s="25">
        <f t="shared" si="50"/>
        <v>0.613398863517899</v>
      </c>
    </row>
    <row r="307" ht="14" spans="1:55">
      <c r="A307" s="29">
        <v>2016</v>
      </c>
      <c r="B307" s="29">
        <v>500000</v>
      </c>
      <c r="C307" s="30" t="s">
        <v>81</v>
      </c>
      <c r="D307" s="25">
        <v>1</v>
      </c>
      <c r="E307" s="25">
        <v>0</v>
      </c>
      <c r="F307" s="25">
        <v>0</v>
      </c>
      <c r="G307" s="25">
        <v>0</v>
      </c>
      <c r="H307" s="19">
        <v>55.605</v>
      </c>
      <c r="I307" s="19">
        <v>44.395</v>
      </c>
      <c r="J307" s="25">
        <v>2.363</v>
      </c>
      <c r="K307" s="25">
        <v>27.445</v>
      </c>
      <c r="L307" s="25">
        <f t="shared" si="41"/>
        <v>29.808</v>
      </c>
      <c r="M307" s="25">
        <v>33.472</v>
      </c>
      <c r="N307" s="25">
        <v>11.819</v>
      </c>
      <c r="O307" s="25">
        <v>10.868</v>
      </c>
      <c r="P307" s="25">
        <f t="shared" si="42"/>
        <v>56.159</v>
      </c>
      <c r="Q307" s="25">
        <v>7.787</v>
      </c>
      <c r="R307" s="19">
        <v>0.775</v>
      </c>
      <c r="S307" s="19">
        <f t="shared" si="43"/>
        <v>8.562</v>
      </c>
      <c r="T307" s="19">
        <v>419.19</v>
      </c>
      <c r="U307" s="19">
        <f t="shared" si="44"/>
        <v>0.252779921848618</v>
      </c>
      <c r="V307" s="19">
        <v>476.66</v>
      </c>
      <c r="W307" s="19">
        <f t="shared" si="45"/>
        <v>0.287435476868156</v>
      </c>
      <c r="X307" s="19">
        <v>762.47</v>
      </c>
      <c r="Y307" s="14">
        <f t="shared" si="46"/>
        <v>0.459784601283226</v>
      </c>
      <c r="Z307" s="14">
        <v>1658.32</v>
      </c>
      <c r="AA307" s="25">
        <v>1.1</v>
      </c>
      <c r="AB307" s="25">
        <v>5.6</v>
      </c>
      <c r="AC307" s="25">
        <v>89.3</v>
      </c>
      <c r="AD307" s="25">
        <v>6.4</v>
      </c>
      <c r="AE307" s="25">
        <v>100.2</v>
      </c>
      <c r="AF307" s="25">
        <v>26.5</v>
      </c>
      <c r="AG307" s="25">
        <v>4.6</v>
      </c>
      <c r="AH307" s="25">
        <v>14</v>
      </c>
      <c r="AI307" s="25">
        <v>8.1</v>
      </c>
      <c r="AJ307" s="25">
        <v>12.6</v>
      </c>
      <c r="AK307" s="25">
        <f t="shared" si="47"/>
        <v>65.8</v>
      </c>
      <c r="AL307" s="25">
        <v>20.7</v>
      </c>
      <c r="AM307" s="25">
        <v>6.4</v>
      </c>
      <c r="AN307" s="19">
        <v>1.5</v>
      </c>
      <c r="AO307" s="25">
        <v>2.9</v>
      </c>
      <c r="AP307" s="25">
        <f t="shared" si="48"/>
        <v>31.5</v>
      </c>
      <c r="AQ307" s="25">
        <v>6.5</v>
      </c>
      <c r="AR307" s="25">
        <v>41.8</v>
      </c>
      <c r="AS307" s="25">
        <v>19.7</v>
      </c>
      <c r="AT307" s="25">
        <v>32</v>
      </c>
      <c r="AU307" s="25">
        <f t="shared" si="49"/>
        <v>100</v>
      </c>
      <c r="AV307" s="25">
        <v>13</v>
      </c>
      <c r="AW307" s="19">
        <v>952.245</v>
      </c>
      <c r="AX307" s="25">
        <v>1115.82</v>
      </c>
      <c r="AY307" s="19">
        <v>2068.065</v>
      </c>
      <c r="AZ307" s="25">
        <v>604.76</v>
      </c>
      <c r="BA307" s="25">
        <v>2654.52</v>
      </c>
      <c r="BB307" s="25">
        <v>3259.279</v>
      </c>
      <c r="BC307" s="25">
        <f t="shared" si="50"/>
        <v>0.646002401595723</v>
      </c>
    </row>
    <row r="308" ht="14" spans="1:55">
      <c r="A308" s="29">
        <v>2017</v>
      </c>
      <c r="B308" s="29">
        <v>500000</v>
      </c>
      <c r="C308" s="30" t="s">
        <v>81</v>
      </c>
      <c r="D308" s="25">
        <v>1</v>
      </c>
      <c r="E308" s="25">
        <v>0</v>
      </c>
      <c r="F308" s="25">
        <v>0</v>
      </c>
      <c r="G308" s="25">
        <v>0</v>
      </c>
      <c r="H308" s="19">
        <v>56.427</v>
      </c>
      <c r="I308" s="19">
        <v>43.573</v>
      </c>
      <c r="J308" s="25">
        <v>1.933</v>
      </c>
      <c r="K308" s="25">
        <v>27.209</v>
      </c>
      <c r="L308" s="25">
        <f t="shared" si="41"/>
        <v>29.142</v>
      </c>
      <c r="M308" s="25">
        <v>33.349</v>
      </c>
      <c r="N308" s="25">
        <v>12.473</v>
      </c>
      <c r="O308" s="25">
        <v>10.712</v>
      </c>
      <c r="P308" s="25">
        <f t="shared" si="42"/>
        <v>56.534</v>
      </c>
      <c r="Q308" s="25">
        <v>7.807</v>
      </c>
      <c r="R308" s="19">
        <v>0.864</v>
      </c>
      <c r="S308" s="19">
        <f t="shared" si="43"/>
        <v>8.671</v>
      </c>
      <c r="T308" s="19">
        <v>402.91</v>
      </c>
      <c r="U308" s="19">
        <f t="shared" si="44"/>
        <v>0.242814871062417</v>
      </c>
      <c r="V308" s="19">
        <v>461.68</v>
      </c>
      <c r="W308" s="19">
        <f t="shared" si="45"/>
        <v>0.278232780700644</v>
      </c>
      <c r="X308" s="19">
        <v>794.74</v>
      </c>
      <c r="Y308" s="14">
        <f t="shared" si="46"/>
        <v>0.478952348236939</v>
      </c>
      <c r="Z308" s="14">
        <v>1659.33</v>
      </c>
      <c r="AA308" s="25">
        <v>1.2</v>
      </c>
      <c r="AB308" s="25">
        <v>4.1</v>
      </c>
      <c r="AC308" s="25">
        <v>83.8</v>
      </c>
      <c r="AD308" s="25">
        <v>6.5</v>
      </c>
      <c r="AE308" s="25">
        <v>97.7</v>
      </c>
      <c r="AF308" s="25">
        <v>27</v>
      </c>
      <c r="AG308" s="25">
        <v>4.8</v>
      </c>
      <c r="AH308" s="25">
        <v>14.4</v>
      </c>
      <c r="AI308" s="25">
        <v>8.2</v>
      </c>
      <c r="AJ308" s="25">
        <v>13.3</v>
      </c>
      <c r="AK308" s="25">
        <f t="shared" si="47"/>
        <v>67.7</v>
      </c>
      <c r="AL308" s="25">
        <v>19.5</v>
      </c>
      <c r="AM308" s="25">
        <v>6.1</v>
      </c>
      <c r="AN308" s="19">
        <v>1.4</v>
      </c>
      <c r="AO308" s="25">
        <v>3.2</v>
      </c>
      <c r="AP308" s="25">
        <f t="shared" si="48"/>
        <v>30.2</v>
      </c>
      <c r="AQ308" s="25">
        <v>6.8</v>
      </c>
      <c r="AR308" s="25">
        <v>41.7</v>
      </c>
      <c r="AS308" s="25">
        <v>20.3</v>
      </c>
      <c r="AT308" s="25">
        <v>32.6</v>
      </c>
      <c r="AU308" s="25">
        <f t="shared" si="49"/>
        <v>101.4</v>
      </c>
      <c r="AV308" s="25">
        <v>13.9</v>
      </c>
      <c r="AW308" s="19">
        <v>989.174</v>
      </c>
      <c r="AX308" s="25">
        <v>1108.999</v>
      </c>
      <c r="AY308" s="19">
        <v>2098.173</v>
      </c>
      <c r="AZ308" s="25">
        <v>640.275</v>
      </c>
      <c r="BA308" s="25">
        <v>2608.177</v>
      </c>
      <c r="BB308" s="25">
        <v>3248.452</v>
      </c>
      <c r="BC308" s="25">
        <f t="shared" si="50"/>
        <v>0.668546968892623</v>
      </c>
    </row>
    <row r="309" ht="14" spans="1:55">
      <c r="A309" s="29">
        <v>2018</v>
      </c>
      <c r="B309" s="29">
        <v>500000</v>
      </c>
      <c r="C309" s="30" t="s">
        <v>81</v>
      </c>
      <c r="D309" s="25">
        <v>1</v>
      </c>
      <c r="E309" s="25">
        <v>0</v>
      </c>
      <c r="F309" s="25">
        <v>0</v>
      </c>
      <c r="G309" s="25">
        <v>0</v>
      </c>
      <c r="H309" s="19">
        <v>55.764</v>
      </c>
      <c r="I309" s="19">
        <v>44.236</v>
      </c>
      <c r="J309" s="25">
        <v>1.972</v>
      </c>
      <c r="K309" s="25">
        <v>22.698</v>
      </c>
      <c r="L309" s="25">
        <f t="shared" si="41"/>
        <v>24.67</v>
      </c>
      <c r="M309" s="25">
        <v>37.679</v>
      </c>
      <c r="N309" s="25">
        <v>14.007</v>
      </c>
      <c r="O309" s="25">
        <v>10.109</v>
      </c>
      <c r="P309" s="25">
        <f t="shared" si="42"/>
        <v>61.795</v>
      </c>
      <c r="Q309" s="25">
        <v>8.012</v>
      </c>
      <c r="R309" s="19">
        <v>0.769</v>
      </c>
      <c r="S309" s="19">
        <f t="shared" si="43"/>
        <v>8.781</v>
      </c>
      <c r="T309" s="19">
        <v>390.62</v>
      </c>
      <c r="U309" s="19">
        <f t="shared" si="44"/>
        <v>0.234856273636238</v>
      </c>
      <c r="V309" s="19">
        <v>442.56</v>
      </c>
      <c r="W309" s="19">
        <f t="shared" si="45"/>
        <v>0.266084666582493</v>
      </c>
      <c r="X309" s="19">
        <v>830.05</v>
      </c>
      <c r="Y309" s="14">
        <f t="shared" si="46"/>
        <v>0.499059059781269</v>
      </c>
      <c r="Z309" s="14">
        <v>1663.23</v>
      </c>
      <c r="AA309" s="25">
        <v>0.9</v>
      </c>
      <c r="AB309" s="25">
        <v>4.1</v>
      </c>
      <c r="AC309" s="25">
        <v>79.9</v>
      </c>
      <c r="AD309" s="25">
        <v>6.1</v>
      </c>
      <c r="AE309" s="25">
        <v>88.9</v>
      </c>
      <c r="AF309" s="25">
        <v>22.5</v>
      </c>
      <c r="AG309" s="25">
        <v>4.9</v>
      </c>
      <c r="AH309" s="25">
        <v>14.1</v>
      </c>
      <c r="AI309" s="25">
        <v>8.2</v>
      </c>
      <c r="AJ309" s="25">
        <v>14.3</v>
      </c>
      <c r="AK309" s="25">
        <f t="shared" si="47"/>
        <v>64</v>
      </c>
      <c r="AL309" s="25">
        <v>19.4</v>
      </c>
      <c r="AM309" s="25">
        <v>6</v>
      </c>
      <c r="AN309" s="19">
        <v>1.5</v>
      </c>
      <c r="AO309" s="25">
        <v>2.8</v>
      </c>
      <c r="AP309" s="25">
        <f t="shared" si="48"/>
        <v>29.7</v>
      </c>
      <c r="AQ309" s="25">
        <v>5.8</v>
      </c>
      <c r="AR309" s="25">
        <v>42</v>
      </c>
      <c r="AS309" s="25">
        <v>20.3</v>
      </c>
      <c r="AT309" s="25">
        <v>34.8</v>
      </c>
      <c r="AU309" s="25">
        <f t="shared" si="49"/>
        <v>102.9</v>
      </c>
      <c r="AV309" s="25">
        <v>14.6</v>
      </c>
      <c r="AW309" s="19">
        <v>1051.188</v>
      </c>
      <c r="AX309" s="25">
        <v>1119.633</v>
      </c>
      <c r="AY309" s="19">
        <v>2170.821</v>
      </c>
      <c r="AZ309" s="25">
        <v>678.306</v>
      </c>
      <c r="BA309" s="25">
        <v>2587</v>
      </c>
      <c r="BB309" s="25">
        <v>3265.307</v>
      </c>
      <c r="BC309" s="25">
        <f t="shared" si="50"/>
        <v>0.691966383805212</v>
      </c>
    </row>
    <row r="310" ht="14" spans="1:55">
      <c r="A310" s="29">
        <v>2019</v>
      </c>
      <c r="B310" s="29">
        <v>500000</v>
      </c>
      <c r="C310" s="30" t="s">
        <v>81</v>
      </c>
      <c r="D310" s="25">
        <v>1</v>
      </c>
      <c r="E310" s="25">
        <v>0</v>
      </c>
      <c r="F310" s="25">
        <v>0</v>
      </c>
      <c r="G310" s="25">
        <v>0</v>
      </c>
      <c r="H310" s="19">
        <v>55.2</v>
      </c>
      <c r="I310" s="19">
        <v>44.8</v>
      </c>
      <c r="J310" s="25">
        <v>1.9</v>
      </c>
      <c r="K310" s="25">
        <v>19.3</v>
      </c>
      <c r="L310" s="25">
        <f t="shared" si="41"/>
        <v>21.2</v>
      </c>
      <c r="M310" s="25">
        <v>32.6</v>
      </c>
      <c r="N310" s="25">
        <v>20.5</v>
      </c>
      <c r="O310" s="25">
        <v>14.5</v>
      </c>
      <c r="P310" s="25">
        <f t="shared" si="42"/>
        <v>67.6</v>
      </c>
      <c r="Q310" s="25">
        <v>10.1</v>
      </c>
      <c r="R310" s="19">
        <v>1</v>
      </c>
      <c r="S310" s="19">
        <f t="shared" si="43"/>
        <v>11.1</v>
      </c>
      <c r="T310" s="19">
        <v>381.48</v>
      </c>
      <c r="U310" s="19">
        <f t="shared" si="44"/>
        <v>0.228683099942452</v>
      </c>
      <c r="V310" s="19">
        <v>434.06</v>
      </c>
      <c r="W310" s="19">
        <f t="shared" si="45"/>
        <v>0.260202858239018</v>
      </c>
      <c r="X310" s="19">
        <v>852.62</v>
      </c>
      <c r="Y310" s="14">
        <f t="shared" si="46"/>
        <v>0.511114041818531</v>
      </c>
      <c r="Z310" s="14">
        <v>1668.16</v>
      </c>
      <c r="AA310" s="25">
        <v>0.7</v>
      </c>
      <c r="AB310" s="25">
        <v>3.1</v>
      </c>
      <c r="AC310" s="25">
        <v>64.5</v>
      </c>
      <c r="AD310" s="25">
        <v>6.2</v>
      </c>
      <c r="AE310" s="25">
        <v>78.7</v>
      </c>
      <c r="AF310" s="25">
        <v>21.5</v>
      </c>
      <c r="AG310" s="25">
        <v>4.7</v>
      </c>
      <c r="AH310" s="25">
        <v>20.6</v>
      </c>
      <c r="AI310" s="25">
        <v>7.6</v>
      </c>
      <c r="AJ310" s="25">
        <v>14.3</v>
      </c>
      <c r="AK310" s="25">
        <f t="shared" si="47"/>
        <v>68.7</v>
      </c>
      <c r="AL310" s="25">
        <v>22.3</v>
      </c>
      <c r="AM310" s="25">
        <v>4.5</v>
      </c>
      <c r="AN310" s="19">
        <v>1</v>
      </c>
      <c r="AO310" s="25">
        <v>2.7</v>
      </c>
      <c r="AP310" s="25">
        <f t="shared" si="48"/>
        <v>30.5</v>
      </c>
      <c r="AQ310" s="25">
        <v>4.1</v>
      </c>
      <c r="AR310" s="25">
        <v>45.6</v>
      </c>
      <c r="AS310" s="25">
        <v>20.9</v>
      </c>
      <c r="AT310" s="25">
        <v>37.7</v>
      </c>
      <c r="AU310" s="25">
        <f t="shared" si="49"/>
        <v>108.3</v>
      </c>
      <c r="AV310" s="25">
        <v>13.7</v>
      </c>
      <c r="AW310" s="19">
        <v>1127.7</v>
      </c>
      <c r="AX310" s="25">
        <v>1162.7</v>
      </c>
      <c r="AY310" s="19">
        <v>2290.4</v>
      </c>
      <c r="AZ310" s="25">
        <v>720.6</v>
      </c>
      <c r="BA310" s="25">
        <v>2551.4</v>
      </c>
      <c r="BB310" s="25">
        <v>3272.1</v>
      </c>
      <c r="BC310" s="25">
        <f t="shared" si="50"/>
        <v>0.712584956432053</v>
      </c>
    </row>
    <row r="311" ht="14" spans="1:55">
      <c r="A311" s="29">
        <v>2020</v>
      </c>
      <c r="B311" s="29">
        <v>500000</v>
      </c>
      <c r="C311" s="30" t="s">
        <v>81</v>
      </c>
      <c r="D311" s="25">
        <v>1</v>
      </c>
      <c r="E311" s="25">
        <v>0</v>
      </c>
      <c r="F311" s="25">
        <v>0</v>
      </c>
      <c r="G311" s="25">
        <v>0</v>
      </c>
      <c r="H311" s="19">
        <v>55.5</v>
      </c>
      <c r="I311" s="19">
        <v>44.5</v>
      </c>
      <c r="J311" s="25">
        <v>1.7</v>
      </c>
      <c r="K311" s="25">
        <v>21.5</v>
      </c>
      <c r="L311" s="25">
        <f t="shared" si="41"/>
        <v>23.2</v>
      </c>
      <c r="M311" s="25">
        <v>33.7</v>
      </c>
      <c r="N311" s="25">
        <v>19.1</v>
      </c>
      <c r="O311" s="25">
        <v>13.2</v>
      </c>
      <c r="P311" s="25">
        <f t="shared" si="42"/>
        <v>66</v>
      </c>
      <c r="Q311" s="25">
        <v>10.2</v>
      </c>
      <c r="R311" s="19">
        <v>0.8</v>
      </c>
      <c r="S311" s="19">
        <f t="shared" si="43"/>
        <v>11</v>
      </c>
      <c r="T311" s="19">
        <v>378</v>
      </c>
      <c r="U311" s="19">
        <f t="shared" si="44"/>
        <v>0.225536992840095</v>
      </c>
      <c r="V311" s="19">
        <v>421</v>
      </c>
      <c r="W311" s="19">
        <f t="shared" si="45"/>
        <v>0.251193317422434</v>
      </c>
      <c r="X311" s="19">
        <v>877</v>
      </c>
      <c r="Y311" s="14">
        <f t="shared" si="46"/>
        <v>0.52326968973747</v>
      </c>
      <c r="Z311" s="14">
        <v>1676</v>
      </c>
      <c r="AA311" s="25">
        <v>0.4</v>
      </c>
      <c r="AB311" s="25">
        <v>3</v>
      </c>
      <c r="AC311" s="25">
        <v>67.1</v>
      </c>
      <c r="AD311" s="25">
        <v>6.2</v>
      </c>
      <c r="AE311" s="25">
        <v>71.2</v>
      </c>
      <c r="AF311" s="25">
        <v>21.3</v>
      </c>
      <c r="AG311" s="25">
        <v>5.9</v>
      </c>
      <c r="AH311" s="25">
        <v>28</v>
      </c>
      <c r="AI311" s="25">
        <v>7.7</v>
      </c>
      <c r="AJ311" s="25">
        <v>12.3</v>
      </c>
      <c r="AK311" s="25">
        <f t="shared" si="47"/>
        <v>75.2</v>
      </c>
      <c r="AL311" s="25">
        <v>19</v>
      </c>
      <c r="AM311" s="25">
        <v>4.2</v>
      </c>
      <c r="AN311" s="19">
        <v>0.8</v>
      </c>
      <c r="AO311" s="25">
        <v>2.7</v>
      </c>
      <c r="AP311" s="25">
        <f t="shared" si="48"/>
        <v>26.7</v>
      </c>
      <c r="AQ311" s="25">
        <v>3.8</v>
      </c>
      <c r="AR311" s="25">
        <v>41.4</v>
      </c>
      <c r="AS311" s="25">
        <v>21.5</v>
      </c>
      <c r="AT311" s="25">
        <v>39.3</v>
      </c>
      <c r="AU311" s="25">
        <f t="shared" si="49"/>
        <v>106</v>
      </c>
      <c r="AV311" s="25">
        <v>14.9</v>
      </c>
      <c r="AW311" s="19">
        <v>1203.4</v>
      </c>
      <c r="AX311" s="25">
        <v>1166.8</v>
      </c>
      <c r="AY311" s="19">
        <v>2370.2</v>
      </c>
      <c r="AZ311" s="25">
        <v>767</v>
      </c>
      <c r="BA311" s="25">
        <v>2499.8</v>
      </c>
      <c r="BB311" s="25">
        <v>3266.7</v>
      </c>
      <c r="BC311" s="25">
        <f t="shared" si="50"/>
        <v>0.742514389952424</v>
      </c>
    </row>
    <row r="312" ht="14" spans="1:55">
      <c r="A312" s="29">
        <v>2021</v>
      </c>
      <c r="B312" s="29">
        <v>500000</v>
      </c>
      <c r="C312" s="30" t="s">
        <v>81</v>
      </c>
      <c r="D312" s="25">
        <v>1</v>
      </c>
      <c r="E312" s="25">
        <v>0</v>
      </c>
      <c r="F312" s="25">
        <v>0</v>
      </c>
      <c r="G312" s="25">
        <v>0</v>
      </c>
      <c r="H312" s="19">
        <v>56.145</v>
      </c>
      <c r="I312" s="19">
        <v>43.855</v>
      </c>
      <c r="J312" s="25">
        <v>1.623</v>
      </c>
      <c r="K312" s="25">
        <v>21.964</v>
      </c>
      <c r="L312" s="25">
        <f t="shared" si="41"/>
        <v>23.587</v>
      </c>
      <c r="M312" s="25">
        <v>34.509</v>
      </c>
      <c r="N312" s="25">
        <v>18.131</v>
      </c>
      <c r="O312" s="25">
        <v>12.263</v>
      </c>
      <c r="P312" s="25">
        <f t="shared" si="42"/>
        <v>64.903</v>
      </c>
      <c r="Q312" s="25">
        <v>10.504</v>
      </c>
      <c r="R312" s="19">
        <v>1.006</v>
      </c>
      <c r="S312" s="19">
        <f t="shared" si="43"/>
        <v>11.51</v>
      </c>
      <c r="T312" s="19">
        <v>366</v>
      </c>
      <c r="U312" s="19">
        <f t="shared" si="44"/>
        <v>0.219424460431655</v>
      </c>
      <c r="V312" s="19">
        <v>427</v>
      </c>
      <c r="W312" s="19">
        <f t="shared" si="45"/>
        <v>0.25599520383693</v>
      </c>
      <c r="X312" s="19">
        <v>875</v>
      </c>
      <c r="Y312" s="14">
        <f t="shared" si="46"/>
        <v>0.524580335731415</v>
      </c>
      <c r="Z312" s="14">
        <v>1668</v>
      </c>
      <c r="AA312" s="25">
        <v>0.4</v>
      </c>
      <c r="AB312" s="25">
        <v>0.8</v>
      </c>
      <c r="AC312" s="25">
        <v>66.7</v>
      </c>
      <c r="AD312" s="25">
        <v>6.4</v>
      </c>
      <c r="AE312" s="25">
        <v>66.3</v>
      </c>
      <c r="AF312" s="25">
        <v>21.2</v>
      </c>
      <c r="AG312" s="25">
        <v>5.7</v>
      </c>
      <c r="AH312" s="25">
        <v>22.2</v>
      </c>
      <c r="AI312" s="25">
        <v>8.2</v>
      </c>
      <c r="AJ312" s="25">
        <v>13.2</v>
      </c>
      <c r="AK312" s="25">
        <f t="shared" si="47"/>
        <v>70.5</v>
      </c>
      <c r="AL312" s="25">
        <v>17.7</v>
      </c>
      <c r="AM312" s="25">
        <v>4</v>
      </c>
      <c r="AN312" s="19">
        <v>0.9</v>
      </c>
      <c r="AO312" s="25">
        <v>2.7</v>
      </c>
      <c r="AP312" s="25">
        <f t="shared" si="48"/>
        <v>25.3</v>
      </c>
      <c r="AQ312" s="25">
        <v>3.8</v>
      </c>
      <c r="AR312" s="25">
        <v>42.4</v>
      </c>
      <c r="AS312" s="25">
        <v>22.4</v>
      </c>
      <c r="AT312" s="25">
        <v>38</v>
      </c>
      <c r="AU312" s="25">
        <f t="shared" si="49"/>
        <v>106.6</v>
      </c>
      <c r="AV312" s="25">
        <v>15.4</v>
      </c>
      <c r="AW312" s="19">
        <v>1354.243</v>
      </c>
      <c r="AX312" s="25">
        <v>1139.925</v>
      </c>
      <c r="AY312" s="19">
        <v>2494.168</v>
      </c>
      <c r="AZ312" s="25">
        <v>795.854</v>
      </c>
      <c r="BA312" s="25">
        <v>2465.875</v>
      </c>
      <c r="BB312" s="25">
        <v>3261.729</v>
      </c>
      <c r="BC312" s="25">
        <f t="shared" si="50"/>
        <v>0.786961411343068</v>
      </c>
    </row>
    <row r="313" ht="14" spans="1:55">
      <c r="A313" s="25">
        <v>2022</v>
      </c>
      <c r="B313" s="25">
        <v>500000</v>
      </c>
      <c r="C313" s="45" t="s">
        <v>81</v>
      </c>
      <c r="D313" s="25">
        <v>1</v>
      </c>
      <c r="E313" s="25">
        <v>0</v>
      </c>
      <c r="F313" s="25">
        <v>0</v>
      </c>
      <c r="G313" s="25">
        <v>0</v>
      </c>
      <c r="H313" s="19">
        <v>55.906</v>
      </c>
      <c r="I313" s="19">
        <v>44.094</v>
      </c>
      <c r="J313" s="25">
        <v>1.451</v>
      </c>
      <c r="K313" s="25">
        <v>24.842</v>
      </c>
      <c r="L313" s="25">
        <f t="shared" si="41"/>
        <v>26.293</v>
      </c>
      <c r="M313" s="25">
        <v>32.237</v>
      </c>
      <c r="N313" s="25">
        <v>16.811</v>
      </c>
      <c r="O313" s="25">
        <v>12.59</v>
      </c>
      <c r="P313" s="25">
        <f t="shared" si="42"/>
        <v>61.638</v>
      </c>
      <c r="Q313" s="25">
        <v>11.017</v>
      </c>
      <c r="R313" s="19">
        <v>1.052</v>
      </c>
      <c r="S313" s="19">
        <f t="shared" si="43"/>
        <v>12.069</v>
      </c>
      <c r="T313" s="19">
        <v>389</v>
      </c>
      <c r="U313" s="19">
        <f t="shared" si="44"/>
        <v>0.23661800486618</v>
      </c>
      <c r="V313" s="19">
        <v>414</v>
      </c>
      <c r="W313" s="19">
        <f t="shared" si="45"/>
        <v>0.251824817518248</v>
      </c>
      <c r="X313" s="19">
        <v>841</v>
      </c>
      <c r="Y313" s="14">
        <f t="shared" si="46"/>
        <v>0.511557177615572</v>
      </c>
      <c r="Z313" s="14">
        <v>1644</v>
      </c>
      <c r="AA313" s="25">
        <v>0.5</v>
      </c>
      <c r="AB313" s="25">
        <v>0.7</v>
      </c>
      <c r="AC313" s="25">
        <v>65.2</v>
      </c>
      <c r="AD313" s="25">
        <v>6.4</v>
      </c>
      <c r="AE313" s="25">
        <v>58.9</v>
      </c>
      <c r="AF313" s="25">
        <v>20</v>
      </c>
      <c r="AG313" s="25">
        <v>6.1</v>
      </c>
      <c r="AH313" s="25">
        <v>20.1</v>
      </c>
      <c r="AI313" s="25">
        <v>8.4</v>
      </c>
      <c r="AJ313" s="25">
        <v>14.5</v>
      </c>
      <c r="AK313" s="25">
        <f t="shared" si="47"/>
        <v>69.1</v>
      </c>
      <c r="AL313" s="25">
        <v>15.6</v>
      </c>
      <c r="AM313" s="25">
        <v>3.5</v>
      </c>
      <c r="AN313" s="19">
        <v>1</v>
      </c>
      <c r="AO313" s="25">
        <v>2.6</v>
      </c>
      <c r="AP313" s="25">
        <f t="shared" si="48"/>
        <v>22.7</v>
      </c>
      <c r="AQ313" s="25">
        <v>3.9</v>
      </c>
      <c r="AR313" s="25">
        <v>42.8</v>
      </c>
      <c r="AS313" s="25">
        <v>22.5</v>
      </c>
      <c r="AT313" s="25">
        <v>37.6</v>
      </c>
      <c r="AU313" s="25">
        <f t="shared" si="49"/>
        <v>106.8</v>
      </c>
      <c r="AV313" s="25">
        <v>15</v>
      </c>
      <c r="AW313" s="19">
        <v>1431.761</v>
      </c>
      <c r="AX313" s="25">
        <v>1140.318</v>
      </c>
      <c r="AY313" s="19">
        <v>2572.079</v>
      </c>
      <c r="AZ313" s="25">
        <v>808.452</v>
      </c>
      <c r="BA313" s="25">
        <v>2398.179</v>
      </c>
      <c r="BB313" s="25">
        <v>3206.63</v>
      </c>
      <c r="BC313" s="25">
        <f t="shared" si="50"/>
        <v>0.808774032791253</v>
      </c>
    </row>
  </sheetData>
  <autoFilter xmlns:etc="http://www.wps.cn/officeDocument/2017/etCustomData" ref="A3:BB313" etc:filterBottomFollowUsedRange="0">
    <sortState ref="A3:BB313">
      <sortCondition ref="D2:D312"/>
    </sortState>
    <extLst/>
  </autoFilter>
  <mergeCells count="10">
    <mergeCell ref="AA1:AV1"/>
    <mergeCell ref="AB2:AE2"/>
    <mergeCell ref="AF2:AK2"/>
    <mergeCell ref="AL2:AP2"/>
    <mergeCell ref="AQ2:AU2"/>
    <mergeCell ref="T1:Z2"/>
    <mergeCell ref="J1:S2"/>
    <mergeCell ref="H1:I2"/>
    <mergeCell ref="D1:G2"/>
    <mergeCell ref="AW1:BB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3"/>
  <sheetViews>
    <sheetView zoomScale="84" zoomScaleNormal="84" topLeftCell="J1" workbookViewId="0">
      <selection activeCell="X2" sqref="X2"/>
    </sheetView>
  </sheetViews>
  <sheetFormatPr defaultColWidth="9.23076923076923" defaultRowHeight="16.8"/>
  <cols>
    <col min="1" max="12" width="9.23076923076923" style="13"/>
    <col min="13" max="13" width="12.9230769230769" style="13"/>
    <col min="14" max="14" width="11.4615384615385" style="14"/>
    <col min="15" max="15" width="12.9230769230769" style="13"/>
    <col min="16" max="16" width="11.4615384615385" style="14"/>
    <col min="17" max="17" width="12.9230769230769" style="13"/>
    <col min="18" max="18" width="11.4615384615385" style="14"/>
    <col min="19" max="19" width="12.6923076923077" style="14"/>
    <col min="20" max="23" width="9.23076923076923" style="13"/>
    <col min="24" max="24" width="10.6923076923077" style="13"/>
    <col min="25" max="16384" width="9.23076923076923" style="13"/>
  </cols>
  <sheetData>
    <row r="1" ht="68" spans="1:25">
      <c r="A1" s="3"/>
      <c r="B1" s="3"/>
      <c r="C1" s="3"/>
      <c r="D1" s="3" t="s">
        <v>0</v>
      </c>
      <c r="E1" s="3"/>
      <c r="F1" s="3"/>
      <c r="G1" s="3"/>
      <c r="H1" s="3" t="s">
        <v>1</v>
      </c>
      <c r="I1" s="3"/>
      <c r="J1" s="3" t="s">
        <v>96</v>
      </c>
      <c r="K1" s="3"/>
      <c r="L1" s="3"/>
      <c r="M1" s="17" t="s">
        <v>3</v>
      </c>
      <c r="N1" s="18"/>
      <c r="O1" s="18"/>
      <c r="P1" s="18"/>
      <c r="Q1" s="18"/>
      <c r="R1" s="18"/>
      <c r="S1" s="20"/>
      <c r="T1" s="17" t="s">
        <v>97</v>
      </c>
      <c r="U1" s="21"/>
      <c r="V1" s="21"/>
      <c r="W1" s="21"/>
      <c r="X1" s="22" t="s">
        <v>5</v>
      </c>
      <c r="Y1" s="12"/>
    </row>
    <row r="2" ht="168" spans="1:24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88</v>
      </c>
      <c r="K2" s="3" t="s">
        <v>89</v>
      </c>
      <c r="L2" s="3" t="s">
        <v>90</v>
      </c>
      <c r="M2" s="3" t="s">
        <v>91</v>
      </c>
      <c r="N2" s="7" t="s">
        <v>22</v>
      </c>
      <c r="O2" s="3" t="s">
        <v>92</v>
      </c>
      <c r="P2" s="7" t="s">
        <v>23</v>
      </c>
      <c r="Q2" s="3" t="s">
        <v>93</v>
      </c>
      <c r="R2" s="7" t="s">
        <v>24</v>
      </c>
      <c r="S2" s="7" t="s">
        <v>25</v>
      </c>
      <c r="T2" s="3" t="s">
        <v>98</v>
      </c>
      <c r="U2" s="3" t="s">
        <v>99</v>
      </c>
      <c r="V2" s="3" t="s">
        <v>100</v>
      </c>
      <c r="W2" s="3" t="s">
        <v>101</v>
      </c>
      <c r="X2" s="23" t="s">
        <v>102</v>
      </c>
    </row>
    <row r="3" s="13" customFormat="1" ht="34" spans="1:24">
      <c r="A3" s="15"/>
      <c r="G3" s="16"/>
      <c r="H3" s="4" t="s">
        <v>103</v>
      </c>
      <c r="I3" s="4" t="s">
        <v>104</v>
      </c>
      <c r="J3" s="4" t="s">
        <v>105</v>
      </c>
      <c r="K3" s="4" t="s">
        <v>106</v>
      </c>
      <c r="L3" s="4" t="s">
        <v>107</v>
      </c>
      <c r="M3" s="4" t="s">
        <v>108</v>
      </c>
      <c r="N3" s="4" t="s">
        <v>109</v>
      </c>
      <c r="O3" s="4" t="s">
        <v>110</v>
      </c>
      <c r="P3" s="4" t="s">
        <v>111</v>
      </c>
      <c r="Q3" s="4" t="s">
        <v>112</v>
      </c>
      <c r="R3" s="4" t="s">
        <v>113</v>
      </c>
      <c r="S3" s="3" t="s">
        <v>114</v>
      </c>
      <c r="T3" s="4" t="s">
        <v>115</v>
      </c>
      <c r="U3" s="4" t="s">
        <v>116</v>
      </c>
      <c r="V3" s="4" t="s">
        <v>117</v>
      </c>
      <c r="W3" s="4" t="s">
        <v>118</v>
      </c>
      <c r="X3" s="3" t="s">
        <v>119</v>
      </c>
    </row>
    <row r="4" ht="17" spans="1:24">
      <c r="A4" s="13">
        <v>2013</v>
      </c>
      <c r="B4" s="13">
        <v>340000</v>
      </c>
      <c r="C4" s="13" t="s">
        <v>51</v>
      </c>
      <c r="D4" s="13">
        <v>0</v>
      </c>
      <c r="E4" s="13">
        <v>0</v>
      </c>
      <c r="F4" s="13">
        <v>1</v>
      </c>
      <c r="G4" s="13">
        <v>0</v>
      </c>
      <c r="H4" s="13">
        <v>48.7419999999984</v>
      </c>
      <c r="I4" s="13">
        <v>51.2580000000016</v>
      </c>
      <c r="J4" s="13">
        <v>28.474</v>
      </c>
      <c r="K4" s="13">
        <v>67.468</v>
      </c>
      <c r="L4" s="13">
        <v>4.058</v>
      </c>
      <c r="M4" s="13">
        <v>0.343717112186908</v>
      </c>
      <c r="N4" s="19">
        <v>1469.7</v>
      </c>
      <c r="O4" s="13">
        <v>0.2734395098108</v>
      </c>
      <c r="P4" s="19">
        <v>1169.2</v>
      </c>
      <c r="Q4" s="13">
        <v>0.382843378002292</v>
      </c>
      <c r="R4" s="19">
        <v>1637</v>
      </c>
      <c r="S4" s="14">
        <v>4275.9</v>
      </c>
      <c r="T4" s="13">
        <v>60.8</v>
      </c>
      <c r="U4" s="13">
        <v>32.7</v>
      </c>
      <c r="V4" s="13">
        <v>146.8</v>
      </c>
      <c r="W4" s="13">
        <v>9.4</v>
      </c>
      <c r="X4" s="13">
        <v>0.628011030270578</v>
      </c>
    </row>
    <row r="5" ht="17" spans="1:24">
      <c r="A5" s="13">
        <v>2014</v>
      </c>
      <c r="B5" s="13">
        <v>340000</v>
      </c>
      <c r="C5" s="13" t="s">
        <v>51</v>
      </c>
      <c r="D5" s="13">
        <v>0</v>
      </c>
      <c r="E5" s="13">
        <v>0</v>
      </c>
      <c r="F5" s="13">
        <v>1</v>
      </c>
      <c r="G5" s="13">
        <v>0</v>
      </c>
      <c r="H5" s="13">
        <v>53.9</v>
      </c>
      <c r="I5" s="13">
        <v>46.1</v>
      </c>
      <c r="J5" s="13">
        <v>25.6</v>
      </c>
      <c r="K5" s="13">
        <v>69.6</v>
      </c>
      <c r="L5" s="13">
        <v>4.8</v>
      </c>
      <c r="M5" s="13">
        <v>0.328299698445836</v>
      </c>
      <c r="N5" s="19">
        <v>1415.3</v>
      </c>
      <c r="O5" s="13">
        <v>0.280932498260264</v>
      </c>
      <c r="P5" s="19">
        <v>1211.1</v>
      </c>
      <c r="Q5" s="13">
        <v>0.390767803293899</v>
      </c>
      <c r="R5" s="19">
        <v>1684.6</v>
      </c>
      <c r="S5" s="14">
        <v>4311</v>
      </c>
      <c r="T5" s="13">
        <v>62.4</v>
      </c>
      <c r="U5" s="13">
        <v>33.7</v>
      </c>
      <c r="V5" s="13">
        <v>148.9</v>
      </c>
      <c r="W5" s="13">
        <v>10.4</v>
      </c>
      <c r="X5" s="13">
        <v>0.62028013154263</v>
      </c>
    </row>
    <row r="6" ht="17" spans="1:24">
      <c r="A6" s="13">
        <v>2015</v>
      </c>
      <c r="B6" s="13">
        <v>340000</v>
      </c>
      <c r="C6" s="13" t="s">
        <v>51</v>
      </c>
      <c r="D6" s="13">
        <v>0</v>
      </c>
      <c r="E6" s="13">
        <v>0</v>
      </c>
      <c r="F6" s="13">
        <v>1</v>
      </c>
      <c r="G6" s="13">
        <v>0</v>
      </c>
      <c r="H6" s="13">
        <v>59.058</v>
      </c>
      <c r="I6" s="13">
        <v>40.942</v>
      </c>
      <c r="J6" s="13">
        <v>27.989</v>
      </c>
      <c r="K6" s="13">
        <v>61.351</v>
      </c>
      <c r="L6" s="13">
        <v>5.949</v>
      </c>
      <c r="M6" s="13">
        <v>0.321549480666037</v>
      </c>
      <c r="N6" s="19">
        <v>1396.2</v>
      </c>
      <c r="O6" s="13">
        <v>0.283756707583888</v>
      </c>
      <c r="P6" s="19">
        <v>1232.1</v>
      </c>
      <c r="Q6" s="13">
        <v>0.394693811750075</v>
      </c>
      <c r="R6" s="19">
        <v>1713.8</v>
      </c>
      <c r="S6" s="14">
        <v>4342.1</v>
      </c>
      <c r="T6" s="13">
        <v>64.6</v>
      </c>
      <c r="U6" s="13">
        <v>33.7</v>
      </c>
      <c r="V6" s="13">
        <v>150</v>
      </c>
      <c r="W6" s="13">
        <v>10.4</v>
      </c>
      <c r="X6" s="13">
        <v>0.640860115586252</v>
      </c>
    </row>
    <row r="7" ht="17" spans="1:24">
      <c r="A7" s="13">
        <v>2016</v>
      </c>
      <c r="B7" s="13">
        <v>340000</v>
      </c>
      <c r="C7" s="13" t="s">
        <v>51</v>
      </c>
      <c r="D7" s="13">
        <v>0</v>
      </c>
      <c r="E7" s="13">
        <v>0</v>
      </c>
      <c r="F7" s="13">
        <v>1</v>
      </c>
      <c r="G7" s="13">
        <v>0</v>
      </c>
      <c r="H7" s="13">
        <v>56.938</v>
      </c>
      <c r="I7" s="13">
        <v>43.062</v>
      </c>
      <c r="J7" s="13">
        <v>27.448</v>
      </c>
      <c r="K7" s="13">
        <v>62.118</v>
      </c>
      <c r="L7" s="13">
        <v>6.096</v>
      </c>
      <c r="M7" s="13">
        <v>0.317200110051357</v>
      </c>
      <c r="N7" s="19">
        <v>1383.5</v>
      </c>
      <c r="O7" s="13">
        <v>0.285560344827586</v>
      </c>
      <c r="P7" s="19">
        <v>1245.5</v>
      </c>
      <c r="Q7" s="13">
        <v>0.397239545121056</v>
      </c>
      <c r="R7" s="19">
        <v>1732.6</v>
      </c>
      <c r="S7" s="14">
        <v>4361.6</v>
      </c>
      <c r="T7" s="13">
        <v>68.9</v>
      </c>
      <c r="U7" s="13">
        <v>33.5</v>
      </c>
      <c r="V7" s="13">
        <v>152.3</v>
      </c>
      <c r="W7" s="13">
        <v>10.5</v>
      </c>
      <c r="X7" s="13">
        <v>0.688573556840041</v>
      </c>
    </row>
    <row r="8" ht="17" spans="1:24">
      <c r="A8" s="13">
        <v>2017</v>
      </c>
      <c r="B8" s="13">
        <v>340000</v>
      </c>
      <c r="C8" s="13" t="s">
        <v>51</v>
      </c>
      <c r="D8" s="13">
        <v>0</v>
      </c>
      <c r="E8" s="13">
        <v>0</v>
      </c>
      <c r="F8" s="13">
        <v>1</v>
      </c>
      <c r="G8" s="13">
        <v>0</v>
      </c>
      <c r="H8" s="13">
        <v>55.112</v>
      </c>
      <c r="I8" s="13">
        <v>44.888</v>
      </c>
      <c r="J8" s="13">
        <v>27.132</v>
      </c>
      <c r="K8" s="13">
        <v>63.028</v>
      </c>
      <c r="L8" s="13">
        <v>5.638</v>
      </c>
      <c r="M8" s="13">
        <v>0.311405011535211</v>
      </c>
      <c r="N8" s="19">
        <v>1363.3</v>
      </c>
      <c r="O8" s="13">
        <v>0.287695013590991</v>
      </c>
      <c r="P8" s="19">
        <v>1259.5</v>
      </c>
      <c r="Q8" s="13">
        <v>0.400899974873798</v>
      </c>
      <c r="R8" s="19">
        <v>1755.1</v>
      </c>
      <c r="S8" s="14">
        <v>4377.9</v>
      </c>
      <c r="T8" s="13">
        <v>72.4</v>
      </c>
      <c r="U8" s="13">
        <v>32.3</v>
      </c>
      <c r="V8" s="13">
        <v>153.1</v>
      </c>
      <c r="W8" s="13">
        <v>11.2</v>
      </c>
      <c r="X8" s="13">
        <v>0.622845206075336</v>
      </c>
    </row>
    <row r="9" ht="17" spans="1:24">
      <c r="A9" s="13">
        <v>2018</v>
      </c>
      <c r="B9" s="13">
        <v>340000</v>
      </c>
      <c r="C9" s="13" t="s">
        <v>51</v>
      </c>
      <c r="D9" s="13">
        <v>0</v>
      </c>
      <c r="E9" s="13">
        <v>0</v>
      </c>
      <c r="F9" s="13">
        <v>1</v>
      </c>
      <c r="G9" s="13">
        <v>0</v>
      </c>
      <c r="H9" s="13">
        <v>55.331</v>
      </c>
      <c r="I9" s="13">
        <v>44.669</v>
      </c>
      <c r="J9" s="13">
        <v>25.116</v>
      </c>
      <c r="K9" s="13">
        <v>63.6</v>
      </c>
      <c r="L9" s="13">
        <v>6.693</v>
      </c>
      <c r="M9" s="13">
        <v>0.308667594007251</v>
      </c>
      <c r="N9" s="19">
        <v>1353.6</v>
      </c>
      <c r="O9" s="13">
        <v>0.288076072332566</v>
      </c>
      <c r="P9" s="19">
        <v>1263.3</v>
      </c>
      <c r="Q9" s="13">
        <v>0.403256333660183</v>
      </c>
      <c r="R9" s="19">
        <v>1768.4</v>
      </c>
      <c r="S9" s="14">
        <v>4385.3</v>
      </c>
      <c r="T9" s="13">
        <v>76</v>
      </c>
      <c r="U9" s="13">
        <v>34</v>
      </c>
      <c r="V9" s="13">
        <v>156.3</v>
      </c>
      <c r="W9" s="13">
        <v>14.7</v>
      </c>
      <c r="X9" s="13">
        <v>0.386597495529094</v>
      </c>
    </row>
    <row r="10" ht="17" spans="1:24">
      <c r="A10" s="13">
        <v>2019</v>
      </c>
      <c r="B10" s="13">
        <v>340000</v>
      </c>
      <c r="C10" s="13" t="s">
        <v>51</v>
      </c>
      <c r="D10" s="13">
        <v>0</v>
      </c>
      <c r="E10" s="13">
        <v>0</v>
      </c>
      <c r="F10" s="13">
        <v>1</v>
      </c>
      <c r="G10" s="13">
        <v>0</v>
      </c>
      <c r="H10" s="13">
        <v>56.5</v>
      </c>
      <c r="I10" s="13">
        <v>43.5</v>
      </c>
      <c r="J10" s="13">
        <v>24.7</v>
      </c>
      <c r="K10" s="13">
        <v>66.9</v>
      </c>
      <c r="L10" s="13">
        <v>8.5</v>
      </c>
      <c r="M10" s="13">
        <v>0.307230839416058</v>
      </c>
      <c r="N10" s="19">
        <v>1346.9</v>
      </c>
      <c r="O10" s="13">
        <v>0.287659671532847</v>
      </c>
      <c r="P10" s="19">
        <v>1261.1</v>
      </c>
      <c r="Q10" s="13">
        <v>0.405132299270073</v>
      </c>
      <c r="R10" s="19">
        <v>1776.1</v>
      </c>
      <c r="S10" s="14">
        <v>4384</v>
      </c>
      <c r="T10" s="13">
        <v>85.1</v>
      </c>
      <c r="U10" s="13">
        <v>38.7</v>
      </c>
      <c r="V10" s="13">
        <v>173</v>
      </c>
      <c r="W10" s="13">
        <v>17.6</v>
      </c>
      <c r="X10" s="13">
        <v>0.389841979262323</v>
      </c>
    </row>
    <row r="11" ht="17" spans="1:24">
      <c r="A11" s="13">
        <v>2020</v>
      </c>
      <c r="B11" s="13">
        <v>340000</v>
      </c>
      <c r="C11" s="13" t="s">
        <v>51</v>
      </c>
      <c r="D11" s="13">
        <v>0</v>
      </c>
      <c r="E11" s="13">
        <v>0</v>
      </c>
      <c r="F11" s="13">
        <v>1</v>
      </c>
      <c r="G11" s="13">
        <v>0</v>
      </c>
      <c r="H11" s="13">
        <v>56.6</v>
      </c>
      <c r="I11" s="13">
        <v>43.4</v>
      </c>
      <c r="J11" s="13">
        <v>24.3</v>
      </c>
      <c r="K11" s="13">
        <v>67.4</v>
      </c>
      <c r="L11" s="13">
        <v>8.3</v>
      </c>
      <c r="M11" s="13">
        <v>0.251310514955288</v>
      </c>
      <c r="N11" s="19">
        <v>815</v>
      </c>
      <c r="O11" s="13">
        <v>0.314523589269195</v>
      </c>
      <c r="P11" s="19">
        <v>1020</v>
      </c>
      <c r="Q11" s="13">
        <v>0.434165895775517</v>
      </c>
      <c r="R11" s="19">
        <v>1408</v>
      </c>
      <c r="S11" s="14">
        <v>3243</v>
      </c>
      <c r="T11" s="13">
        <v>87.7</v>
      </c>
      <c r="U11" s="13">
        <v>34.8</v>
      </c>
      <c r="V11" s="13">
        <v>167.8</v>
      </c>
      <c r="W11" s="13">
        <v>15.6</v>
      </c>
      <c r="X11" s="13">
        <v>0.410807048492369</v>
      </c>
    </row>
    <row r="12" ht="17" spans="1:24">
      <c r="A12" s="13">
        <v>2021</v>
      </c>
      <c r="B12" s="13">
        <v>340000</v>
      </c>
      <c r="C12" s="13" t="s">
        <v>51</v>
      </c>
      <c r="D12" s="13">
        <v>0</v>
      </c>
      <c r="E12" s="13">
        <v>0</v>
      </c>
      <c r="F12" s="13">
        <v>1</v>
      </c>
      <c r="G12" s="13">
        <v>0</v>
      </c>
      <c r="H12" s="13">
        <v>58.293</v>
      </c>
      <c r="I12" s="13">
        <v>41.707</v>
      </c>
      <c r="J12" s="13">
        <v>24.247</v>
      </c>
      <c r="K12" s="13">
        <v>66.392</v>
      </c>
      <c r="L12" s="13">
        <v>9.36</v>
      </c>
      <c r="M12" s="13">
        <v>0.242301710730949</v>
      </c>
      <c r="N12" s="19">
        <v>779</v>
      </c>
      <c r="O12" s="13">
        <v>0.319129082426128</v>
      </c>
      <c r="P12" s="19">
        <v>1026</v>
      </c>
      <c r="Q12" s="13">
        <v>0.438569206842924</v>
      </c>
      <c r="R12" s="19">
        <v>1410</v>
      </c>
      <c r="S12" s="14">
        <v>3215</v>
      </c>
      <c r="T12" s="13">
        <v>85.2</v>
      </c>
      <c r="U12" s="13">
        <v>35.1</v>
      </c>
      <c r="V12" s="13">
        <v>172.4</v>
      </c>
      <c r="W12" s="13">
        <v>15.1</v>
      </c>
      <c r="X12" s="13">
        <v>0.43761728663054</v>
      </c>
    </row>
    <row r="13" ht="17" spans="1:24">
      <c r="A13" s="13">
        <v>2022</v>
      </c>
      <c r="B13" s="13">
        <v>340000</v>
      </c>
      <c r="C13" s="13" t="s">
        <v>51</v>
      </c>
      <c r="D13" s="13">
        <v>0</v>
      </c>
      <c r="E13" s="13">
        <v>0</v>
      </c>
      <c r="F13" s="13">
        <v>1</v>
      </c>
      <c r="G13" s="13">
        <v>0</v>
      </c>
      <c r="H13" s="13">
        <v>57.941</v>
      </c>
      <c r="I13" s="13">
        <v>42.059</v>
      </c>
      <c r="J13" s="13">
        <v>26.889</v>
      </c>
      <c r="K13" s="13">
        <v>63.381</v>
      </c>
      <c r="L13" s="13">
        <v>9.73</v>
      </c>
      <c r="M13" s="13">
        <v>0.248740554156171</v>
      </c>
      <c r="N13" s="19">
        <v>790</v>
      </c>
      <c r="O13" s="13">
        <v>0.321158690176322</v>
      </c>
      <c r="P13" s="19">
        <v>1020</v>
      </c>
      <c r="Q13" s="13">
        <v>0.430100755667506</v>
      </c>
      <c r="R13" s="19">
        <v>1366</v>
      </c>
      <c r="S13" s="14">
        <v>3176</v>
      </c>
      <c r="T13" s="13">
        <v>90.5</v>
      </c>
      <c r="U13" s="13">
        <v>36.4</v>
      </c>
      <c r="V13" s="13">
        <v>175.4</v>
      </c>
      <c r="W13" s="13">
        <v>15.3</v>
      </c>
      <c r="X13" s="13">
        <v>0.476676886161316</v>
      </c>
    </row>
    <row r="14" ht="17" spans="1:24">
      <c r="A14" s="13">
        <v>2013</v>
      </c>
      <c r="B14" s="13">
        <v>110000</v>
      </c>
      <c r="C14" s="13" t="s">
        <v>52</v>
      </c>
      <c r="D14" s="13">
        <v>0</v>
      </c>
      <c r="E14" s="13">
        <v>1</v>
      </c>
      <c r="F14" s="13">
        <v>0</v>
      </c>
      <c r="G14" s="13">
        <v>0</v>
      </c>
      <c r="H14" s="13">
        <v>58.4879999999998</v>
      </c>
      <c r="I14" s="13">
        <v>41.5120000000002</v>
      </c>
      <c r="J14" s="13">
        <v>4.083</v>
      </c>
      <c r="K14" s="13">
        <v>62.799</v>
      </c>
      <c r="L14" s="13">
        <v>33.117</v>
      </c>
      <c r="M14" s="13">
        <v>0.0485539000876424</v>
      </c>
      <c r="N14" s="19">
        <v>55.4</v>
      </c>
      <c r="O14" s="13">
        <v>0.184837861524978</v>
      </c>
      <c r="P14" s="19">
        <v>210.9</v>
      </c>
      <c r="Q14" s="13">
        <v>0.76660823838738</v>
      </c>
      <c r="R14" s="19">
        <v>874.7</v>
      </c>
      <c r="S14" s="14">
        <v>1141</v>
      </c>
      <c r="T14" s="13">
        <v>282.4</v>
      </c>
      <c r="U14" s="13">
        <v>127</v>
      </c>
      <c r="V14" s="13">
        <v>126.2</v>
      </c>
      <c r="W14" s="13">
        <v>40.6</v>
      </c>
      <c r="X14" s="13">
        <v>1.77358461552165</v>
      </c>
    </row>
    <row r="15" ht="17" spans="1:24">
      <c r="A15" s="13">
        <v>2014</v>
      </c>
      <c r="B15" s="13">
        <v>110000</v>
      </c>
      <c r="C15" s="13" t="s">
        <v>52</v>
      </c>
      <c r="D15" s="13">
        <v>0</v>
      </c>
      <c r="E15" s="13">
        <v>1</v>
      </c>
      <c r="F15" s="13">
        <v>0</v>
      </c>
      <c r="G15" s="13">
        <v>0</v>
      </c>
      <c r="H15" s="13">
        <v>59.5</v>
      </c>
      <c r="I15" s="13">
        <v>40.5</v>
      </c>
      <c r="J15" s="13">
        <v>3.3</v>
      </c>
      <c r="K15" s="13">
        <v>59.3</v>
      </c>
      <c r="L15" s="13">
        <v>37.4</v>
      </c>
      <c r="M15" s="13">
        <v>0.0453099334313132</v>
      </c>
      <c r="N15" s="19">
        <v>52.41</v>
      </c>
      <c r="O15" s="13">
        <v>0.181455865825192</v>
      </c>
      <c r="P15" s="19">
        <v>209.89</v>
      </c>
      <c r="Q15" s="13">
        <v>0.773225555459497</v>
      </c>
      <c r="R15" s="19">
        <v>894.39</v>
      </c>
      <c r="S15" s="14">
        <v>1156.7</v>
      </c>
      <c r="T15" s="13">
        <v>295.1</v>
      </c>
      <c r="U15" s="13">
        <v>128.8</v>
      </c>
      <c r="V15" s="13">
        <v>127.8</v>
      </c>
      <c r="W15" s="13">
        <v>41</v>
      </c>
      <c r="X15" s="13">
        <v>1.77417126727478</v>
      </c>
    </row>
    <row r="16" ht="17" spans="1:24">
      <c r="A16" s="13">
        <v>2015</v>
      </c>
      <c r="B16" s="13">
        <v>110000</v>
      </c>
      <c r="C16" s="13" t="s">
        <v>52</v>
      </c>
      <c r="D16" s="13">
        <v>0</v>
      </c>
      <c r="E16" s="13">
        <v>1</v>
      </c>
      <c r="F16" s="13">
        <v>0</v>
      </c>
      <c r="G16" s="13">
        <v>0</v>
      </c>
      <c r="H16" s="13">
        <v>60.512</v>
      </c>
      <c r="I16" s="13">
        <v>39.488</v>
      </c>
      <c r="J16" s="13">
        <v>3.171</v>
      </c>
      <c r="K16" s="13">
        <v>54.874</v>
      </c>
      <c r="L16" s="13">
        <v>32.815</v>
      </c>
      <c r="M16" s="13">
        <v>0.0424078914088188</v>
      </c>
      <c r="N16" s="19">
        <v>50.3</v>
      </c>
      <c r="O16" s="13">
        <v>0.169294325942163</v>
      </c>
      <c r="P16" s="19">
        <v>200.8</v>
      </c>
      <c r="Q16" s="13">
        <v>0.788297782649018</v>
      </c>
      <c r="R16" s="19">
        <v>935</v>
      </c>
      <c r="S16" s="14">
        <v>1186.1</v>
      </c>
      <c r="T16" s="13">
        <v>314.6</v>
      </c>
      <c r="U16" s="13">
        <v>134.2</v>
      </c>
      <c r="V16" s="13">
        <v>131.5</v>
      </c>
      <c r="W16" s="13">
        <v>42.2</v>
      </c>
      <c r="X16" s="13">
        <v>1.77436199040272</v>
      </c>
    </row>
    <row r="17" ht="17" spans="1:24">
      <c r="A17" s="13">
        <v>2016</v>
      </c>
      <c r="B17" s="13">
        <v>110000</v>
      </c>
      <c r="C17" s="13" t="s">
        <v>52</v>
      </c>
      <c r="D17" s="13">
        <v>0</v>
      </c>
      <c r="E17" s="13">
        <v>1</v>
      </c>
      <c r="F17" s="13">
        <v>0</v>
      </c>
      <c r="G17" s="13">
        <v>0</v>
      </c>
      <c r="H17" s="13">
        <v>60.001</v>
      </c>
      <c r="I17" s="13">
        <v>39.999</v>
      </c>
      <c r="J17" s="13">
        <v>2.602</v>
      </c>
      <c r="K17" s="13">
        <v>53.815</v>
      </c>
      <c r="L17" s="13">
        <v>34.355</v>
      </c>
      <c r="M17" s="13">
        <v>0.0406524055405295</v>
      </c>
      <c r="N17" s="19">
        <v>49.6</v>
      </c>
      <c r="O17" s="13">
        <v>0.158183755429883</v>
      </c>
      <c r="P17" s="19">
        <v>193</v>
      </c>
      <c r="Q17" s="13">
        <v>0.801163839029588</v>
      </c>
      <c r="R17" s="19">
        <v>977.5</v>
      </c>
      <c r="S17" s="14">
        <v>1220.1</v>
      </c>
      <c r="T17" s="13">
        <v>327.9</v>
      </c>
      <c r="U17" s="13">
        <v>135.1</v>
      </c>
      <c r="V17" s="13">
        <v>134.5</v>
      </c>
      <c r="W17" s="13">
        <v>43.9</v>
      </c>
      <c r="X17" s="13">
        <v>1.76570477325984</v>
      </c>
    </row>
    <row r="18" ht="17" spans="1:24">
      <c r="A18" s="13">
        <v>2017</v>
      </c>
      <c r="B18" s="13">
        <v>110000</v>
      </c>
      <c r="C18" s="13" t="s">
        <v>52</v>
      </c>
      <c r="D18" s="13">
        <v>0</v>
      </c>
      <c r="E18" s="13">
        <v>1</v>
      </c>
      <c r="F18" s="13">
        <v>0</v>
      </c>
      <c r="G18" s="13">
        <v>0</v>
      </c>
      <c r="H18" s="13">
        <v>58.755</v>
      </c>
      <c r="I18" s="13">
        <v>41.245</v>
      </c>
      <c r="J18" s="13">
        <v>2.48</v>
      </c>
      <c r="K18" s="13">
        <v>51.399</v>
      </c>
      <c r="L18" s="13">
        <v>37.54</v>
      </c>
      <c r="M18" s="13">
        <v>0.0391417685983557</v>
      </c>
      <c r="N18" s="19">
        <v>48.8</v>
      </c>
      <c r="O18" s="13">
        <v>0.15465009023461</v>
      </c>
      <c r="P18" s="19">
        <v>192.81</v>
      </c>
      <c r="Q18" s="13">
        <v>0.80625626629236</v>
      </c>
      <c r="R18" s="19">
        <v>1005.2</v>
      </c>
      <c r="S18" s="14">
        <v>1246.75</v>
      </c>
      <c r="T18" s="13">
        <v>349</v>
      </c>
      <c r="U18" s="13">
        <v>135.5</v>
      </c>
      <c r="V18" s="13">
        <v>138.4</v>
      </c>
      <c r="W18" s="13">
        <v>44.3</v>
      </c>
      <c r="X18" s="13">
        <v>1.76857759063252</v>
      </c>
    </row>
    <row r="19" ht="17" spans="1:24">
      <c r="A19" s="13">
        <v>2018</v>
      </c>
      <c r="B19" s="13">
        <v>110000</v>
      </c>
      <c r="C19" s="13" t="s">
        <v>52</v>
      </c>
      <c r="D19" s="13">
        <v>0</v>
      </c>
      <c r="E19" s="13">
        <v>1</v>
      </c>
      <c r="F19" s="13">
        <v>0</v>
      </c>
      <c r="G19" s="13">
        <v>0</v>
      </c>
      <c r="H19" s="13">
        <v>58.451</v>
      </c>
      <c r="I19" s="13">
        <v>41.549</v>
      </c>
      <c r="J19" s="13">
        <v>2.897</v>
      </c>
      <c r="K19" s="13">
        <v>49.651</v>
      </c>
      <c r="L19" s="13">
        <v>39.497</v>
      </c>
      <c r="M19" s="13">
        <v>0.0366779770560672</v>
      </c>
      <c r="N19" s="19">
        <v>45.4</v>
      </c>
      <c r="O19" s="13">
        <v>0.147196639198578</v>
      </c>
      <c r="P19" s="19">
        <v>182.2</v>
      </c>
      <c r="Q19" s="13">
        <v>0.816125383745355</v>
      </c>
      <c r="R19" s="19">
        <v>1010.2</v>
      </c>
      <c r="S19" s="14">
        <v>1237.8</v>
      </c>
      <c r="T19" s="13">
        <v>351.9</v>
      </c>
      <c r="U19" s="13">
        <v>135.2</v>
      </c>
      <c r="V19" s="13">
        <v>146.7</v>
      </c>
      <c r="W19" s="13">
        <v>47.3</v>
      </c>
      <c r="X19" s="13">
        <v>1.69683027775322</v>
      </c>
    </row>
    <row r="20" ht="17" spans="1:24">
      <c r="A20" s="13">
        <v>2019</v>
      </c>
      <c r="B20" s="13">
        <v>110000</v>
      </c>
      <c r="C20" s="13" t="s">
        <v>52</v>
      </c>
      <c r="D20" s="13">
        <v>0</v>
      </c>
      <c r="E20" s="13">
        <v>1</v>
      </c>
      <c r="F20" s="13">
        <v>0</v>
      </c>
      <c r="G20" s="13">
        <v>0</v>
      </c>
      <c r="H20" s="13">
        <v>55</v>
      </c>
      <c r="I20" s="13">
        <v>45</v>
      </c>
      <c r="J20" s="13">
        <v>2.1</v>
      </c>
      <c r="K20" s="13">
        <v>57.2</v>
      </c>
      <c r="L20" s="13">
        <v>40.7</v>
      </c>
      <c r="M20" s="13">
        <v>0.0331500392772977</v>
      </c>
      <c r="N20" s="19">
        <v>42.2</v>
      </c>
      <c r="O20" s="13">
        <v>0.135506677140613</v>
      </c>
      <c r="P20" s="19">
        <v>172.5</v>
      </c>
      <c r="Q20" s="13">
        <v>0.831186174391202</v>
      </c>
      <c r="R20" s="19">
        <v>1058.1</v>
      </c>
      <c r="S20" s="14">
        <v>1273</v>
      </c>
      <c r="T20" s="13">
        <v>352</v>
      </c>
      <c r="U20" s="13">
        <v>115.5</v>
      </c>
      <c r="V20" s="13">
        <v>152.7</v>
      </c>
      <c r="W20" s="13">
        <v>47.4</v>
      </c>
      <c r="X20" s="13">
        <v>1.70298127374193</v>
      </c>
    </row>
    <row r="21" ht="17" spans="1:24">
      <c r="A21" s="13">
        <v>2020</v>
      </c>
      <c r="B21" s="13">
        <v>110000</v>
      </c>
      <c r="C21" s="13" t="s">
        <v>52</v>
      </c>
      <c r="D21" s="13">
        <v>0</v>
      </c>
      <c r="E21" s="13">
        <v>1</v>
      </c>
      <c r="F21" s="13">
        <v>0</v>
      </c>
      <c r="G21" s="13">
        <v>0</v>
      </c>
      <c r="H21" s="13">
        <v>55.3</v>
      </c>
      <c r="I21" s="13">
        <v>44.7</v>
      </c>
      <c r="J21" s="13">
        <v>2.1</v>
      </c>
      <c r="K21" s="13">
        <v>54.2</v>
      </c>
      <c r="L21" s="13">
        <v>43.8</v>
      </c>
      <c r="M21" s="13">
        <v>0.0240549828178694</v>
      </c>
      <c r="N21" s="19">
        <v>28</v>
      </c>
      <c r="O21" s="13">
        <v>0.166666666666667</v>
      </c>
      <c r="P21" s="19">
        <v>194</v>
      </c>
      <c r="Q21" s="13">
        <v>0.809278350515464</v>
      </c>
      <c r="R21" s="19">
        <v>942</v>
      </c>
      <c r="S21" s="14">
        <v>1164</v>
      </c>
      <c r="T21" s="13">
        <v>331.6</v>
      </c>
      <c r="U21" s="13">
        <v>103.5</v>
      </c>
      <c r="V21" s="13">
        <v>140.9</v>
      </c>
      <c r="W21" s="13">
        <v>45</v>
      </c>
      <c r="X21" s="13">
        <v>1.71238390787974</v>
      </c>
    </row>
    <row r="22" ht="17" spans="1:24">
      <c r="A22" s="13">
        <v>2021</v>
      </c>
      <c r="B22" s="13">
        <v>110000</v>
      </c>
      <c r="C22" s="13" t="s">
        <v>52</v>
      </c>
      <c r="D22" s="13">
        <v>0</v>
      </c>
      <c r="E22" s="13">
        <v>1</v>
      </c>
      <c r="F22" s="13">
        <v>0</v>
      </c>
      <c r="G22" s="13">
        <v>0</v>
      </c>
      <c r="H22" s="13">
        <v>57.569</v>
      </c>
      <c r="I22" s="13">
        <v>42.431</v>
      </c>
      <c r="J22" s="13">
        <v>2.84</v>
      </c>
      <c r="K22" s="13">
        <v>53.434</v>
      </c>
      <c r="L22" s="13">
        <v>43.726</v>
      </c>
      <c r="M22" s="13">
        <v>0.0233160621761658</v>
      </c>
      <c r="N22" s="19">
        <v>27</v>
      </c>
      <c r="O22" s="13">
        <v>0.166666666666667</v>
      </c>
      <c r="P22" s="19">
        <v>193</v>
      </c>
      <c r="Q22" s="13">
        <v>0.810017271157167</v>
      </c>
      <c r="R22" s="19">
        <v>938</v>
      </c>
      <c r="S22" s="14">
        <v>1158</v>
      </c>
      <c r="T22" s="13">
        <v>346.9</v>
      </c>
      <c r="U22" s="13">
        <v>105.7</v>
      </c>
      <c r="V22" s="13">
        <v>141</v>
      </c>
      <c r="W22" s="13">
        <v>46</v>
      </c>
      <c r="X22" s="13">
        <v>1.69226332556727</v>
      </c>
    </row>
    <row r="23" ht="17" spans="1:24">
      <c r="A23" s="13">
        <v>2022</v>
      </c>
      <c r="B23" s="13">
        <v>110000</v>
      </c>
      <c r="C23" s="13" t="s">
        <v>52</v>
      </c>
      <c r="D23" s="13">
        <v>0</v>
      </c>
      <c r="E23" s="13">
        <v>1</v>
      </c>
      <c r="F23" s="13">
        <v>0</v>
      </c>
      <c r="G23" s="13">
        <v>0</v>
      </c>
      <c r="H23" s="13">
        <v>57.478</v>
      </c>
      <c r="I23" s="13">
        <v>42.522</v>
      </c>
      <c r="J23" s="13">
        <v>3.35</v>
      </c>
      <c r="K23" s="13">
        <v>49.742</v>
      </c>
      <c r="L23" s="13">
        <v>46.908</v>
      </c>
      <c r="M23" s="13">
        <v>0.0220848056537102</v>
      </c>
      <c r="N23" s="19">
        <v>25</v>
      </c>
      <c r="O23" s="13">
        <v>0.164310954063604</v>
      </c>
      <c r="P23" s="19">
        <v>186</v>
      </c>
      <c r="Q23" s="13">
        <v>0.813604240282686</v>
      </c>
      <c r="R23" s="19">
        <v>921</v>
      </c>
      <c r="S23" s="14">
        <v>1132</v>
      </c>
      <c r="T23" s="13">
        <v>344.5</v>
      </c>
      <c r="U23" s="13">
        <v>102.5</v>
      </c>
      <c r="V23" s="13">
        <v>139.2</v>
      </c>
      <c r="W23" s="13">
        <v>45.2</v>
      </c>
      <c r="X23" s="13">
        <v>1.69569557441414</v>
      </c>
    </row>
    <row r="24" ht="17" spans="1:24">
      <c r="A24" s="13">
        <v>2013</v>
      </c>
      <c r="B24" s="13">
        <v>350000</v>
      </c>
      <c r="C24" s="13" t="s">
        <v>53</v>
      </c>
      <c r="D24" s="13">
        <v>0</v>
      </c>
      <c r="E24" s="13">
        <v>1</v>
      </c>
      <c r="F24" s="13">
        <v>0</v>
      </c>
      <c r="G24" s="13">
        <v>0</v>
      </c>
      <c r="H24" s="13">
        <v>58.0409999999999</v>
      </c>
      <c r="I24" s="13">
        <v>41.9590000000001</v>
      </c>
      <c r="J24" s="13">
        <v>23.658</v>
      </c>
      <c r="K24" s="13">
        <v>68.515</v>
      </c>
      <c r="L24" s="13">
        <v>7.827</v>
      </c>
      <c r="M24" s="13">
        <v>0.231221719457014</v>
      </c>
      <c r="N24" s="19">
        <v>511</v>
      </c>
      <c r="O24" s="13">
        <v>0.390950226244344</v>
      </c>
      <c r="P24" s="19">
        <v>864</v>
      </c>
      <c r="Q24" s="13">
        <v>0.377828054298643</v>
      </c>
      <c r="R24" s="19">
        <v>835</v>
      </c>
      <c r="S24" s="14">
        <v>2210</v>
      </c>
      <c r="T24" s="13">
        <v>65.5</v>
      </c>
      <c r="U24" s="13">
        <v>41.6</v>
      </c>
      <c r="V24" s="13">
        <v>109.4</v>
      </c>
      <c r="W24" s="13">
        <v>12.6</v>
      </c>
      <c r="X24" s="13">
        <v>0.90410447619529</v>
      </c>
    </row>
    <row r="25" ht="17" spans="1:24">
      <c r="A25" s="13">
        <v>2014</v>
      </c>
      <c r="B25" s="13">
        <v>350000</v>
      </c>
      <c r="C25" s="13" t="s">
        <v>53</v>
      </c>
      <c r="D25" s="13">
        <v>0</v>
      </c>
      <c r="E25" s="13">
        <v>1</v>
      </c>
      <c r="F25" s="13">
        <v>0</v>
      </c>
      <c r="G25" s="13">
        <v>0</v>
      </c>
      <c r="H25" s="13">
        <v>58.4</v>
      </c>
      <c r="I25" s="13">
        <v>41.6</v>
      </c>
      <c r="J25" s="13">
        <v>21.6</v>
      </c>
      <c r="K25" s="13">
        <v>70.3</v>
      </c>
      <c r="L25" s="13">
        <v>8.1</v>
      </c>
      <c r="M25" s="13">
        <v>0.222172149616945</v>
      </c>
      <c r="N25" s="19">
        <v>493</v>
      </c>
      <c r="O25" s="13">
        <v>0.382154123479045</v>
      </c>
      <c r="P25" s="19">
        <v>848</v>
      </c>
      <c r="Q25" s="13">
        <v>0.39612438035151</v>
      </c>
      <c r="R25" s="19">
        <v>879</v>
      </c>
      <c r="S25" s="14">
        <v>2219</v>
      </c>
      <c r="T25" s="13">
        <v>67.8</v>
      </c>
      <c r="U25" s="13">
        <v>42.4</v>
      </c>
      <c r="V25" s="13">
        <v>113.9</v>
      </c>
      <c r="W25" s="13">
        <v>14.3</v>
      </c>
      <c r="X25" s="13">
        <v>0.935666062923311</v>
      </c>
    </row>
    <row r="26" ht="17" spans="1:24">
      <c r="A26" s="13">
        <v>2015</v>
      </c>
      <c r="B26" s="13">
        <v>350000</v>
      </c>
      <c r="C26" s="13" t="s">
        <v>53</v>
      </c>
      <c r="D26" s="13">
        <v>0</v>
      </c>
      <c r="E26" s="13">
        <v>1</v>
      </c>
      <c r="F26" s="13">
        <v>0</v>
      </c>
      <c r="G26" s="13">
        <v>0</v>
      </c>
      <c r="H26" s="13">
        <v>58.759</v>
      </c>
      <c r="I26" s="13">
        <v>41.241</v>
      </c>
      <c r="J26" s="13">
        <v>23.277</v>
      </c>
      <c r="K26" s="13">
        <v>60.993</v>
      </c>
      <c r="L26" s="13">
        <v>9.052</v>
      </c>
      <c r="M26" s="13">
        <v>0.212860310421286</v>
      </c>
      <c r="N26" s="19">
        <v>480</v>
      </c>
      <c r="O26" s="13">
        <v>0.371175166297117</v>
      </c>
      <c r="P26" s="19">
        <v>837</v>
      </c>
      <c r="Q26" s="13">
        <v>0.415964523281596</v>
      </c>
      <c r="R26" s="19">
        <v>938</v>
      </c>
      <c r="S26" s="14">
        <v>2255</v>
      </c>
      <c r="T26" s="13">
        <v>72.6</v>
      </c>
      <c r="U26" s="13">
        <v>44.3</v>
      </c>
      <c r="V26" s="13">
        <v>116.6</v>
      </c>
      <c r="W26" s="13">
        <v>15.3</v>
      </c>
      <c r="X26" s="13">
        <v>0.95736909892334</v>
      </c>
    </row>
    <row r="27" ht="17" spans="1:24">
      <c r="A27" s="13">
        <v>2016</v>
      </c>
      <c r="B27" s="13">
        <v>350000</v>
      </c>
      <c r="C27" s="13" t="s">
        <v>53</v>
      </c>
      <c r="D27" s="13">
        <v>0</v>
      </c>
      <c r="E27" s="13">
        <v>1</v>
      </c>
      <c r="F27" s="13">
        <v>0</v>
      </c>
      <c r="G27" s="13">
        <v>0</v>
      </c>
      <c r="H27" s="13">
        <v>59.291</v>
      </c>
      <c r="I27" s="13">
        <v>40.709</v>
      </c>
      <c r="J27" s="13">
        <v>24.273</v>
      </c>
      <c r="K27" s="13">
        <v>59.561</v>
      </c>
      <c r="L27" s="13">
        <v>9.395</v>
      </c>
      <c r="M27" s="13">
        <v>0.20017793594306</v>
      </c>
      <c r="N27" s="19">
        <v>450</v>
      </c>
      <c r="O27" s="13">
        <v>0.365213523131673</v>
      </c>
      <c r="P27" s="19">
        <v>821</v>
      </c>
      <c r="Q27" s="13">
        <v>0.435053380782918</v>
      </c>
      <c r="R27" s="19">
        <v>978</v>
      </c>
      <c r="S27" s="14">
        <v>2248</v>
      </c>
      <c r="T27" s="13">
        <v>75.3</v>
      </c>
      <c r="U27" s="13">
        <v>44.5</v>
      </c>
      <c r="V27" s="13">
        <v>121</v>
      </c>
      <c r="W27" s="13">
        <v>15.6</v>
      </c>
      <c r="X27" s="13">
        <v>1.00715620601941</v>
      </c>
    </row>
    <row r="28" ht="17" spans="1:24">
      <c r="A28" s="13">
        <v>2017</v>
      </c>
      <c r="B28" s="13">
        <v>350000</v>
      </c>
      <c r="C28" s="13" t="s">
        <v>53</v>
      </c>
      <c r="D28" s="13">
        <v>0</v>
      </c>
      <c r="E28" s="13">
        <v>1</v>
      </c>
      <c r="F28" s="13">
        <v>0</v>
      </c>
      <c r="G28" s="13">
        <v>0</v>
      </c>
      <c r="H28" s="13">
        <v>59.146</v>
      </c>
      <c r="I28" s="13">
        <v>40.854</v>
      </c>
      <c r="J28" s="13">
        <v>21.618</v>
      </c>
      <c r="K28" s="13">
        <v>61.056</v>
      </c>
      <c r="L28" s="13">
        <v>9.883</v>
      </c>
      <c r="M28" s="13">
        <v>0.186940966010733</v>
      </c>
      <c r="N28" s="19">
        <v>418</v>
      </c>
      <c r="O28" s="13">
        <v>0.355098389982111</v>
      </c>
      <c r="P28" s="19">
        <v>794</v>
      </c>
      <c r="Q28" s="13">
        <v>0.457960644007156</v>
      </c>
      <c r="R28" s="19">
        <v>1024</v>
      </c>
      <c r="S28" s="14">
        <v>2236</v>
      </c>
      <c r="T28" s="13">
        <v>79.6</v>
      </c>
      <c r="U28" s="13">
        <v>46.8</v>
      </c>
      <c r="V28" s="13">
        <v>125.6</v>
      </c>
      <c r="W28" s="13">
        <v>15.6</v>
      </c>
      <c r="X28" s="13">
        <v>0.623672018688607</v>
      </c>
    </row>
    <row r="29" ht="17" spans="1:24">
      <c r="A29" s="13">
        <v>2018</v>
      </c>
      <c r="B29" s="13">
        <v>350000</v>
      </c>
      <c r="C29" s="13" t="s">
        <v>53</v>
      </c>
      <c r="D29" s="13">
        <v>0</v>
      </c>
      <c r="E29" s="13">
        <v>1</v>
      </c>
      <c r="F29" s="13">
        <v>0</v>
      </c>
      <c r="G29" s="13">
        <v>0</v>
      </c>
      <c r="H29" s="13">
        <v>57.792</v>
      </c>
      <c r="I29" s="13">
        <v>42.208</v>
      </c>
      <c r="J29" s="13">
        <v>21.288</v>
      </c>
      <c r="K29" s="13">
        <v>60.624</v>
      </c>
      <c r="L29" s="13">
        <v>11.084</v>
      </c>
      <c r="M29" s="13">
        <v>0.18001800180018</v>
      </c>
      <c r="N29" s="19">
        <v>400</v>
      </c>
      <c r="O29" s="13">
        <v>0.351935193519352</v>
      </c>
      <c r="P29" s="19">
        <v>782</v>
      </c>
      <c r="Q29" s="13">
        <v>0.468046804680468</v>
      </c>
      <c r="R29" s="19">
        <v>1040</v>
      </c>
      <c r="S29" s="14">
        <v>2222</v>
      </c>
      <c r="T29" s="13">
        <v>81.6</v>
      </c>
      <c r="U29" s="13">
        <v>48</v>
      </c>
      <c r="V29" s="13">
        <v>131.4</v>
      </c>
      <c r="W29" s="13">
        <v>17.1</v>
      </c>
      <c r="X29" s="13">
        <v>0.637406031022482</v>
      </c>
    </row>
    <row r="30" ht="17" spans="1:24">
      <c r="A30" s="13">
        <v>2019</v>
      </c>
      <c r="B30" s="13">
        <v>350000</v>
      </c>
      <c r="C30" s="13" t="s">
        <v>53</v>
      </c>
      <c r="D30" s="13">
        <v>0</v>
      </c>
      <c r="E30" s="13">
        <v>1</v>
      </c>
      <c r="F30" s="13">
        <v>0</v>
      </c>
      <c r="G30" s="13">
        <v>0</v>
      </c>
      <c r="H30" s="13">
        <v>59.1</v>
      </c>
      <c r="I30" s="13">
        <v>40.9</v>
      </c>
      <c r="J30" s="13">
        <v>19.6</v>
      </c>
      <c r="K30" s="13">
        <v>69.4</v>
      </c>
      <c r="L30" s="13">
        <v>11</v>
      </c>
      <c r="M30" s="13">
        <v>0.166968325791855</v>
      </c>
      <c r="N30" s="19">
        <v>369</v>
      </c>
      <c r="O30" s="13">
        <v>0.33710407239819</v>
      </c>
      <c r="P30" s="19">
        <v>745</v>
      </c>
      <c r="Q30" s="13">
        <v>0.495927601809955</v>
      </c>
      <c r="R30" s="19">
        <v>1096</v>
      </c>
      <c r="S30" s="14">
        <v>2210</v>
      </c>
      <c r="T30" s="13">
        <v>86.7</v>
      </c>
      <c r="U30" s="13">
        <v>41.6</v>
      </c>
      <c r="V30" s="13">
        <v>145.3</v>
      </c>
      <c r="W30" s="13">
        <v>17.4</v>
      </c>
      <c r="X30" s="13">
        <v>0.644669108418625</v>
      </c>
    </row>
    <row r="31" ht="17" spans="1:24">
      <c r="A31" s="13">
        <v>2020</v>
      </c>
      <c r="B31" s="13">
        <v>350000</v>
      </c>
      <c r="C31" s="13" t="s">
        <v>53</v>
      </c>
      <c r="D31" s="13">
        <v>0</v>
      </c>
      <c r="E31" s="13">
        <v>1</v>
      </c>
      <c r="F31" s="13">
        <v>0</v>
      </c>
      <c r="G31" s="13">
        <v>0</v>
      </c>
      <c r="H31" s="13">
        <v>58.3</v>
      </c>
      <c r="I31" s="13">
        <v>41.7</v>
      </c>
      <c r="J31" s="13">
        <v>19.6</v>
      </c>
      <c r="K31" s="13">
        <v>68.9</v>
      </c>
      <c r="L31" s="13">
        <v>11.5</v>
      </c>
      <c r="M31" s="13">
        <v>0.146418857660925</v>
      </c>
      <c r="N31" s="19">
        <v>323</v>
      </c>
      <c r="O31" s="13">
        <v>0.325929283771532</v>
      </c>
      <c r="P31" s="19">
        <v>719</v>
      </c>
      <c r="Q31" s="13">
        <v>0.527651858567543</v>
      </c>
      <c r="R31" s="19">
        <v>1164</v>
      </c>
      <c r="S31" s="14">
        <v>2206</v>
      </c>
      <c r="T31" s="13">
        <v>86.4</v>
      </c>
      <c r="U31" s="13">
        <v>40.7</v>
      </c>
      <c r="V31" s="13">
        <v>149.2</v>
      </c>
      <c r="W31" s="13">
        <v>16.9</v>
      </c>
      <c r="X31" s="13">
        <v>0.663071028177692</v>
      </c>
    </row>
    <row r="32" ht="17" spans="1:24">
      <c r="A32" s="13">
        <v>2021</v>
      </c>
      <c r="B32" s="13">
        <v>350000</v>
      </c>
      <c r="C32" s="13" t="s">
        <v>53</v>
      </c>
      <c r="D32" s="13">
        <v>0</v>
      </c>
      <c r="E32" s="13">
        <v>1</v>
      </c>
      <c r="F32" s="13">
        <v>0</v>
      </c>
      <c r="G32" s="13">
        <v>0</v>
      </c>
      <c r="H32" s="13">
        <v>58.487</v>
      </c>
      <c r="I32" s="13">
        <v>41.513</v>
      </c>
      <c r="J32" s="13">
        <v>18.741</v>
      </c>
      <c r="K32" s="13">
        <v>68.55</v>
      </c>
      <c r="L32" s="13">
        <v>12.709</v>
      </c>
      <c r="M32" s="13">
        <v>0.137005006827492</v>
      </c>
      <c r="N32" s="19">
        <v>301</v>
      </c>
      <c r="O32" s="13">
        <v>0.331816112881202</v>
      </c>
      <c r="P32" s="19">
        <v>729</v>
      </c>
      <c r="Q32" s="13">
        <v>0.531178880291306</v>
      </c>
      <c r="R32" s="19">
        <v>1167</v>
      </c>
      <c r="S32" s="14">
        <v>2197</v>
      </c>
      <c r="T32" s="13">
        <v>83.3</v>
      </c>
      <c r="U32" s="13">
        <v>41.6</v>
      </c>
      <c r="V32" s="13">
        <v>150.9</v>
      </c>
      <c r="W32" s="13">
        <v>16.2</v>
      </c>
      <c r="X32" s="13">
        <v>0.695284135199788</v>
      </c>
    </row>
    <row r="33" ht="17" spans="1:24">
      <c r="A33" s="13">
        <v>2022</v>
      </c>
      <c r="B33" s="13">
        <v>350000</v>
      </c>
      <c r="C33" s="13" t="s">
        <v>53</v>
      </c>
      <c r="D33" s="13">
        <v>0</v>
      </c>
      <c r="E33" s="13">
        <v>1</v>
      </c>
      <c r="F33" s="13">
        <v>0</v>
      </c>
      <c r="G33" s="13">
        <v>0</v>
      </c>
      <c r="H33" s="13">
        <v>58.298</v>
      </c>
      <c r="I33" s="13">
        <v>41.702</v>
      </c>
      <c r="J33" s="13">
        <v>21.672</v>
      </c>
      <c r="K33" s="13">
        <v>65.254</v>
      </c>
      <c r="L33" s="13">
        <v>13.075</v>
      </c>
      <c r="M33" s="13">
        <v>0.137534498620055</v>
      </c>
      <c r="N33" s="19">
        <v>299</v>
      </c>
      <c r="O33" s="13">
        <v>0.331646734130635</v>
      </c>
      <c r="P33" s="19">
        <v>721</v>
      </c>
      <c r="Q33" s="13">
        <v>0.53081876724931</v>
      </c>
      <c r="R33" s="19">
        <v>1154</v>
      </c>
      <c r="S33" s="14">
        <v>2174</v>
      </c>
      <c r="T33" s="13">
        <v>78.8</v>
      </c>
      <c r="U33" s="13">
        <v>41</v>
      </c>
      <c r="V33" s="13">
        <v>149.1</v>
      </c>
      <c r="W33" s="13">
        <v>16.3</v>
      </c>
      <c r="X33" s="13">
        <v>0.763104737624318</v>
      </c>
    </row>
    <row r="34" ht="17" spans="1:24">
      <c r="A34" s="13">
        <v>2013</v>
      </c>
      <c r="B34" s="13">
        <v>620000</v>
      </c>
      <c r="C34" s="13" t="s">
        <v>54</v>
      </c>
      <c r="D34" s="13">
        <v>1</v>
      </c>
      <c r="E34" s="13">
        <v>0</v>
      </c>
      <c r="F34" s="13">
        <v>0</v>
      </c>
      <c r="G34" s="13">
        <v>0</v>
      </c>
      <c r="H34" s="13">
        <v>51.1199999999999</v>
      </c>
      <c r="I34" s="13">
        <v>48.8800000000001</v>
      </c>
      <c r="J34" s="13">
        <v>30.785</v>
      </c>
      <c r="K34" s="13">
        <v>63.454</v>
      </c>
      <c r="L34" s="13">
        <v>5.761</v>
      </c>
      <c r="M34" s="13">
        <v>0.592609822485207</v>
      </c>
      <c r="N34" s="19">
        <v>801.20848</v>
      </c>
      <c r="O34" s="13">
        <v>0.160501538461538</v>
      </c>
      <c r="P34" s="19">
        <v>216.99808</v>
      </c>
      <c r="Q34" s="13">
        <v>0.246888639053254</v>
      </c>
      <c r="R34" s="19">
        <v>333.79344</v>
      </c>
      <c r="S34" s="14">
        <v>1352</v>
      </c>
      <c r="T34" s="13">
        <v>32.6</v>
      </c>
      <c r="U34" s="13">
        <v>14</v>
      </c>
      <c r="V34" s="13">
        <v>95.1</v>
      </c>
      <c r="W34" s="13">
        <v>3.9</v>
      </c>
      <c r="X34" s="13">
        <v>0.665863672944408</v>
      </c>
    </row>
    <row r="35" ht="17" spans="1:24">
      <c r="A35" s="13">
        <v>2014</v>
      </c>
      <c r="B35" s="13">
        <v>620000</v>
      </c>
      <c r="C35" s="13" t="s">
        <v>54</v>
      </c>
      <c r="D35" s="13">
        <v>1</v>
      </c>
      <c r="E35" s="13">
        <v>0</v>
      </c>
      <c r="F35" s="13">
        <v>0</v>
      </c>
      <c r="G35" s="13">
        <v>0</v>
      </c>
      <c r="H35" s="13">
        <v>54.8</v>
      </c>
      <c r="I35" s="13">
        <v>45.2</v>
      </c>
      <c r="J35" s="13">
        <v>31.4</v>
      </c>
      <c r="K35" s="13">
        <v>62.5</v>
      </c>
      <c r="L35" s="13">
        <v>6.1</v>
      </c>
      <c r="M35" s="13">
        <v>0.58024146884273</v>
      </c>
      <c r="N35" s="19">
        <v>782.1655</v>
      </c>
      <c r="O35" s="13">
        <v>0.161009310089021</v>
      </c>
      <c r="P35" s="19">
        <v>217.04055</v>
      </c>
      <c r="Q35" s="13">
        <v>0.258755801186944</v>
      </c>
      <c r="R35" s="19">
        <v>348.80282</v>
      </c>
      <c r="S35" s="14">
        <v>1348</v>
      </c>
      <c r="T35" s="13">
        <v>32.5</v>
      </c>
      <c r="U35" s="13">
        <v>14.4</v>
      </c>
      <c r="V35" s="13">
        <v>99.6</v>
      </c>
      <c r="W35" s="13">
        <v>4.5</v>
      </c>
      <c r="X35" s="13">
        <v>0.674012497148358</v>
      </c>
    </row>
    <row r="36" ht="17" spans="1:24">
      <c r="A36" s="13">
        <v>2015</v>
      </c>
      <c r="B36" s="13">
        <v>620000</v>
      </c>
      <c r="C36" s="13" t="s">
        <v>54</v>
      </c>
      <c r="D36" s="13">
        <v>1</v>
      </c>
      <c r="E36" s="13">
        <v>0</v>
      </c>
      <c r="F36" s="13">
        <v>0</v>
      </c>
      <c r="G36" s="13">
        <v>0</v>
      </c>
      <c r="H36" s="13">
        <v>58.48</v>
      </c>
      <c r="I36" s="13">
        <v>41.52</v>
      </c>
      <c r="J36" s="13">
        <v>33.215</v>
      </c>
      <c r="K36" s="13">
        <v>55.531</v>
      </c>
      <c r="L36" s="13">
        <v>6.594</v>
      </c>
      <c r="M36" s="13">
        <v>0.570603439821694</v>
      </c>
      <c r="N36" s="19">
        <v>768.03223</v>
      </c>
      <c r="O36" s="13">
        <v>0.161093707280832</v>
      </c>
      <c r="P36" s="19">
        <v>216.83213</v>
      </c>
      <c r="Q36" s="13">
        <v>0.268302845468053</v>
      </c>
      <c r="R36" s="19">
        <v>361.13563</v>
      </c>
      <c r="S36" s="14">
        <v>1346</v>
      </c>
      <c r="T36" s="13">
        <v>32.8</v>
      </c>
      <c r="U36" s="13">
        <v>14.3</v>
      </c>
      <c r="V36" s="13">
        <v>101.9</v>
      </c>
      <c r="W36" s="13">
        <v>4.5</v>
      </c>
      <c r="X36" s="13">
        <v>0.683410268857535</v>
      </c>
    </row>
    <row r="37" ht="17" spans="1:24">
      <c r="A37" s="13">
        <v>2016</v>
      </c>
      <c r="B37" s="13">
        <v>620000</v>
      </c>
      <c r="C37" s="13" t="s">
        <v>54</v>
      </c>
      <c r="D37" s="13">
        <v>1</v>
      </c>
      <c r="E37" s="13">
        <v>0</v>
      </c>
      <c r="F37" s="13">
        <v>0</v>
      </c>
      <c r="G37" s="13">
        <v>0</v>
      </c>
      <c r="H37" s="13">
        <v>56.023</v>
      </c>
      <c r="I37" s="13">
        <v>43.977</v>
      </c>
      <c r="J37" s="13">
        <v>31.986</v>
      </c>
      <c r="K37" s="13">
        <v>56.82</v>
      </c>
      <c r="L37" s="13">
        <v>6.77</v>
      </c>
      <c r="M37" s="13">
        <v>0.559596830723341</v>
      </c>
      <c r="N37" s="19">
        <v>750.41935</v>
      </c>
      <c r="O37" s="13">
        <v>0.159200380313199</v>
      </c>
      <c r="P37" s="19">
        <v>213.48771</v>
      </c>
      <c r="Q37" s="13">
        <v>0.281202781506339</v>
      </c>
      <c r="R37" s="19">
        <v>377.09293</v>
      </c>
      <c r="S37" s="14">
        <v>1341</v>
      </c>
      <c r="T37" s="13">
        <v>33.6</v>
      </c>
      <c r="U37" s="13">
        <v>14.3</v>
      </c>
      <c r="V37" s="13">
        <v>102.6</v>
      </c>
      <c r="W37" s="13">
        <v>5.2</v>
      </c>
      <c r="X37" s="13">
        <v>0.689546989734445</v>
      </c>
    </row>
    <row r="38" ht="17" spans="1:24">
      <c r="A38" s="13">
        <v>2017</v>
      </c>
      <c r="B38" s="13">
        <v>620000</v>
      </c>
      <c r="C38" s="13" t="s">
        <v>54</v>
      </c>
      <c r="D38" s="13">
        <v>1</v>
      </c>
      <c r="E38" s="13">
        <v>0</v>
      </c>
      <c r="F38" s="13">
        <v>0</v>
      </c>
      <c r="G38" s="13">
        <v>0</v>
      </c>
      <c r="H38" s="13">
        <v>55.782</v>
      </c>
      <c r="I38" s="13">
        <v>44.218</v>
      </c>
      <c r="J38" s="13">
        <v>29.341</v>
      </c>
      <c r="K38" s="13">
        <v>59.673</v>
      </c>
      <c r="L38" s="13">
        <v>7.101</v>
      </c>
      <c r="M38" s="13">
        <v>0.548602169035153</v>
      </c>
      <c r="N38" s="19">
        <v>733.4811</v>
      </c>
      <c r="O38" s="13">
        <v>0.157197651458489</v>
      </c>
      <c r="P38" s="19">
        <v>210.17326</v>
      </c>
      <c r="Q38" s="13">
        <v>0.294200172026926</v>
      </c>
      <c r="R38" s="19">
        <v>393.34563</v>
      </c>
      <c r="S38" s="14">
        <v>1337</v>
      </c>
      <c r="T38" s="13">
        <v>37</v>
      </c>
      <c r="U38" s="13">
        <v>14</v>
      </c>
      <c r="V38" s="13">
        <v>104.8</v>
      </c>
      <c r="W38" s="13">
        <v>5.3</v>
      </c>
      <c r="X38" s="13">
        <v>0.38148921942678</v>
      </c>
    </row>
    <row r="39" ht="17" spans="1:24">
      <c r="A39" s="13">
        <v>2018</v>
      </c>
      <c r="B39" s="13">
        <v>620000</v>
      </c>
      <c r="C39" s="13" t="s">
        <v>54</v>
      </c>
      <c r="D39" s="13">
        <v>1</v>
      </c>
      <c r="E39" s="13">
        <v>0</v>
      </c>
      <c r="F39" s="13">
        <v>0</v>
      </c>
      <c r="G39" s="13">
        <v>0</v>
      </c>
      <c r="H39" s="13">
        <v>56.424</v>
      </c>
      <c r="I39" s="13">
        <v>43.576</v>
      </c>
      <c r="J39" s="13">
        <v>29.245</v>
      </c>
      <c r="K39" s="13">
        <v>58.416</v>
      </c>
      <c r="L39" s="13">
        <v>7.689</v>
      </c>
      <c r="M39" s="13">
        <v>0.539</v>
      </c>
      <c r="N39" s="19">
        <v>720.643</v>
      </c>
      <c r="O39" s="13">
        <v>0.155</v>
      </c>
      <c r="P39" s="19">
        <v>207.235</v>
      </c>
      <c r="Q39" s="13">
        <v>0.306</v>
      </c>
      <c r="R39" s="19">
        <v>409.122</v>
      </c>
      <c r="S39" s="14">
        <v>1337</v>
      </c>
      <c r="T39" s="13">
        <v>35.2</v>
      </c>
      <c r="U39" s="13">
        <v>12.8</v>
      </c>
      <c r="V39" s="13">
        <v>105.1</v>
      </c>
      <c r="W39" s="13">
        <v>4.5</v>
      </c>
      <c r="X39" s="13">
        <v>0.386862696842917</v>
      </c>
    </row>
    <row r="40" ht="17" spans="1:24">
      <c r="A40" s="13">
        <v>2019</v>
      </c>
      <c r="B40" s="13">
        <v>620000</v>
      </c>
      <c r="C40" s="13" t="s">
        <v>54</v>
      </c>
      <c r="D40" s="13">
        <v>1</v>
      </c>
      <c r="E40" s="13">
        <v>0</v>
      </c>
      <c r="F40" s="13">
        <v>0</v>
      </c>
      <c r="G40" s="13">
        <v>0</v>
      </c>
      <c r="H40" s="13">
        <v>56.3</v>
      </c>
      <c r="I40" s="13">
        <v>43.7</v>
      </c>
      <c r="J40" s="13">
        <v>30.6</v>
      </c>
      <c r="K40" s="13">
        <v>60.8</v>
      </c>
      <c r="L40" s="13">
        <v>8.6</v>
      </c>
      <c r="M40" s="13">
        <v>0.53</v>
      </c>
      <c r="N40" s="19">
        <v>706.49</v>
      </c>
      <c r="O40" s="13">
        <v>0.151</v>
      </c>
      <c r="P40" s="19">
        <v>201.283</v>
      </c>
      <c r="Q40" s="13">
        <v>0.319</v>
      </c>
      <c r="R40" s="19">
        <v>425.227</v>
      </c>
      <c r="S40" s="14">
        <v>1333</v>
      </c>
      <c r="T40" s="13">
        <v>36.9</v>
      </c>
      <c r="U40" s="13">
        <v>13.9</v>
      </c>
      <c r="V40" s="13">
        <v>113.1</v>
      </c>
      <c r="W40" s="13">
        <v>5.4</v>
      </c>
      <c r="X40" s="13">
        <v>0.388663410816586</v>
      </c>
    </row>
    <row r="41" ht="17" spans="1:24">
      <c r="A41" s="13">
        <v>2020</v>
      </c>
      <c r="B41" s="13">
        <v>620000</v>
      </c>
      <c r="C41" s="13" t="s">
        <v>54</v>
      </c>
      <c r="D41" s="13">
        <v>1</v>
      </c>
      <c r="E41" s="13">
        <v>0</v>
      </c>
      <c r="F41" s="13">
        <v>0</v>
      </c>
      <c r="G41" s="13">
        <v>0</v>
      </c>
      <c r="H41" s="13">
        <v>55.3</v>
      </c>
      <c r="I41" s="13">
        <v>44.7</v>
      </c>
      <c r="J41" s="13">
        <v>32.9</v>
      </c>
      <c r="K41" s="13">
        <v>59</v>
      </c>
      <c r="L41" s="13">
        <v>8.1</v>
      </c>
      <c r="M41" s="13">
        <v>0.448534936138242</v>
      </c>
      <c r="N41" s="19">
        <v>597</v>
      </c>
      <c r="O41" s="13">
        <v>0.178061607813674</v>
      </c>
      <c r="P41" s="19">
        <v>237</v>
      </c>
      <c r="Q41" s="13">
        <v>0.373403456048084</v>
      </c>
      <c r="R41" s="19">
        <v>497</v>
      </c>
      <c r="S41" s="14">
        <v>1331</v>
      </c>
      <c r="T41" s="13">
        <v>42.6</v>
      </c>
      <c r="U41" s="13">
        <v>15.3</v>
      </c>
      <c r="V41" s="13">
        <v>116.3</v>
      </c>
      <c r="W41" s="13">
        <v>6.7</v>
      </c>
      <c r="X41" s="13">
        <v>0.398425513142529</v>
      </c>
    </row>
    <row r="42" ht="17" spans="1:24">
      <c r="A42" s="13">
        <v>2021</v>
      </c>
      <c r="B42" s="13">
        <v>620000</v>
      </c>
      <c r="C42" s="13" t="s">
        <v>54</v>
      </c>
      <c r="D42" s="13">
        <v>1</v>
      </c>
      <c r="E42" s="13">
        <v>0</v>
      </c>
      <c r="F42" s="13">
        <v>0</v>
      </c>
      <c r="G42" s="13">
        <v>0</v>
      </c>
      <c r="H42" s="13">
        <v>56.039</v>
      </c>
      <c r="I42" s="13">
        <v>43.961</v>
      </c>
      <c r="J42" s="13">
        <v>32.471</v>
      </c>
      <c r="K42" s="13">
        <v>57.563</v>
      </c>
      <c r="L42" s="13">
        <v>9.967</v>
      </c>
      <c r="M42" s="13">
        <v>0.43972706595906</v>
      </c>
      <c r="N42" s="19">
        <v>580</v>
      </c>
      <c r="O42" s="13">
        <v>0.180439727065959</v>
      </c>
      <c r="P42" s="19">
        <v>238</v>
      </c>
      <c r="Q42" s="13">
        <v>0.379833206974981</v>
      </c>
      <c r="R42" s="19">
        <v>501</v>
      </c>
      <c r="S42" s="14">
        <v>1319</v>
      </c>
      <c r="T42" s="13">
        <v>41.4</v>
      </c>
      <c r="U42" s="13">
        <v>16.4</v>
      </c>
      <c r="V42" s="13">
        <v>117</v>
      </c>
      <c r="W42" s="13">
        <v>6.9</v>
      </c>
      <c r="X42" s="13">
        <v>0.409735900924802</v>
      </c>
    </row>
    <row r="43" ht="17" spans="1:24">
      <c r="A43" s="13">
        <v>2022</v>
      </c>
      <c r="B43" s="13">
        <v>620000</v>
      </c>
      <c r="C43" s="13" t="s">
        <v>54</v>
      </c>
      <c r="D43" s="13">
        <v>1</v>
      </c>
      <c r="E43" s="13">
        <v>0</v>
      </c>
      <c r="F43" s="13">
        <v>0</v>
      </c>
      <c r="G43" s="13">
        <v>0</v>
      </c>
      <c r="H43" s="13">
        <v>55.797</v>
      </c>
      <c r="I43" s="13">
        <v>44.203</v>
      </c>
      <c r="J43" s="13">
        <v>36.496</v>
      </c>
      <c r="K43" s="13">
        <v>53.117</v>
      </c>
      <c r="L43" s="13">
        <v>10.388</v>
      </c>
      <c r="M43" s="13">
        <v>0.469778117827085</v>
      </c>
      <c r="N43" s="19">
        <v>614</v>
      </c>
      <c r="O43" s="13">
        <v>0.173680183626626</v>
      </c>
      <c r="P43" s="19">
        <v>227</v>
      </c>
      <c r="Q43" s="13">
        <v>0.356541698546289</v>
      </c>
      <c r="R43" s="19">
        <v>466</v>
      </c>
      <c r="S43" s="14">
        <v>1307</v>
      </c>
      <c r="T43" s="13">
        <v>40.3</v>
      </c>
      <c r="U43" s="13">
        <v>16</v>
      </c>
      <c r="V43" s="13">
        <v>117.9</v>
      </c>
      <c r="W43" s="13">
        <v>6.7</v>
      </c>
      <c r="X43" s="13">
        <v>0.420908827338364</v>
      </c>
    </row>
    <row r="44" ht="17" spans="1:24">
      <c r="A44" s="13">
        <v>2013</v>
      </c>
      <c r="B44" s="13">
        <v>440000</v>
      </c>
      <c r="C44" s="13" t="s">
        <v>55</v>
      </c>
      <c r="D44" s="13">
        <v>0</v>
      </c>
      <c r="E44" s="13">
        <v>1</v>
      </c>
      <c r="F44" s="13">
        <v>0</v>
      </c>
      <c r="G44" s="13">
        <v>0</v>
      </c>
      <c r="H44" s="13">
        <v>53.6149999999998</v>
      </c>
      <c r="I44" s="13">
        <v>46.3850000000002</v>
      </c>
      <c r="J44" s="13">
        <v>14.641</v>
      </c>
      <c r="K44" s="13">
        <v>79.722</v>
      </c>
      <c r="L44" s="13">
        <v>5.638</v>
      </c>
      <c r="M44" s="13">
        <v>0.18683245655986</v>
      </c>
      <c r="N44" s="19">
        <v>1172</v>
      </c>
      <c r="O44" s="13">
        <v>0.417663000159413</v>
      </c>
      <c r="P44" s="19">
        <v>2620</v>
      </c>
      <c r="Q44" s="13">
        <v>0.395504543280727</v>
      </c>
      <c r="R44" s="19">
        <v>2481</v>
      </c>
      <c r="S44" s="14">
        <v>6273</v>
      </c>
      <c r="T44" s="13">
        <v>245.2</v>
      </c>
      <c r="U44" s="13">
        <v>153</v>
      </c>
      <c r="V44" s="13">
        <v>292.5</v>
      </c>
      <c r="W44" s="13">
        <v>52.5</v>
      </c>
      <c r="X44" s="13">
        <v>1.01892755360094</v>
      </c>
    </row>
    <row r="45" ht="17" spans="1:24">
      <c r="A45" s="13">
        <v>2014</v>
      </c>
      <c r="B45" s="13">
        <v>440000</v>
      </c>
      <c r="C45" s="13" t="s">
        <v>55</v>
      </c>
      <c r="D45" s="13">
        <v>0</v>
      </c>
      <c r="E45" s="13">
        <v>1</v>
      </c>
      <c r="F45" s="13">
        <v>0</v>
      </c>
      <c r="G45" s="13">
        <v>0</v>
      </c>
      <c r="H45" s="13">
        <v>56.5</v>
      </c>
      <c r="I45" s="13">
        <v>43.5</v>
      </c>
      <c r="J45" s="13">
        <v>12.7</v>
      </c>
      <c r="K45" s="13">
        <v>81.4</v>
      </c>
      <c r="L45" s="13">
        <v>5.8</v>
      </c>
      <c r="M45" s="13">
        <v>0.172993154947106</v>
      </c>
      <c r="N45" s="19">
        <v>1112</v>
      </c>
      <c r="O45" s="13">
        <v>0.405413814561294</v>
      </c>
      <c r="P45" s="19">
        <v>2606</v>
      </c>
      <c r="Q45" s="13">
        <v>0.421593030491599</v>
      </c>
      <c r="R45" s="19">
        <v>2710</v>
      </c>
      <c r="S45" s="14">
        <v>6428</v>
      </c>
      <c r="T45" s="13">
        <v>255.7</v>
      </c>
      <c r="U45" s="13">
        <v>151.9</v>
      </c>
      <c r="V45" s="13">
        <v>305.8</v>
      </c>
      <c r="W45" s="13">
        <v>55.8</v>
      </c>
      <c r="X45" s="13">
        <v>1.03839703840967</v>
      </c>
    </row>
    <row r="46" ht="17" spans="1:24">
      <c r="A46" s="13">
        <v>2015</v>
      </c>
      <c r="B46" s="13">
        <v>440000</v>
      </c>
      <c r="C46" s="13" t="s">
        <v>55</v>
      </c>
      <c r="D46" s="13">
        <v>0</v>
      </c>
      <c r="E46" s="13">
        <v>1</v>
      </c>
      <c r="F46" s="13">
        <v>0</v>
      </c>
      <c r="G46" s="13">
        <v>0</v>
      </c>
      <c r="H46" s="13">
        <v>59.385</v>
      </c>
      <c r="I46" s="13">
        <v>40.615</v>
      </c>
      <c r="J46" s="13">
        <v>13.635</v>
      </c>
      <c r="K46" s="13">
        <v>69.908</v>
      </c>
      <c r="L46" s="13">
        <v>7.594</v>
      </c>
      <c r="M46" s="13">
        <v>0.159305513250076</v>
      </c>
      <c r="N46" s="19">
        <v>1046</v>
      </c>
      <c r="O46" s="13">
        <v>0.400091379835516</v>
      </c>
      <c r="P46" s="19">
        <v>2627</v>
      </c>
      <c r="Q46" s="13">
        <v>0.440603106914408</v>
      </c>
      <c r="R46" s="19">
        <v>2893</v>
      </c>
      <c r="S46" s="14">
        <v>6566</v>
      </c>
      <c r="T46" s="13">
        <v>263.6</v>
      </c>
      <c r="U46" s="13">
        <v>152.9</v>
      </c>
      <c r="V46" s="13">
        <v>310.7</v>
      </c>
      <c r="W46" s="13">
        <v>59.1</v>
      </c>
      <c r="X46" s="13">
        <v>1.03669729953242</v>
      </c>
    </row>
    <row r="47" ht="17" spans="1:24">
      <c r="A47" s="13">
        <v>2016</v>
      </c>
      <c r="B47" s="13">
        <v>440000</v>
      </c>
      <c r="C47" s="13" t="s">
        <v>55</v>
      </c>
      <c r="D47" s="13">
        <v>0</v>
      </c>
      <c r="E47" s="13">
        <v>1</v>
      </c>
      <c r="F47" s="13">
        <v>0</v>
      </c>
      <c r="G47" s="13">
        <v>0</v>
      </c>
      <c r="H47" s="13">
        <v>57.714</v>
      </c>
      <c r="I47" s="13">
        <v>42.286</v>
      </c>
      <c r="J47" s="13">
        <v>11.84</v>
      </c>
      <c r="K47" s="13">
        <v>71.561</v>
      </c>
      <c r="L47" s="13">
        <v>7.611</v>
      </c>
      <c r="M47" s="13">
        <v>0.147247501118902</v>
      </c>
      <c r="N47" s="19">
        <v>987</v>
      </c>
      <c r="O47" s="13">
        <v>0.389527077428017</v>
      </c>
      <c r="P47" s="19">
        <v>2611</v>
      </c>
      <c r="Q47" s="13">
        <v>0.463225421453081</v>
      </c>
      <c r="R47" s="19">
        <v>3105</v>
      </c>
      <c r="S47" s="14">
        <v>6703</v>
      </c>
      <c r="T47" s="13">
        <v>279.9</v>
      </c>
      <c r="U47" s="13">
        <v>159.3</v>
      </c>
      <c r="V47" s="13">
        <v>314.7</v>
      </c>
      <c r="W47" s="13">
        <v>61.8</v>
      </c>
      <c r="X47" s="13">
        <v>1.05528691010912</v>
      </c>
    </row>
    <row r="48" ht="17" spans="1:24">
      <c r="A48" s="13">
        <v>2017</v>
      </c>
      <c r="B48" s="13">
        <v>440000</v>
      </c>
      <c r="C48" s="13" t="s">
        <v>55</v>
      </c>
      <c r="D48" s="13">
        <v>0</v>
      </c>
      <c r="E48" s="13">
        <v>1</v>
      </c>
      <c r="F48" s="13">
        <v>0</v>
      </c>
      <c r="G48" s="13">
        <v>0</v>
      </c>
      <c r="H48" s="13">
        <v>56.948</v>
      </c>
      <c r="I48" s="13">
        <v>43.052</v>
      </c>
      <c r="J48" s="13">
        <v>11.181</v>
      </c>
      <c r="K48" s="13">
        <v>71.615</v>
      </c>
      <c r="L48" s="13">
        <v>7.859</v>
      </c>
      <c r="M48" s="13">
        <v>0.136045494313211</v>
      </c>
      <c r="N48" s="19">
        <v>933</v>
      </c>
      <c r="O48" s="13">
        <v>0.377952755905512</v>
      </c>
      <c r="P48" s="19">
        <v>2592</v>
      </c>
      <c r="Q48" s="13">
        <v>0.486001749781277</v>
      </c>
      <c r="R48" s="19">
        <v>3333</v>
      </c>
      <c r="S48" s="14">
        <v>6858</v>
      </c>
      <c r="T48" s="13">
        <v>292.1</v>
      </c>
      <c r="U48" s="13">
        <v>159.7</v>
      </c>
      <c r="V48" s="13">
        <v>324.6</v>
      </c>
      <c r="W48" s="13">
        <v>66.3</v>
      </c>
      <c r="X48" s="13">
        <v>1.05378134704494</v>
      </c>
    </row>
    <row r="49" ht="17" spans="1:24">
      <c r="A49" s="13">
        <v>2018</v>
      </c>
      <c r="B49" s="13">
        <v>440000</v>
      </c>
      <c r="C49" s="13" t="s">
        <v>55</v>
      </c>
      <c r="D49" s="13">
        <v>0</v>
      </c>
      <c r="E49" s="13">
        <v>1</v>
      </c>
      <c r="F49" s="13">
        <v>0</v>
      </c>
      <c r="G49" s="13">
        <v>0</v>
      </c>
      <c r="H49" s="13">
        <v>56.96</v>
      </c>
      <c r="I49" s="13">
        <v>43.04</v>
      </c>
      <c r="J49" s="13">
        <v>10.963</v>
      </c>
      <c r="K49" s="13">
        <v>71.923</v>
      </c>
      <c r="L49" s="13">
        <v>8.438</v>
      </c>
      <c r="M49" s="13">
        <v>0.124137931034483</v>
      </c>
      <c r="N49" s="19">
        <v>864</v>
      </c>
      <c r="O49" s="13">
        <v>0.360057471264368</v>
      </c>
      <c r="P49" s="19">
        <v>2506</v>
      </c>
      <c r="Q49" s="13">
        <v>0.515804597701149</v>
      </c>
      <c r="R49" s="19">
        <v>3590</v>
      </c>
      <c r="S49" s="14">
        <v>6960</v>
      </c>
      <c r="T49" s="13">
        <v>325.1</v>
      </c>
      <c r="U49" s="13">
        <v>169.7</v>
      </c>
      <c r="V49" s="13">
        <v>336.5</v>
      </c>
      <c r="W49" s="13">
        <v>77.1</v>
      </c>
      <c r="X49" s="13">
        <v>1.04184586697969</v>
      </c>
    </row>
    <row r="50" ht="17" spans="1:24">
      <c r="A50" s="13">
        <v>2019</v>
      </c>
      <c r="B50" s="13">
        <v>440000</v>
      </c>
      <c r="C50" s="13" t="s">
        <v>55</v>
      </c>
      <c r="D50" s="13">
        <v>0</v>
      </c>
      <c r="E50" s="13">
        <v>1</v>
      </c>
      <c r="F50" s="13">
        <v>0</v>
      </c>
      <c r="G50" s="13">
        <v>0</v>
      </c>
      <c r="H50" s="13">
        <v>60.5</v>
      </c>
      <c r="I50" s="13">
        <v>39.5</v>
      </c>
      <c r="J50" s="13">
        <v>11.2</v>
      </c>
      <c r="K50" s="13">
        <v>78</v>
      </c>
      <c r="L50" s="13">
        <v>10.8</v>
      </c>
      <c r="M50" s="13">
        <v>0.117655468191565</v>
      </c>
      <c r="N50" s="19">
        <v>823</v>
      </c>
      <c r="O50" s="13">
        <v>0.360543245175125</v>
      </c>
      <c r="P50" s="19">
        <v>2522</v>
      </c>
      <c r="Q50" s="13">
        <v>0.521801286633309</v>
      </c>
      <c r="R50" s="19">
        <v>3650</v>
      </c>
      <c r="S50" s="14">
        <v>6995</v>
      </c>
      <c r="T50" s="13">
        <v>393.1</v>
      </c>
      <c r="U50" s="13">
        <v>181.6</v>
      </c>
      <c r="V50" s="13">
        <v>405.4</v>
      </c>
      <c r="W50" s="13">
        <v>86</v>
      </c>
      <c r="X50" s="13">
        <v>1.04226836100774</v>
      </c>
    </row>
    <row r="51" ht="17" spans="1:24">
      <c r="A51" s="13">
        <v>2020</v>
      </c>
      <c r="B51" s="13">
        <v>440000</v>
      </c>
      <c r="C51" s="13" t="s">
        <v>55</v>
      </c>
      <c r="D51" s="13">
        <v>0</v>
      </c>
      <c r="E51" s="13">
        <v>1</v>
      </c>
      <c r="F51" s="13">
        <v>0</v>
      </c>
      <c r="G51" s="13">
        <v>0</v>
      </c>
      <c r="H51" s="13">
        <v>59.9</v>
      </c>
      <c r="I51" s="13">
        <v>40.1</v>
      </c>
      <c r="J51" s="13">
        <v>11.2</v>
      </c>
      <c r="K51" s="13">
        <v>77.9</v>
      </c>
      <c r="L51" s="13">
        <v>10.8</v>
      </c>
      <c r="M51" s="13">
        <v>0.108964341525785</v>
      </c>
      <c r="N51" s="19">
        <v>767</v>
      </c>
      <c r="O51" s="13">
        <v>0.358857792300043</v>
      </c>
      <c r="P51" s="19">
        <v>2526</v>
      </c>
      <c r="Q51" s="13">
        <v>0.532177866174173</v>
      </c>
      <c r="R51" s="19">
        <v>3746</v>
      </c>
      <c r="S51" s="14">
        <v>7039</v>
      </c>
      <c r="T51" s="13">
        <v>418.8</v>
      </c>
      <c r="U51" s="13">
        <v>168.8</v>
      </c>
      <c r="V51" s="13">
        <v>430.2</v>
      </c>
      <c r="W51" s="13">
        <v>90.1</v>
      </c>
      <c r="X51" s="13">
        <v>1.06382072155887</v>
      </c>
    </row>
    <row r="52" ht="17" spans="1:24">
      <c r="A52" s="13">
        <v>2021</v>
      </c>
      <c r="B52" s="13">
        <v>440000</v>
      </c>
      <c r="C52" s="13" t="s">
        <v>55</v>
      </c>
      <c r="D52" s="13">
        <v>0</v>
      </c>
      <c r="E52" s="13">
        <v>1</v>
      </c>
      <c r="F52" s="13">
        <v>0</v>
      </c>
      <c r="G52" s="13">
        <v>0</v>
      </c>
      <c r="H52" s="13">
        <v>58.701</v>
      </c>
      <c r="I52" s="13">
        <v>41.299</v>
      </c>
      <c r="J52" s="13">
        <v>10.504</v>
      </c>
      <c r="K52" s="13">
        <v>77.533</v>
      </c>
      <c r="L52" s="13">
        <v>11.962</v>
      </c>
      <c r="M52" s="13">
        <v>0.106476244343891</v>
      </c>
      <c r="N52" s="19">
        <v>753</v>
      </c>
      <c r="O52" s="13">
        <v>0.362697963800905</v>
      </c>
      <c r="P52" s="19">
        <v>2565</v>
      </c>
      <c r="Q52" s="13">
        <v>0.530825791855204</v>
      </c>
      <c r="R52" s="19">
        <v>3754</v>
      </c>
      <c r="S52" s="14">
        <v>7072</v>
      </c>
      <c r="T52" s="13">
        <v>416.1</v>
      </c>
      <c r="U52" s="13">
        <v>176.8</v>
      </c>
      <c r="V52" s="13">
        <v>441.8</v>
      </c>
      <c r="W52" s="13">
        <v>90.8</v>
      </c>
      <c r="X52" s="13">
        <v>1.07653285709224</v>
      </c>
    </row>
    <row r="53" ht="17" spans="1:24">
      <c r="A53" s="13">
        <v>2022</v>
      </c>
      <c r="B53" s="13">
        <v>440000</v>
      </c>
      <c r="C53" s="13" t="s">
        <v>55</v>
      </c>
      <c r="D53" s="13">
        <v>0</v>
      </c>
      <c r="E53" s="13">
        <v>1</v>
      </c>
      <c r="F53" s="13">
        <v>0</v>
      </c>
      <c r="G53" s="13">
        <v>0</v>
      </c>
      <c r="H53" s="13">
        <v>58.236</v>
      </c>
      <c r="I53" s="13">
        <v>41.764</v>
      </c>
      <c r="J53" s="13">
        <v>12.838</v>
      </c>
      <c r="K53" s="13">
        <v>73.855</v>
      </c>
      <c r="L53" s="13">
        <v>13.307</v>
      </c>
      <c r="M53" s="13">
        <v>0.104577056778679</v>
      </c>
      <c r="N53" s="19">
        <v>722</v>
      </c>
      <c r="O53" s="13">
        <v>0.36558516801854</v>
      </c>
      <c r="P53" s="19">
        <v>2524</v>
      </c>
      <c r="Q53" s="13">
        <v>0.529837775202781</v>
      </c>
      <c r="R53" s="19">
        <v>3658</v>
      </c>
      <c r="S53" s="14">
        <v>6904</v>
      </c>
      <c r="T53" s="13">
        <v>425.9</v>
      </c>
      <c r="U53" s="13">
        <v>175.1</v>
      </c>
      <c r="V53" s="13">
        <v>443</v>
      </c>
      <c r="W53" s="13">
        <v>90.8</v>
      </c>
      <c r="X53" s="13">
        <v>1.08957256201024</v>
      </c>
    </row>
    <row r="54" ht="51" spans="1:24">
      <c r="A54" s="13">
        <v>2013</v>
      </c>
      <c r="B54" s="13">
        <v>450000</v>
      </c>
      <c r="C54" s="13" t="s">
        <v>56</v>
      </c>
      <c r="D54" s="13">
        <v>1</v>
      </c>
      <c r="E54" s="13">
        <v>0</v>
      </c>
      <c r="F54" s="13">
        <v>0</v>
      </c>
      <c r="G54" s="13">
        <v>0</v>
      </c>
      <c r="H54" s="13">
        <v>53.0259999999998</v>
      </c>
      <c r="I54" s="13">
        <v>46.9740000000002</v>
      </c>
      <c r="J54" s="13">
        <v>20.206</v>
      </c>
      <c r="K54" s="13">
        <v>76.803</v>
      </c>
      <c r="L54" s="13">
        <v>2.991</v>
      </c>
      <c r="M54" s="13">
        <v>0.531377369476613</v>
      </c>
      <c r="N54" s="19">
        <v>1478.43</v>
      </c>
      <c r="O54" s="13">
        <v>0.190126012665962</v>
      </c>
      <c r="P54" s="19">
        <v>528.98</v>
      </c>
      <c r="Q54" s="13">
        <v>0.278496617857425</v>
      </c>
      <c r="R54" s="19">
        <v>774.85</v>
      </c>
      <c r="S54" s="14">
        <v>2782.26</v>
      </c>
      <c r="T54" s="13">
        <v>57.2</v>
      </c>
      <c r="U54" s="13">
        <v>23.4</v>
      </c>
      <c r="V54" s="13">
        <v>144.6</v>
      </c>
      <c r="W54" s="13">
        <v>7.8</v>
      </c>
      <c r="X54" s="13">
        <v>0.697047351330887</v>
      </c>
    </row>
    <row r="55" ht="51" spans="1:24">
      <c r="A55" s="13">
        <v>2014</v>
      </c>
      <c r="B55" s="13">
        <v>450000</v>
      </c>
      <c r="C55" s="13" t="s">
        <v>56</v>
      </c>
      <c r="D55" s="13">
        <v>1</v>
      </c>
      <c r="E55" s="13">
        <v>0</v>
      </c>
      <c r="F55" s="13">
        <v>0</v>
      </c>
      <c r="G55" s="13">
        <v>0</v>
      </c>
      <c r="H55" s="13">
        <v>54.7</v>
      </c>
      <c r="I55" s="13">
        <v>45.3</v>
      </c>
      <c r="J55" s="13">
        <v>19.2</v>
      </c>
      <c r="K55" s="13">
        <v>77.6</v>
      </c>
      <c r="L55" s="13">
        <v>3.3</v>
      </c>
      <c r="M55" s="13">
        <v>0.518783542039356</v>
      </c>
      <c r="N55" s="19">
        <v>1450</v>
      </c>
      <c r="O55" s="13">
        <v>0.193202146690519</v>
      </c>
      <c r="P55" s="19">
        <v>540</v>
      </c>
      <c r="Q55" s="13">
        <v>0.288014311270125</v>
      </c>
      <c r="R55" s="19">
        <v>805</v>
      </c>
      <c r="S55" s="14">
        <v>2795</v>
      </c>
      <c r="T55" s="13">
        <v>58.1</v>
      </c>
      <c r="U55" s="13">
        <v>22.5</v>
      </c>
      <c r="V55" s="13">
        <v>147.8</v>
      </c>
      <c r="W55" s="13">
        <v>8</v>
      </c>
      <c r="X55" s="13">
        <v>0.697645581982583</v>
      </c>
    </row>
    <row r="56" ht="51" spans="1:24">
      <c r="A56" s="13">
        <v>2015</v>
      </c>
      <c r="B56" s="13">
        <v>450000</v>
      </c>
      <c r="C56" s="13" t="s">
        <v>56</v>
      </c>
      <c r="D56" s="13">
        <v>1</v>
      </c>
      <c r="E56" s="13">
        <v>0</v>
      </c>
      <c r="F56" s="13">
        <v>0</v>
      </c>
      <c r="G56" s="13">
        <v>0</v>
      </c>
      <c r="H56" s="13">
        <v>56.374</v>
      </c>
      <c r="I56" s="13">
        <v>43.626</v>
      </c>
      <c r="J56" s="13">
        <v>20.923</v>
      </c>
      <c r="K56" s="13">
        <v>67.367</v>
      </c>
      <c r="L56" s="13">
        <v>5.386</v>
      </c>
      <c r="M56" s="13">
        <v>0.49980732177264</v>
      </c>
      <c r="N56" s="19">
        <v>1297</v>
      </c>
      <c r="O56" s="13">
        <v>0.191522157996146</v>
      </c>
      <c r="P56" s="19">
        <v>497</v>
      </c>
      <c r="Q56" s="13">
        <v>0.308670520231214</v>
      </c>
      <c r="R56" s="19">
        <v>801</v>
      </c>
      <c r="S56" s="14">
        <v>2595</v>
      </c>
      <c r="T56" s="13">
        <v>58.4</v>
      </c>
      <c r="U56" s="13">
        <v>22.4</v>
      </c>
      <c r="V56" s="13">
        <v>150.2</v>
      </c>
      <c r="W56" s="13">
        <v>7.9</v>
      </c>
      <c r="X56" s="13">
        <v>0.717836799531793</v>
      </c>
    </row>
    <row r="57" ht="51" spans="1:24">
      <c r="A57" s="13">
        <v>2016</v>
      </c>
      <c r="B57" s="13">
        <v>450000</v>
      </c>
      <c r="C57" s="13" t="s">
        <v>56</v>
      </c>
      <c r="D57" s="13">
        <v>1</v>
      </c>
      <c r="E57" s="13">
        <v>0</v>
      </c>
      <c r="F57" s="13">
        <v>0</v>
      </c>
      <c r="G57" s="13">
        <v>0</v>
      </c>
      <c r="H57" s="13">
        <v>55.471</v>
      </c>
      <c r="I57" s="13">
        <v>44.529</v>
      </c>
      <c r="J57" s="13">
        <v>21.24</v>
      </c>
      <c r="K57" s="13">
        <v>67.271</v>
      </c>
      <c r="L57" s="13">
        <v>5.308</v>
      </c>
      <c r="M57" s="13">
        <v>0.467286101432443</v>
      </c>
      <c r="N57" s="19">
        <v>1207</v>
      </c>
      <c r="O57" s="13">
        <v>0.204413472706156</v>
      </c>
      <c r="P57" s="19">
        <v>528</v>
      </c>
      <c r="Q57" s="13">
        <v>0.328300425861401</v>
      </c>
      <c r="R57" s="19">
        <v>848</v>
      </c>
      <c r="S57" s="14">
        <v>2583</v>
      </c>
      <c r="T57" s="13">
        <v>56.8</v>
      </c>
      <c r="U57" s="13">
        <v>22</v>
      </c>
      <c r="V57" s="13">
        <v>152.5</v>
      </c>
      <c r="W57" s="13">
        <v>8</v>
      </c>
      <c r="X57" s="13">
        <v>0.782083920132069</v>
      </c>
    </row>
    <row r="58" ht="51" spans="1:24">
      <c r="A58" s="13">
        <v>2017</v>
      </c>
      <c r="B58" s="13">
        <v>450000</v>
      </c>
      <c r="C58" s="13" t="s">
        <v>56</v>
      </c>
      <c r="D58" s="13">
        <v>1</v>
      </c>
      <c r="E58" s="13">
        <v>0</v>
      </c>
      <c r="F58" s="13">
        <v>0</v>
      </c>
      <c r="G58" s="13">
        <v>0</v>
      </c>
      <c r="H58" s="13">
        <v>55.836</v>
      </c>
      <c r="I58" s="13">
        <v>44.164</v>
      </c>
      <c r="J58" s="13">
        <v>19.048</v>
      </c>
      <c r="K58" s="13">
        <v>68.544</v>
      </c>
      <c r="L58" s="13">
        <v>5.596</v>
      </c>
      <c r="M58" s="13">
        <v>0.432579890880748</v>
      </c>
      <c r="N58" s="19">
        <v>1110</v>
      </c>
      <c r="O58" s="13">
        <v>0.21667965705378</v>
      </c>
      <c r="P58" s="19">
        <v>556</v>
      </c>
      <c r="Q58" s="13">
        <v>0.350740452065472</v>
      </c>
      <c r="R58" s="19">
        <v>900</v>
      </c>
      <c r="S58" s="14">
        <v>2566</v>
      </c>
      <c r="T58" s="13">
        <v>56.8</v>
      </c>
      <c r="U58" s="13">
        <v>21.1</v>
      </c>
      <c r="V58" s="13">
        <v>157.6</v>
      </c>
      <c r="W58" s="13">
        <v>7.9</v>
      </c>
      <c r="X58" s="13">
        <v>0.408653459772247</v>
      </c>
    </row>
    <row r="59" ht="51" spans="1:24">
      <c r="A59" s="13">
        <v>2018</v>
      </c>
      <c r="B59" s="13">
        <v>450000</v>
      </c>
      <c r="C59" s="13" t="s">
        <v>56</v>
      </c>
      <c r="D59" s="13">
        <v>1</v>
      </c>
      <c r="E59" s="13">
        <v>0</v>
      </c>
      <c r="F59" s="13">
        <v>0</v>
      </c>
      <c r="G59" s="13">
        <v>0</v>
      </c>
      <c r="H59" s="13">
        <v>54.992</v>
      </c>
      <c r="I59" s="13">
        <v>45.008</v>
      </c>
      <c r="J59" s="13">
        <v>20.102</v>
      </c>
      <c r="K59" s="13">
        <v>67.994</v>
      </c>
      <c r="L59" s="13">
        <v>5.411</v>
      </c>
      <c r="M59" s="13">
        <v>0.399687743950039</v>
      </c>
      <c r="N59" s="19">
        <v>1024</v>
      </c>
      <c r="O59" s="13">
        <v>0.233021077283372</v>
      </c>
      <c r="P59" s="19">
        <v>597</v>
      </c>
      <c r="Q59" s="13">
        <v>0.367291178766589</v>
      </c>
      <c r="R59" s="19">
        <v>941</v>
      </c>
      <c r="S59" s="14">
        <v>2562</v>
      </c>
      <c r="T59" s="13">
        <v>58.2</v>
      </c>
      <c r="U59" s="13">
        <v>20.8</v>
      </c>
      <c r="V59" s="13">
        <v>161.2</v>
      </c>
      <c r="W59" s="13">
        <v>7.8</v>
      </c>
      <c r="X59" s="13">
        <v>0.418696975173278</v>
      </c>
    </row>
    <row r="60" ht="51" spans="1:24">
      <c r="A60" s="13">
        <v>2019</v>
      </c>
      <c r="B60" s="13">
        <v>450000</v>
      </c>
      <c r="C60" s="13" t="s">
        <v>56</v>
      </c>
      <c r="D60" s="13">
        <v>1</v>
      </c>
      <c r="E60" s="13">
        <v>0</v>
      </c>
      <c r="F60" s="13">
        <v>0</v>
      </c>
      <c r="G60" s="13">
        <v>0</v>
      </c>
      <c r="H60" s="13">
        <v>55.7</v>
      </c>
      <c r="I60" s="13">
        <v>44.3</v>
      </c>
      <c r="J60" s="13">
        <v>18.4</v>
      </c>
      <c r="K60" s="13">
        <v>75</v>
      </c>
      <c r="L60" s="13">
        <v>6.5</v>
      </c>
      <c r="M60" s="13">
        <v>0.371774824081314</v>
      </c>
      <c r="N60" s="19">
        <v>951</v>
      </c>
      <c r="O60" s="13">
        <v>0.2443315089914</v>
      </c>
      <c r="P60" s="19">
        <v>625</v>
      </c>
      <c r="Q60" s="13">
        <v>0.383893666927287</v>
      </c>
      <c r="R60" s="19">
        <v>982</v>
      </c>
      <c r="S60" s="14">
        <v>2558</v>
      </c>
      <c r="T60" s="13">
        <v>61.9</v>
      </c>
      <c r="U60" s="13">
        <v>21.6</v>
      </c>
      <c r="V60" s="13">
        <v>173</v>
      </c>
      <c r="W60" s="13">
        <v>9.1</v>
      </c>
      <c r="X60" s="13">
        <v>0.423907478493312</v>
      </c>
    </row>
    <row r="61" ht="51" spans="1:24">
      <c r="A61" s="13">
        <v>2020</v>
      </c>
      <c r="B61" s="13">
        <v>450000</v>
      </c>
      <c r="C61" s="13" t="s">
        <v>56</v>
      </c>
      <c r="D61" s="13">
        <v>1</v>
      </c>
      <c r="E61" s="13">
        <v>0</v>
      </c>
      <c r="F61" s="13">
        <v>0</v>
      </c>
      <c r="G61" s="13">
        <v>0</v>
      </c>
      <c r="H61" s="13">
        <v>55.6</v>
      </c>
      <c r="I61" s="13">
        <v>44.4</v>
      </c>
      <c r="J61" s="13">
        <v>17.6</v>
      </c>
      <c r="K61" s="13">
        <v>75.8</v>
      </c>
      <c r="L61" s="13">
        <v>6.7</v>
      </c>
      <c r="M61" s="13">
        <v>0.338545738858483</v>
      </c>
      <c r="N61" s="19">
        <v>866</v>
      </c>
      <c r="O61" s="13">
        <v>0.256059421422987</v>
      </c>
      <c r="P61" s="19">
        <v>655</v>
      </c>
      <c r="Q61" s="13">
        <v>0.40539483971853</v>
      </c>
      <c r="R61" s="19">
        <v>1037</v>
      </c>
      <c r="S61" s="14">
        <v>2558</v>
      </c>
      <c r="T61" s="13">
        <v>66</v>
      </c>
      <c r="U61" s="13">
        <v>20.7</v>
      </c>
      <c r="V61" s="13">
        <v>181.1</v>
      </c>
      <c r="W61" s="13">
        <v>9.4</v>
      </c>
      <c r="X61" s="13">
        <v>0.399657075532617</v>
      </c>
    </row>
    <row r="62" ht="51" spans="1:24">
      <c r="A62" s="13">
        <v>2021</v>
      </c>
      <c r="B62" s="13">
        <v>450000</v>
      </c>
      <c r="C62" s="13" t="s">
        <v>56</v>
      </c>
      <c r="D62" s="13">
        <v>1</v>
      </c>
      <c r="E62" s="13">
        <v>0</v>
      </c>
      <c r="F62" s="13">
        <v>0</v>
      </c>
      <c r="G62" s="13">
        <v>0</v>
      </c>
      <c r="H62" s="13">
        <v>55.888</v>
      </c>
      <c r="I62" s="13">
        <v>44.112</v>
      </c>
      <c r="J62" s="13">
        <v>18.323</v>
      </c>
      <c r="K62" s="13">
        <v>73.793</v>
      </c>
      <c r="L62" s="13">
        <v>7.883</v>
      </c>
      <c r="M62" s="13">
        <v>0.330974842767296</v>
      </c>
      <c r="N62" s="19">
        <v>842</v>
      </c>
      <c r="O62" s="13">
        <v>0.259040880503145</v>
      </c>
      <c r="P62" s="19">
        <v>659</v>
      </c>
      <c r="Q62" s="13">
        <v>0.40998427672956</v>
      </c>
      <c r="R62" s="19">
        <v>1043</v>
      </c>
      <c r="S62" s="14">
        <v>2544</v>
      </c>
      <c r="T62" s="13">
        <v>70.5</v>
      </c>
      <c r="U62" s="13">
        <v>22.6</v>
      </c>
      <c r="V62" s="13">
        <v>181.9</v>
      </c>
      <c r="W62" s="13">
        <v>9.4</v>
      </c>
      <c r="X62" s="13">
        <v>0.40557546467141</v>
      </c>
    </row>
    <row r="63" ht="51" spans="1:24">
      <c r="A63" s="13">
        <v>2022</v>
      </c>
      <c r="B63" s="13">
        <v>450000</v>
      </c>
      <c r="C63" s="13" t="s">
        <v>56</v>
      </c>
      <c r="D63" s="13">
        <v>1</v>
      </c>
      <c r="E63" s="13">
        <v>0</v>
      </c>
      <c r="F63" s="13">
        <v>0</v>
      </c>
      <c r="G63" s="13">
        <v>0</v>
      </c>
      <c r="H63" s="13">
        <v>55.98</v>
      </c>
      <c r="I63" s="13">
        <v>44.02</v>
      </c>
      <c r="J63" s="13">
        <v>20.323</v>
      </c>
      <c r="K63" s="13">
        <v>70.86</v>
      </c>
      <c r="L63" s="13">
        <v>8.818</v>
      </c>
      <c r="M63" s="13">
        <v>0.34170653907496</v>
      </c>
      <c r="N63" s="19">
        <v>857</v>
      </c>
      <c r="O63" s="13">
        <v>0.253189792663477</v>
      </c>
      <c r="P63" s="19">
        <v>635</v>
      </c>
      <c r="Q63" s="13">
        <v>0.405103668261563</v>
      </c>
      <c r="R63" s="19">
        <v>1016</v>
      </c>
      <c r="S63" s="14">
        <v>2508</v>
      </c>
      <c r="T63" s="13">
        <v>65.3</v>
      </c>
      <c r="U63" s="13">
        <v>23.5</v>
      </c>
      <c r="V63" s="13">
        <v>184</v>
      </c>
      <c r="W63" s="13">
        <v>8.5</v>
      </c>
      <c r="X63" s="13">
        <v>0.419156494854988</v>
      </c>
    </row>
    <row r="64" ht="17" spans="1:24">
      <c r="A64" s="13">
        <v>2013</v>
      </c>
      <c r="B64" s="13">
        <v>520000</v>
      </c>
      <c r="C64" s="13" t="s">
        <v>57</v>
      </c>
      <c r="D64" s="13">
        <v>1</v>
      </c>
      <c r="E64" s="13">
        <v>0</v>
      </c>
      <c r="F64" s="13">
        <v>0</v>
      </c>
      <c r="G64" s="13">
        <v>0</v>
      </c>
      <c r="H64" s="13">
        <v>49.9509999999991</v>
      </c>
      <c r="I64" s="13">
        <v>50.0490000000009</v>
      </c>
      <c r="J64" s="13">
        <v>35.188</v>
      </c>
      <c r="K64" s="13">
        <v>61.161</v>
      </c>
      <c r="L64" s="13">
        <v>3.652</v>
      </c>
      <c r="M64" s="13">
        <v>0.579</v>
      </c>
      <c r="N64" s="19">
        <v>1039.884</v>
      </c>
      <c r="O64" s="13">
        <v>0.1549</v>
      </c>
      <c r="P64" s="19">
        <v>278.2004</v>
      </c>
      <c r="Q64" s="13">
        <v>0.2661</v>
      </c>
      <c r="R64" s="19">
        <v>477.9156</v>
      </c>
      <c r="S64" s="14">
        <v>1796</v>
      </c>
      <c r="T64" s="13">
        <v>33.8</v>
      </c>
      <c r="U64" s="13">
        <v>21.3</v>
      </c>
      <c r="V64" s="13">
        <v>115.3</v>
      </c>
      <c r="W64" s="13">
        <v>6.9</v>
      </c>
      <c r="X64" s="13">
        <v>0.69777036001646</v>
      </c>
    </row>
    <row r="65" ht="17" spans="1:24">
      <c r="A65" s="13">
        <v>2014</v>
      </c>
      <c r="B65" s="13">
        <v>520000</v>
      </c>
      <c r="C65" s="13" t="s">
        <v>57</v>
      </c>
      <c r="D65" s="13">
        <v>1</v>
      </c>
      <c r="E65" s="13">
        <v>0</v>
      </c>
      <c r="F65" s="13">
        <v>0</v>
      </c>
      <c r="G65" s="13">
        <v>0</v>
      </c>
      <c r="H65" s="13">
        <v>52.7</v>
      </c>
      <c r="I65" s="13">
        <v>47.3</v>
      </c>
      <c r="J65" s="13">
        <v>36.5</v>
      </c>
      <c r="K65" s="13">
        <v>59.7</v>
      </c>
      <c r="L65" s="13">
        <v>3.8</v>
      </c>
      <c r="M65" s="13">
        <v>0.5444</v>
      </c>
      <c r="N65" s="19">
        <v>990.808</v>
      </c>
      <c r="O65" s="13">
        <v>0.1682</v>
      </c>
      <c r="P65" s="19">
        <v>306.124</v>
      </c>
      <c r="Q65" s="13">
        <v>0.2874</v>
      </c>
      <c r="R65" s="19">
        <v>523.068</v>
      </c>
      <c r="S65" s="14">
        <v>1820</v>
      </c>
      <c r="T65" s="13">
        <v>35</v>
      </c>
      <c r="U65" s="13">
        <v>21.1</v>
      </c>
      <c r="V65" s="13">
        <v>121.9</v>
      </c>
      <c r="W65" s="13">
        <v>7.9</v>
      </c>
      <c r="X65" s="13">
        <v>0.701938585286885</v>
      </c>
    </row>
    <row r="66" ht="17" spans="1:24">
      <c r="A66" s="13">
        <v>2015</v>
      </c>
      <c r="B66" s="13">
        <v>520000</v>
      </c>
      <c r="C66" s="13" t="s">
        <v>57</v>
      </c>
      <c r="D66" s="13">
        <v>1</v>
      </c>
      <c r="E66" s="13">
        <v>0</v>
      </c>
      <c r="F66" s="13">
        <v>0</v>
      </c>
      <c r="G66" s="13">
        <v>0</v>
      </c>
      <c r="H66" s="13">
        <v>55.449</v>
      </c>
      <c r="I66" s="13">
        <v>44.551</v>
      </c>
      <c r="J66" s="13">
        <v>40.937</v>
      </c>
      <c r="K66" s="13">
        <v>51.215</v>
      </c>
      <c r="L66" s="13">
        <v>4.159</v>
      </c>
      <c r="M66" s="13">
        <v>0.509</v>
      </c>
      <c r="N66" s="19">
        <v>937.578</v>
      </c>
      <c r="O66" s="13">
        <v>0.1819</v>
      </c>
      <c r="P66" s="19">
        <v>335.0598</v>
      </c>
      <c r="Q66" s="13">
        <v>0.3091</v>
      </c>
      <c r="R66" s="19">
        <v>569.3622</v>
      </c>
      <c r="S66" s="14">
        <v>1842</v>
      </c>
      <c r="T66" s="13">
        <v>35.8</v>
      </c>
      <c r="U66" s="13">
        <v>18.6</v>
      </c>
      <c r="V66" s="13">
        <v>129.7</v>
      </c>
      <c r="W66" s="13">
        <v>8.7</v>
      </c>
      <c r="X66" s="13">
        <v>0.582216005105805</v>
      </c>
    </row>
    <row r="67" ht="17" spans="1:24">
      <c r="A67" s="13">
        <v>2016</v>
      </c>
      <c r="B67" s="13">
        <v>520000</v>
      </c>
      <c r="C67" s="13" t="s">
        <v>57</v>
      </c>
      <c r="D67" s="13">
        <v>1</v>
      </c>
      <c r="E67" s="13">
        <v>0</v>
      </c>
      <c r="F67" s="13">
        <v>0</v>
      </c>
      <c r="G67" s="13">
        <v>0</v>
      </c>
      <c r="H67" s="13">
        <v>53.863</v>
      </c>
      <c r="I67" s="13">
        <v>46.137</v>
      </c>
      <c r="J67" s="13">
        <v>42.204</v>
      </c>
      <c r="K67" s="13">
        <v>49.259</v>
      </c>
      <c r="L67" s="13">
        <v>5.032</v>
      </c>
      <c r="M67" s="13">
        <v>0.475</v>
      </c>
      <c r="N67" s="19">
        <v>883.025</v>
      </c>
      <c r="O67" s="13">
        <v>0.1949</v>
      </c>
      <c r="P67" s="19">
        <v>362.3191</v>
      </c>
      <c r="Q67" s="13">
        <v>0.3301</v>
      </c>
      <c r="R67" s="19">
        <v>613.6559</v>
      </c>
      <c r="S67" s="14">
        <v>1859</v>
      </c>
      <c r="T67" s="13">
        <v>36.9</v>
      </c>
      <c r="U67" s="13">
        <v>18.9</v>
      </c>
      <c r="V67" s="13">
        <v>133.3</v>
      </c>
      <c r="W67" s="13">
        <v>8.8</v>
      </c>
      <c r="X67" s="13">
        <v>0.599636638168806</v>
      </c>
    </row>
    <row r="68" ht="17" spans="1:24">
      <c r="A68" s="13">
        <v>2017</v>
      </c>
      <c r="B68" s="13">
        <v>520000</v>
      </c>
      <c r="C68" s="13" t="s">
        <v>57</v>
      </c>
      <c r="D68" s="13">
        <v>1</v>
      </c>
      <c r="E68" s="13">
        <v>0</v>
      </c>
      <c r="F68" s="13">
        <v>0</v>
      </c>
      <c r="G68" s="13">
        <v>0</v>
      </c>
      <c r="H68" s="13">
        <v>53.941</v>
      </c>
      <c r="I68" s="13">
        <v>46.059</v>
      </c>
      <c r="J68" s="13">
        <v>40.639</v>
      </c>
      <c r="K68" s="13">
        <v>50.653</v>
      </c>
      <c r="L68" s="13">
        <v>5.332</v>
      </c>
      <c r="M68" s="13">
        <v>0.4402</v>
      </c>
      <c r="N68" s="19">
        <v>828.0162</v>
      </c>
      <c r="O68" s="13">
        <v>0.2083</v>
      </c>
      <c r="P68" s="19">
        <v>391.8123</v>
      </c>
      <c r="Q68" s="13">
        <v>0.3515</v>
      </c>
      <c r="R68" s="19">
        <v>661.1715</v>
      </c>
      <c r="S68" s="14">
        <v>1881</v>
      </c>
      <c r="T68" s="13">
        <v>39.6</v>
      </c>
      <c r="U68" s="13">
        <v>19.7</v>
      </c>
      <c r="V68" s="13">
        <v>138.9</v>
      </c>
      <c r="W68" s="13">
        <v>9.6</v>
      </c>
      <c r="X68" s="13">
        <v>0.661576281083755</v>
      </c>
    </row>
    <row r="69" ht="17" spans="1:24">
      <c r="A69" s="13">
        <v>2018</v>
      </c>
      <c r="B69" s="13">
        <v>520000</v>
      </c>
      <c r="C69" s="13" t="s">
        <v>57</v>
      </c>
      <c r="D69" s="13">
        <v>1</v>
      </c>
      <c r="E69" s="13">
        <v>0</v>
      </c>
      <c r="F69" s="13">
        <v>0</v>
      </c>
      <c r="G69" s="13">
        <v>0</v>
      </c>
      <c r="H69" s="13">
        <v>54.017</v>
      </c>
      <c r="I69" s="13">
        <v>45.983</v>
      </c>
      <c r="J69" s="13">
        <v>39.852</v>
      </c>
      <c r="K69" s="13">
        <v>50.906</v>
      </c>
      <c r="L69" s="13">
        <v>5.579</v>
      </c>
      <c r="M69" s="13">
        <v>0.4056</v>
      </c>
      <c r="N69" s="19">
        <v>764.9616</v>
      </c>
      <c r="O69" s="13">
        <v>0.2216</v>
      </c>
      <c r="P69" s="19">
        <v>417.9376</v>
      </c>
      <c r="Q69" s="13">
        <v>0.3728</v>
      </c>
      <c r="R69" s="19">
        <v>703.1008</v>
      </c>
      <c r="S69" s="14">
        <v>1886</v>
      </c>
      <c r="T69" s="13">
        <v>38.3</v>
      </c>
      <c r="U69" s="13">
        <v>18.4</v>
      </c>
      <c r="V69" s="13">
        <v>145.3</v>
      </c>
      <c r="W69" s="13">
        <v>8.6</v>
      </c>
      <c r="X69" s="13">
        <v>0.363987898373383</v>
      </c>
    </row>
    <row r="70" ht="17" spans="1:24">
      <c r="A70" s="13">
        <v>2019</v>
      </c>
      <c r="B70" s="13">
        <v>520000</v>
      </c>
      <c r="C70" s="13" t="s">
        <v>57</v>
      </c>
      <c r="D70" s="13">
        <v>1</v>
      </c>
      <c r="E70" s="13">
        <v>0</v>
      </c>
      <c r="F70" s="13">
        <v>0</v>
      </c>
      <c r="G70" s="13">
        <v>0</v>
      </c>
      <c r="H70" s="13">
        <v>57.9</v>
      </c>
      <c r="I70" s="13">
        <v>42.1</v>
      </c>
      <c r="J70" s="13">
        <v>36.9</v>
      </c>
      <c r="K70" s="13">
        <v>55.6</v>
      </c>
      <c r="L70" s="13">
        <v>7.3</v>
      </c>
      <c r="M70" s="13">
        <v>0.371</v>
      </c>
      <c r="N70" s="19">
        <v>700.448</v>
      </c>
      <c r="O70" s="13">
        <v>0.2349</v>
      </c>
      <c r="P70" s="19">
        <v>443.4912</v>
      </c>
      <c r="Q70" s="13">
        <v>0.3941</v>
      </c>
      <c r="R70" s="19">
        <v>744.0608</v>
      </c>
      <c r="S70" s="14">
        <v>1888</v>
      </c>
      <c r="T70" s="13">
        <v>44.7</v>
      </c>
      <c r="U70" s="13">
        <v>17.8</v>
      </c>
      <c r="V70" s="13">
        <v>153.2</v>
      </c>
      <c r="W70" s="13">
        <v>10.7</v>
      </c>
      <c r="X70" s="13">
        <v>0.377784533685712</v>
      </c>
    </row>
    <row r="71" ht="17" spans="1:24">
      <c r="A71" s="13">
        <v>2020</v>
      </c>
      <c r="B71" s="13">
        <v>520000</v>
      </c>
      <c r="C71" s="13" t="s">
        <v>57</v>
      </c>
      <c r="D71" s="13">
        <v>1</v>
      </c>
      <c r="E71" s="13">
        <v>0</v>
      </c>
      <c r="F71" s="13">
        <v>0</v>
      </c>
      <c r="G71" s="13">
        <v>0</v>
      </c>
      <c r="H71" s="13">
        <v>56.9</v>
      </c>
      <c r="I71" s="13">
        <v>43.1</v>
      </c>
      <c r="J71" s="13">
        <v>37.9</v>
      </c>
      <c r="K71" s="13">
        <v>54.9</v>
      </c>
      <c r="L71" s="13">
        <v>7.3</v>
      </c>
      <c r="M71" s="13">
        <v>0.335095137420719</v>
      </c>
      <c r="N71" s="19">
        <v>634</v>
      </c>
      <c r="O71" s="13">
        <v>0.249471458773784</v>
      </c>
      <c r="P71" s="19">
        <v>472</v>
      </c>
      <c r="Q71" s="13">
        <v>0.415433403805497</v>
      </c>
      <c r="R71" s="19">
        <v>786</v>
      </c>
      <c r="S71" s="14">
        <v>1892</v>
      </c>
      <c r="T71" s="13">
        <v>45.3</v>
      </c>
      <c r="U71" s="13">
        <v>19.3</v>
      </c>
      <c r="V71" s="13">
        <v>164.7</v>
      </c>
      <c r="W71" s="13">
        <v>10.6</v>
      </c>
      <c r="X71" s="13">
        <v>0.386040635356539</v>
      </c>
    </row>
    <row r="72" ht="17" spans="1:24">
      <c r="A72" s="13">
        <v>2021</v>
      </c>
      <c r="B72" s="13">
        <v>520000</v>
      </c>
      <c r="C72" s="13" t="s">
        <v>57</v>
      </c>
      <c r="D72" s="13">
        <v>1</v>
      </c>
      <c r="E72" s="13">
        <v>0</v>
      </c>
      <c r="F72" s="13">
        <v>0</v>
      </c>
      <c r="G72" s="13">
        <v>0</v>
      </c>
      <c r="H72" s="13">
        <v>55.549</v>
      </c>
      <c r="I72" s="13">
        <v>44.451</v>
      </c>
      <c r="J72" s="13">
        <v>35.05</v>
      </c>
      <c r="K72" s="13">
        <v>57.373</v>
      </c>
      <c r="L72" s="13">
        <v>7.579</v>
      </c>
      <c r="M72" s="13">
        <v>0.327677624602333</v>
      </c>
      <c r="N72" s="19">
        <v>618</v>
      </c>
      <c r="O72" s="13">
        <v>0.251855779427359</v>
      </c>
      <c r="P72" s="19">
        <v>475</v>
      </c>
      <c r="Q72" s="13">
        <v>0.420466595970308</v>
      </c>
      <c r="R72" s="19">
        <v>793</v>
      </c>
      <c r="S72" s="14">
        <v>1886</v>
      </c>
      <c r="T72" s="13">
        <v>45.2</v>
      </c>
      <c r="U72" s="13">
        <v>19.1</v>
      </c>
      <c r="V72" s="13">
        <v>164.8</v>
      </c>
      <c r="W72" s="13">
        <v>10.4</v>
      </c>
      <c r="X72" s="13">
        <v>0.395322968443715</v>
      </c>
    </row>
    <row r="73" ht="17" spans="1:24">
      <c r="A73" s="13">
        <v>2022</v>
      </c>
      <c r="B73" s="13">
        <v>520000</v>
      </c>
      <c r="C73" s="13" t="s">
        <v>57</v>
      </c>
      <c r="D73" s="13">
        <v>1</v>
      </c>
      <c r="E73" s="13">
        <v>0</v>
      </c>
      <c r="F73" s="13">
        <v>0</v>
      </c>
      <c r="G73" s="13">
        <v>0</v>
      </c>
      <c r="H73" s="13">
        <v>55.155</v>
      </c>
      <c r="I73" s="13">
        <v>44.845</v>
      </c>
      <c r="J73" s="13">
        <v>37.712</v>
      </c>
      <c r="K73" s="13">
        <v>53.682</v>
      </c>
      <c r="L73" s="13">
        <v>8.606</v>
      </c>
      <c r="M73" s="13">
        <v>0.369009584664537</v>
      </c>
      <c r="N73" s="19">
        <v>693</v>
      </c>
      <c r="O73" s="13">
        <v>0.236421725239617</v>
      </c>
      <c r="P73" s="19">
        <v>444</v>
      </c>
      <c r="Q73" s="13">
        <v>0.394568690095847</v>
      </c>
      <c r="R73" s="19">
        <v>741</v>
      </c>
      <c r="S73" s="14">
        <v>1878</v>
      </c>
      <c r="T73" s="13">
        <v>42.7</v>
      </c>
      <c r="U73" s="13">
        <v>19.2</v>
      </c>
      <c r="V73" s="13">
        <v>163</v>
      </c>
      <c r="W73" s="13">
        <v>8.7</v>
      </c>
      <c r="X73" s="13">
        <v>0.401664079996612</v>
      </c>
    </row>
    <row r="74" ht="17" spans="1:24">
      <c r="A74" s="13">
        <v>2013</v>
      </c>
      <c r="B74" s="13">
        <v>460000</v>
      </c>
      <c r="C74" s="13" t="s">
        <v>58</v>
      </c>
      <c r="D74" s="13">
        <v>0</v>
      </c>
      <c r="E74" s="13">
        <v>1</v>
      </c>
      <c r="F74" s="13">
        <v>0</v>
      </c>
      <c r="G74" s="13">
        <v>0</v>
      </c>
      <c r="H74" s="13">
        <v>54.6659999999999</v>
      </c>
      <c r="I74" s="13">
        <v>45.3340000000001</v>
      </c>
      <c r="J74" s="13">
        <v>13.152</v>
      </c>
      <c r="K74" s="13">
        <v>81.819</v>
      </c>
      <c r="L74" s="13">
        <v>5.029</v>
      </c>
      <c r="M74" s="13">
        <v>0.406494618395303</v>
      </c>
      <c r="N74" s="19">
        <v>199.41</v>
      </c>
      <c r="O74" s="13">
        <v>0.126793868232224</v>
      </c>
      <c r="P74" s="19">
        <v>62.2</v>
      </c>
      <c r="Q74" s="13">
        <v>0.466691128506197</v>
      </c>
      <c r="R74" s="19">
        <v>228.94</v>
      </c>
      <c r="S74" s="14">
        <v>490.56</v>
      </c>
      <c r="T74" s="13">
        <v>13.5</v>
      </c>
      <c r="U74" s="13">
        <v>21.3</v>
      </c>
      <c r="V74" s="13">
        <v>32.2</v>
      </c>
      <c r="W74" s="13">
        <v>5.8</v>
      </c>
      <c r="X74" s="13">
        <v>1.00076917076687</v>
      </c>
    </row>
    <row r="75" ht="17" spans="1:24">
      <c r="A75" s="13">
        <v>2014</v>
      </c>
      <c r="B75" s="13">
        <v>460000</v>
      </c>
      <c r="C75" s="13" t="s">
        <v>58</v>
      </c>
      <c r="D75" s="13">
        <v>0</v>
      </c>
      <c r="E75" s="13">
        <v>1</v>
      </c>
      <c r="F75" s="13">
        <v>0</v>
      </c>
      <c r="G75" s="13">
        <v>0</v>
      </c>
      <c r="H75" s="13">
        <v>55.6</v>
      </c>
      <c r="I75" s="13">
        <v>44.4</v>
      </c>
      <c r="J75" s="13">
        <v>13.2</v>
      </c>
      <c r="K75" s="13">
        <v>79.9</v>
      </c>
      <c r="L75" s="13">
        <v>6.9</v>
      </c>
      <c r="M75" s="13">
        <v>0.387998413013291</v>
      </c>
      <c r="N75" s="19">
        <v>195.59</v>
      </c>
      <c r="O75" s="13">
        <v>0.126502678040071</v>
      </c>
      <c r="P75" s="19">
        <v>63.77</v>
      </c>
      <c r="Q75" s="13">
        <v>0.485498908946638</v>
      </c>
      <c r="R75" s="19">
        <v>244.74</v>
      </c>
      <c r="S75" s="14">
        <v>504.1</v>
      </c>
      <c r="T75" s="13">
        <v>15.1</v>
      </c>
      <c r="U75" s="13">
        <v>14</v>
      </c>
      <c r="V75" s="13">
        <v>34.6</v>
      </c>
      <c r="W75" s="13">
        <v>7.4</v>
      </c>
      <c r="X75" s="13">
        <v>0.964179707568879</v>
      </c>
    </row>
    <row r="76" ht="17" spans="1:24">
      <c r="A76" s="13">
        <v>2015</v>
      </c>
      <c r="B76" s="13">
        <v>460000</v>
      </c>
      <c r="C76" s="13" t="s">
        <v>58</v>
      </c>
      <c r="D76" s="13">
        <v>0</v>
      </c>
      <c r="E76" s="13">
        <v>1</v>
      </c>
      <c r="F76" s="13">
        <v>0</v>
      </c>
      <c r="G76" s="13">
        <v>0</v>
      </c>
      <c r="H76" s="13">
        <v>56.534</v>
      </c>
      <c r="I76" s="13">
        <v>43.466</v>
      </c>
      <c r="J76" s="13">
        <v>16.605</v>
      </c>
      <c r="K76" s="13">
        <v>70.53</v>
      </c>
      <c r="L76" s="13">
        <v>6.275</v>
      </c>
      <c r="M76" s="13">
        <v>0.371896781267131</v>
      </c>
      <c r="N76" s="19">
        <v>189.95</v>
      </c>
      <c r="O76" s="13">
        <v>0.125499256010651</v>
      </c>
      <c r="P76" s="19">
        <v>64.1</v>
      </c>
      <c r="Q76" s="13">
        <v>0.502603962722218</v>
      </c>
      <c r="R76" s="19">
        <v>256.71</v>
      </c>
      <c r="S76" s="14">
        <v>510.76</v>
      </c>
      <c r="T76" s="13">
        <v>16.4</v>
      </c>
      <c r="U76" s="13">
        <v>13.3</v>
      </c>
      <c r="V76" s="13">
        <v>35.4</v>
      </c>
      <c r="W76" s="13">
        <v>7.7</v>
      </c>
      <c r="X76" s="13">
        <v>0.97431428912809</v>
      </c>
    </row>
    <row r="77" ht="17" spans="1:24">
      <c r="A77" s="13">
        <v>2016</v>
      </c>
      <c r="B77" s="13">
        <v>460000</v>
      </c>
      <c r="C77" s="13" t="s">
        <v>58</v>
      </c>
      <c r="D77" s="13">
        <v>0</v>
      </c>
      <c r="E77" s="13">
        <v>1</v>
      </c>
      <c r="F77" s="13">
        <v>0</v>
      </c>
      <c r="G77" s="13">
        <v>0</v>
      </c>
      <c r="H77" s="13">
        <v>55.98</v>
      </c>
      <c r="I77" s="13">
        <v>44.02</v>
      </c>
      <c r="J77" s="13">
        <v>15.157</v>
      </c>
      <c r="K77" s="13">
        <v>71.776</v>
      </c>
      <c r="L77" s="13">
        <v>6.456</v>
      </c>
      <c r="M77" s="13">
        <v>0.365299918150992</v>
      </c>
      <c r="N77" s="19">
        <v>187.45</v>
      </c>
      <c r="O77" s="13">
        <v>0.122695560665705</v>
      </c>
      <c r="P77" s="19">
        <v>62.96</v>
      </c>
      <c r="Q77" s="13">
        <v>0.512004521183303</v>
      </c>
      <c r="R77" s="19">
        <v>262.73</v>
      </c>
      <c r="S77" s="14">
        <v>513.14</v>
      </c>
      <c r="T77" s="13">
        <v>16.9</v>
      </c>
      <c r="U77" s="13">
        <v>13.5</v>
      </c>
      <c r="V77" s="13">
        <v>36.8</v>
      </c>
      <c r="W77" s="13">
        <v>8.4</v>
      </c>
      <c r="X77" s="13">
        <v>0.961120067911585</v>
      </c>
    </row>
    <row r="78" ht="17" spans="1:24">
      <c r="A78" s="13">
        <v>2017</v>
      </c>
      <c r="B78" s="13">
        <v>460000</v>
      </c>
      <c r="C78" s="13" t="s">
        <v>58</v>
      </c>
      <c r="D78" s="13">
        <v>0</v>
      </c>
      <c r="E78" s="13">
        <v>1</v>
      </c>
      <c r="F78" s="13">
        <v>0</v>
      </c>
      <c r="G78" s="13">
        <v>0</v>
      </c>
      <c r="H78" s="13">
        <v>56.512</v>
      </c>
      <c r="I78" s="13">
        <v>43.488</v>
      </c>
      <c r="J78" s="13">
        <v>14.615</v>
      </c>
      <c r="K78" s="13">
        <v>72.088</v>
      </c>
      <c r="L78" s="13">
        <v>6.721</v>
      </c>
      <c r="M78" s="13">
        <v>0.34900260520661</v>
      </c>
      <c r="N78" s="19">
        <v>183.53</v>
      </c>
      <c r="O78" s="13">
        <v>0.117595603476144</v>
      </c>
      <c r="P78" s="19">
        <v>61.84</v>
      </c>
      <c r="Q78" s="13">
        <v>0.533401791317246</v>
      </c>
      <c r="R78" s="19">
        <v>280.5</v>
      </c>
      <c r="S78" s="14">
        <v>525.87</v>
      </c>
      <c r="T78" s="13">
        <v>17.8</v>
      </c>
      <c r="U78" s="13">
        <v>13.4</v>
      </c>
      <c r="V78" s="13">
        <v>38.3</v>
      </c>
      <c r="W78" s="13">
        <v>9.2</v>
      </c>
      <c r="X78" s="13">
        <v>0.956789413837167</v>
      </c>
    </row>
    <row r="79" ht="17" spans="1:24">
      <c r="A79" s="13">
        <v>2018</v>
      </c>
      <c r="B79" s="13">
        <v>460000</v>
      </c>
      <c r="C79" s="13" t="s">
        <v>58</v>
      </c>
      <c r="D79" s="13">
        <v>0</v>
      </c>
      <c r="E79" s="13">
        <v>1</v>
      </c>
      <c r="F79" s="13">
        <v>0</v>
      </c>
      <c r="G79" s="13">
        <v>0</v>
      </c>
      <c r="H79" s="13">
        <v>56.613</v>
      </c>
      <c r="I79" s="13">
        <v>43.387</v>
      </c>
      <c r="J79" s="13">
        <v>13.802</v>
      </c>
      <c r="K79" s="13">
        <v>70.994</v>
      </c>
      <c r="L79" s="13">
        <v>7.784</v>
      </c>
      <c r="M79" s="13">
        <v>0.330700280112045</v>
      </c>
      <c r="N79" s="19">
        <v>177.09</v>
      </c>
      <c r="O79" s="13">
        <v>0.116900093370682</v>
      </c>
      <c r="P79" s="19">
        <v>62.6</v>
      </c>
      <c r="Q79" s="13">
        <v>0.552399626517274</v>
      </c>
      <c r="R79" s="19">
        <v>295.81</v>
      </c>
      <c r="S79" s="14">
        <v>535.5</v>
      </c>
      <c r="T79" s="13">
        <v>18.8</v>
      </c>
      <c r="U79" s="13">
        <v>13.4</v>
      </c>
      <c r="V79" s="13">
        <v>39.3</v>
      </c>
      <c r="W79" s="13">
        <v>8.6</v>
      </c>
      <c r="X79" s="13">
        <v>0.710375318733812</v>
      </c>
    </row>
    <row r="80" ht="17" spans="1:24">
      <c r="A80" s="13">
        <v>2019</v>
      </c>
      <c r="B80" s="13">
        <v>460000</v>
      </c>
      <c r="C80" s="13" t="s">
        <v>58</v>
      </c>
      <c r="D80" s="13">
        <v>0</v>
      </c>
      <c r="E80" s="13">
        <v>1</v>
      </c>
      <c r="F80" s="13">
        <v>0</v>
      </c>
      <c r="G80" s="13">
        <v>0</v>
      </c>
      <c r="H80" s="13">
        <v>53.4</v>
      </c>
      <c r="I80" s="13">
        <v>46.6</v>
      </c>
      <c r="J80" s="13">
        <v>11.3</v>
      </c>
      <c r="K80" s="13">
        <v>79.6</v>
      </c>
      <c r="L80" s="13">
        <v>9.1</v>
      </c>
      <c r="M80" s="13">
        <v>0.326705340321949</v>
      </c>
      <c r="N80" s="19">
        <v>175.15</v>
      </c>
      <c r="O80" s="13">
        <v>0.115797131185764</v>
      </c>
      <c r="P80" s="19">
        <v>62.08</v>
      </c>
      <c r="Q80" s="13">
        <v>0.557497528492287</v>
      </c>
      <c r="R80" s="19">
        <v>298.88</v>
      </c>
      <c r="S80" s="14">
        <v>536.11</v>
      </c>
      <c r="T80" s="13">
        <v>19.8</v>
      </c>
      <c r="U80" s="13">
        <v>13.1</v>
      </c>
      <c r="V80" s="13">
        <v>42</v>
      </c>
      <c r="W80" s="13">
        <v>8.2</v>
      </c>
      <c r="X80" s="13">
        <v>0.736285047727406</v>
      </c>
    </row>
    <row r="81" ht="17" spans="1:24">
      <c r="A81" s="13">
        <v>2020</v>
      </c>
      <c r="B81" s="13">
        <v>460000</v>
      </c>
      <c r="C81" s="13" t="s">
        <v>58</v>
      </c>
      <c r="D81" s="13">
        <v>0</v>
      </c>
      <c r="E81" s="13">
        <v>1</v>
      </c>
      <c r="F81" s="13">
        <v>0</v>
      </c>
      <c r="G81" s="13">
        <v>0</v>
      </c>
      <c r="H81" s="13">
        <v>55.2</v>
      </c>
      <c r="I81" s="13">
        <v>44.8</v>
      </c>
      <c r="J81" s="13">
        <v>11.8</v>
      </c>
      <c r="K81" s="13">
        <v>78.6</v>
      </c>
      <c r="L81" s="13">
        <v>9.6</v>
      </c>
      <c r="M81" s="13">
        <v>0.316081330868762</v>
      </c>
      <c r="N81" s="19">
        <v>171</v>
      </c>
      <c r="O81" s="13">
        <v>0.11460258780037</v>
      </c>
      <c r="P81" s="19">
        <v>62</v>
      </c>
      <c r="Q81" s="13">
        <v>0.569316081330869</v>
      </c>
      <c r="R81" s="19">
        <v>308</v>
      </c>
      <c r="S81" s="14">
        <v>541</v>
      </c>
      <c r="T81" s="13">
        <v>23.9</v>
      </c>
      <c r="U81" s="13">
        <v>14.2</v>
      </c>
      <c r="V81" s="13">
        <v>42.1</v>
      </c>
      <c r="W81" s="13">
        <v>8.4</v>
      </c>
      <c r="X81" s="13">
        <v>0.75222240042079</v>
      </c>
    </row>
    <row r="82" ht="17" spans="1:24">
      <c r="A82" s="13">
        <v>2021</v>
      </c>
      <c r="B82" s="13">
        <v>460000</v>
      </c>
      <c r="C82" s="13" t="s">
        <v>58</v>
      </c>
      <c r="D82" s="13">
        <v>0</v>
      </c>
      <c r="E82" s="13">
        <v>1</v>
      </c>
      <c r="F82" s="13">
        <v>0</v>
      </c>
      <c r="G82" s="13">
        <v>0</v>
      </c>
      <c r="H82" s="13">
        <v>57.335</v>
      </c>
      <c r="I82" s="13">
        <v>42.665</v>
      </c>
      <c r="J82" s="13">
        <v>11.158</v>
      </c>
      <c r="K82" s="13">
        <v>77.74</v>
      </c>
      <c r="L82" s="13">
        <v>11.103</v>
      </c>
      <c r="M82" s="13">
        <v>0.310661764705882</v>
      </c>
      <c r="N82" s="19">
        <v>169</v>
      </c>
      <c r="O82" s="13">
        <v>0.113970588235294</v>
      </c>
      <c r="P82" s="19">
        <v>62</v>
      </c>
      <c r="Q82" s="13">
        <v>0.575367647058823</v>
      </c>
      <c r="R82" s="19">
        <v>313</v>
      </c>
      <c r="S82" s="14">
        <v>544</v>
      </c>
      <c r="T82" s="13">
        <v>24.5</v>
      </c>
      <c r="U82" s="13">
        <v>14.4</v>
      </c>
      <c r="V82" s="13">
        <v>45.3</v>
      </c>
      <c r="W82" s="13">
        <v>9.4</v>
      </c>
      <c r="X82" s="13">
        <v>0.761727014629989</v>
      </c>
    </row>
    <row r="83" ht="17" spans="1:24">
      <c r="A83" s="13">
        <v>2022</v>
      </c>
      <c r="B83" s="13">
        <v>460000</v>
      </c>
      <c r="C83" s="13" t="s">
        <v>58</v>
      </c>
      <c r="D83" s="13">
        <v>0</v>
      </c>
      <c r="E83" s="13">
        <v>1</v>
      </c>
      <c r="F83" s="13">
        <v>0</v>
      </c>
      <c r="G83" s="13">
        <v>0</v>
      </c>
      <c r="H83" s="13">
        <v>57.616</v>
      </c>
      <c r="I83" s="13">
        <v>42.384</v>
      </c>
      <c r="J83" s="13">
        <v>12.778</v>
      </c>
      <c r="K83" s="13">
        <v>75.386</v>
      </c>
      <c r="L83" s="13">
        <v>11.835</v>
      </c>
      <c r="M83" s="13">
        <v>0.325800376647834</v>
      </c>
      <c r="N83" s="19">
        <v>173</v>
      </c>
      <c r="O83" s="13">
        <v>0.109227871939736</v>
      </c>
      <c r="P83" s="19">
        <v>58</v>
      </c>
      <c r="Q83" s="13">
        <v>0.564971751412429</v>
      </c>
      <c r="R83" s="19">
        <v>300</v>
      </c>
      <c r="S83" s="14">
        <v>531</v>
      </c>
      <c r="T83" s="13">
        <v>22.1</v>
      </c>
      <c r="U83" s="13">
        <v>14.7</v>
      </c>
      <c r="V83" s="13">
        <v>44.7</v>
      </c>
      <c r="W83" s="13">
        <v>8.7</v>
      </c>
      <c r="X83" s="13">
        <v>0.786102696566657</v>
      </c>
    </row>
    <row r="84" ht="17" spans="1:24">
      <c r="A84" s="13">
        <v>2013</v>
      </c>
      <c r="B84" s="13">
        <v>130000</v>
      </c>
      <c r="C84" s="13" t="s">
        <v>59</v>
      </c>
      <c r="D84" s="13">
        <v>0</v>
      </c>
      <c r="E84" s="13">
        <v>1</v>
      </c>
      <c r="F84" s="13">
        <v>0</v>
      </c>
      <c r="G84" s="13">
        <v>0</v>
      </c>
      <c r="H84" s="13">
        <v>56.5849999999999</v>
      </c>
      <c r="I84" s="13">
        <v>43.4150000000002</v>
      </c>
      <c r="J84" s="13">
        <v>18.3</v>
      </c>
      <c r="K84" s="13">
        <v>77.497</v>
      </c>
      <c r="L84" s="13">
        <v>4.203</v>
      </c>
      <c r="M84" s="13">
        <v>0.341021825396825</v>
      </c>
      <c r="N84" s="19">
        <v>1375</v>
      </c>
      <c r="O84" s="13">
        <v>0.34375</v>
      </c>
      <c r="P84" s="19">
        <v>1386</v>
      </c>
      <c r="Q84" s="13">
        <v>0.315228174603175</v>
      </c>
      <c r="R84" s="19">
        <v>1271</v>
      </c>
      <c r="S84" s="14">
        <v>4032</v>
      </c>
      <c r="T84" s="13">
        <v>87.3</v>
      </c>
      <c r="U84" s="13">
        <v>42.5</v>
      </c>
      <c r="V84" s="13">
        <v>220.3</v>
      </c>
      <c r="W84" s="13">
        <v>9.1</v>
      </c>
      <c r="X84" s="13">
        <v>0.815800681577265</v>
      </c>
    </row>
    <row r="85" ht="17" spans="1:24">
      <c r="A85" s="13">
        <v>2014</v>
      </c>
      <c r="B85" s="13">
        <v>130000</v>
      </c>
      <c r="C85" s="13" t="s">
        <v>59</v>
      </c>
      <c r="D85" s="13">
        <v>0</v>
      </c>
      <c r="E85" s="13">
        <v>1</v>
      </c>
      <c r="F85" s="13">
        <v>0</v>
      </c>
      <c r="G85" s="13">
        <v>0</v>
      </c>
      <c r="H85" s="13">
        <v>57.1</v>
      </c>
      <c r="I85" s="13">
        <v>42.9</v>
      </c>
      <c r="J85" s="13">
        <v>16.6</v>
      </c>
      <c r="K85" s="13">
        <v>78</v>
      </c>
      <c r="L85" s="13">
        <v>5.5</v>
      </c>
      <c r="M85" s="13">
        <v>0.336349924585219</v>
      </c>
      <c r="N85" s="19">
        <v>1338</v>
      </c>
      <c r="O85" s="13">
        <v>0.342131724484666</v>
      </c>
      <c r="P85" s="19">
        <v>1361</v>
      </c>
      <c r="Q85" s="13">
        <v>0.321518350930116</v>
      </c>
      <c r="R85" s="19">
        <v>1279</v>
      </c>
      <c r="S85" s="14">
        <v>3978</v>
      </c>
      <c r="T85" s="13">
        <v>93.6</v>
      </c>
      <c r="U85" s="13">
        <v>41.3</v>
      </c>
      <c r="V85" s="13">
        <v>223.1</v>
      </c>
      <c r="W85" s="13">
        <v>10.5</v>
      </c>
      <c r="X85" s="13">
        <v>0.826856301175189</v>
      </c>
    </row>
    <row r="86" ht="17" spans="1:24">
      <c r="A86" s="13">
        <v>2015</v>
      </c>
      <c r="B86" s="13">
        <v>130000</v>
      </c>
      <c r="C86" s="13" t="s">
        <v>59</v>
      </c>
      <c r="D86" s="13">
        <v>0</v>
      </c>
      <c r="E86" s="13">
        <v>1</v>
      </c>
      <c r="F86" s="13">
        <v>0</v>
      </c>
      <c r="G86" s="13">
        <v>0</v>
      </c>
      <c r="H86" s="13">
        <v>57.615</v>
      </c>
      <c r="I86" s="13">
        <v>42.385</v>
      </c>
      <c r="J86" s="13">
        <v>14.943</v>
      </c>
      <c r="K86" s="13">
        <v>72.216</v>
      </c>
      <c r="L86" s="13">
        <v>6.539</v>
      </c>
      <c r="M86" s="13">
        <v>0.329004329004329</v>
      </c>
      <c r="N86" s="19">
        <v>1292</v>
      </c>
      <c r="O86" s="13">
        <v>0.338680926916221</v>
      </c>
      <c r="P86" s="19">
        <v>1330</v>
      </c>
      <c r="Q86" s="13">
        <v>0.33231474407945</v>
      </c>
      <c r="R86" s="19">
        <v>1305</v>
      </c>
      <c r="S86" s="14">
        <v>3927</v>
      </c>
      <c r="T86" s="13">
        <v>96.1</v>
      </c>
      <c r="U86" s="13">
        <v>40.1</v>
      </c>
      <c r="V86" s="13">
        <v>223.7</v>
      </c>
      <c r="W86" s="13">
        <v>11</v>
      </c>
      <c r="X86" s="13">
        <v>0.852599954401068</v>
      </c>
    </row>
    <row r="87" ht="17" spans="1:24">
      <c r="A87" s="13">
        <v>2016</v>
      </c>
      <c r="B87" s="13">
        <v>130000</v>
      </c>
      <c r="C87" s="13" t="s">
        <v>59</v>
      </c>
      <c r="D87" s="13">
        <v>0</v>
      </c>
      <c r="E87" s="13">
        <v>1</v>
      </c>
      <c r="F87" s="13">
        <v>0</v>
      </c>
      <c r="G87" s="13">
        <v>0</v>
      </c>
      <c r="H87" s="13">
        <v>58.282</v>
      </c>
      <c r="I87" s="13">
        <v>41.718</v>
      </c>
      <c r="J87" s="13">
        <v>13.963</v>
      </c>
      <c r="K87" s="13">
        <v>72.82</v>
      </c>
      <c r="L87" s="13">
        <v>6.748</v>
      </c>
      <c r="M87" s="13">
        <v>0.306380780160165</v>
      </c>
      <c r="N87" s="19">
        <v>1186</v>
      </c>
      <c r="O87" s="13">
        <v>0.319555670369414</v>
      </c>
      <c r="P87" s="19">
        <v>1237</v>
      </c>
      <c r="Q87" s="13">
        <v>0.374063549470421</v>
      </c>
      <c r="R87" s="19">
        <v>1448</v>
      </c>
      <c r="S87" s="14">
        <v>3871</v>
      </c>
      <c r="T87" s="13">
        <v>98.3</v>
      </c>
      <c r="U87" s="13">
        <v>40.3</v>
      </c>
      <c r="V87" s="13">
        <v>225.3</v>
      </c>
      <c r="W87" s="13">
        <v>12.1</v>
      </c>
      <c r="X87" s="13">
        <v>0.435296917709886</v>
      </c>
    </row>
    <row r="88" ht="17" spans="1:24">
      <c r="A88" s="13">
        <v>2017</v>
      </c>
      <c r="B88" s="13">
        <v>130000</v>
      </c>
      <c r="C88" s="13" t="s">
        <v>59</v>
      </c>
      <c r="D88" s="13">
        <v>0</v>
      </c>
      <c r="E88" s="13">
        <v>1</v>
      </c>
      <c r="F88" s="13">
        <v>0</v>
      </c>
      <c r="G88" s="13">
        <v>0</v>
      </c>
      <c r="H88" s="13">
        <v>59.279</v>
      </c>
      <c r="I88" s="13">
        <v>40.721</v>
      </c>
      <c r="J88" s="13">
        <v>13.155</v>
      </c>
      <c r="K88" s="13">
        <v>73.133</v>
      </c>
      <c r="L88" s="13">
        <v>6.705</v>
      </c>
      <c r="M88" s="13">
        <v>0.286166007905138</v>
      </c>
      <c r="N88" s="19">
        <v>1086</v>
      </c>
      <c r="O88" s="13">
        <v>0.293280632411067</v>
      </c>
      <c r="P88" s="19">
        <v>1113</v>
      </c>
      <c r="Q88" s="13">
        <v>0.420553359683794</v>
      </c>
      <c r="R88" s="19">
        <v>1596</v>
      </c>
      <c r="S88" s="14">
        <v>3795</v>
      </c>
      <c r="T88" s="13">
        <v>90.3</v>
      </c>
      <c r="U88" s="13">
        <v>28.4</v>
      </c>
      <c r="V88" s="13">
        <v>228.3</v>
      </c>
      <c r="W88" s="13">
        <v>6.3</v>
      </c>
      <c r="X88" s="13">
        <v>0.449935429531753</v>
      </c>
    </row>
    <row r="89" ht="17" spans="1:24">
      <c r="A89" s="13">
        <v>2018</v>
      </c>
      <c r="B89" s="13">
        <v>130000</v>
      </c>
      <c r="C89" s="13" t="s">
        <v>59</v>
      </c>
      <c r="D89" s="13">
        <v>0</v>
      </c>
      <c r="E89" s="13">
        <v>1</v>
      </c>
      <c r="F89" s="13">
        <v>0</v>
      </c>
      <c r="G89" s="13">
        <v>0</v>
      </c>
      <c r="H89" s="13">
        <v>59.17</v>
      </c>
      <c r="I89" s="13">
        <v>40.83</v>
      </c>
      <c r="J89" s="13">
        <v>12.683</v>
      </c>
      <c r="K89" s="13">
        <v>73.586</v>
      </c>
      <c r="L89" s="13">
        <v>7.338</v>
      </c>
      <c r="M89" s="13">
        <v>0.262637068734956</v>
      </c>
      <c r="N89" s="19">
        <v>982</v>
      </c>
      <c r="O89" s="13">
        <v>0.270125702059374</v>
      </c>
      <c r="P89" s="19">
        <v>1010</v>
      </c>
      <c r="Q89" s="13">
        <v>0.46723722920567</v>
      </c>
      <c r="R89" s="19">
        <v>1747</v>
      </c>
      <c r="S89" s="14">
        <v>3739</v>
      </c>
      <c r="T89" s="13">
        <v>95.7</v>
      </c>
      <c r="U89" s="13">
        <v>30.2</v>
      </c>
      <c r="V89" s="13">
        <v>231.1</v>
      </c>
      <c r="W89" s="13">
        <v>8.3</v>
      </c>
      <c r="X89" s="13">
        <v>0.460135683751649</v>
      </c>
    </row>
    <row r="90" ht="17" spans="1:24">
      <c r="A90" s="13">
        <v>2019</v>
      </c>
      <c r="B90" s="13">
        <v>130000</v>
      </c>
      <c r="C90" s="13" t="s">
        <v>59</v>
      </c>
      <c r="D90" s="13">
        <v>0</v>
      </c>
      <c r="E90" s="13">
        <v>1</v>
      </c>
      <c r="F90" s="13">
        <v>0</v>
      </c>
      <c r="G90" s="13">
        <v>0</v>
      </c>
      <c r="H90" s="13">
        <v>57.7</v>
      </c>
      <c r="I90" s="13">
        <v>42.3</v>
      </c>
      <c r="J90" s="13">
        <v>13.4</v>
      </c>
      <c r="K90" s="13">
        <v>78.7</v>
      </c>
      <c r="L90" s="13">
        <v>7.9</v>
      </c>
      <c r="M90" s="13">
        <v>0.253376553214479</v>
      </c>
      <c r="N90" s="19">
        <v>938</v>
      </c>
      <c r="O90" s="13">
        <v>0.262830902215019</v>
      </c>
      <c r="P90" s="19">
        <v>973</v>
      </c>
      <c r="Q90" s="13">
        <v>0.483792544570502</v>
      </c>
      <c r="R90" s="19">
        <v>1791</v>
      </c>
      <c r="S90" s="14">
        <v>3702</v>
      </c>
      <c r="T90" s="13">
        <v>107.1</v>
      </c>
      <c r="U90" s="13">
        <v>32.8</v>
      </c>
      <c r="V90" s="13">
        <v>249.6</v>
      </c>
      <c r="W90" s="13">
        <v>10.4</v>
      </c>
      <c r="X90" s="13">
        <v>0.475043768347235</v>
      </c>
    </row>
    <row r="91" ht="17" spans="1:24">
      <c r="A91" s="13">
        <v>2020</v>
      </c>
      <c r="B91" s="13">
        <v>130000</v>
      </c>
      <c r="C91" s="13" t="s">
        <v>59</v>
      </c>
      <c r="D91" s="13">
        <v>0</v>
      </c>
      <c r="E91" s="13">
        <v>1</v>
      </c>
      <c r="F91" s="13">
        <v>0</v>
      </c>
      <c r="G91" s="13">
        <v>0</v>
      </c>
      <c r="H91" s="13">
        <v>57.5</v>
      </c>
      <c r="I91" s="13">
        <v>42.5</v>
      </c>
      <c r="J91" s="13">
        <v>13.2</v>
      </c>
      <c r="K91" s="13">
        <v>77.8</v>
      </c>
      <c r="L91" s="13">
        <v>8.9</v>
      </c>
      <c r="M91" s="13">
        <v>0.222010351402887</v>
      </c>
      <c r="N91" s="19">
        <v>815</v>
      </c>
      <c r="O91" s="13">
        <v>0.318986652138382</v>
      </c>
      <c r="P91" s="19">
        <v>1171</v>
      </c>
      <c r="Q91" s="13">
        <v>0.459002996458731</v>
      </c>
      <c r="R91" s="19">
        <v>1685</v>
      </c>
      <c r="S91" s="14">
        <v>3671</v>
      </c>
      <c r="T91" s="13">
        <v>104.8</v>
      </c>
      <c r="U91" s="13">
        <v>32.2</v>
      </c>
      <c r="V91" s="13">
        <v>235.5</v>
      </c>
      <c r="W91" s="13">
        <v>11.8</v>
      </c>
      <c r="X91" s="13">
        <v>0.492543572360353</v>
      </c>
    </row>
    <row r="92" ht="17" spans="1:24">
      <c r="A92" s="13">
        <v>2021</v>
      </c>
      <c r="B92" s="13">
        <v>130000</v>
      </c>
      <c r="C92" s="13" t="s">
        <v>59</v>
      </c>
      <c r="D92" s="13">
        <v>0</v>
      </c>
      <c r="E92" s="13">
        <v>1</v>
      </c>
      <c r="F92" s="13">
        <v>0</v>
      </c>
      <c r="G92" s="13">
        <v>0</v>
      </c>
      <c r="H92" s="13">
        <v>56.738</v>
      </c>
      <c r="I92" s="13">
        <v>43.262</v>
      </c>
      <c r="J92" s="13">
        <v>13.81</v>
      </c>
      <c r="K92" s="13">
        <v>77.575</v>
      </c>
      <c r="L92" s="13">
        <v>8.615</v>
      </c>
      <c r="M92" s="13">
        <v>0.213285753499863</v>
      </c>
      <c r="N92" s="19">
        <v>777</v>
      </c>
      <c r="O92" s="13">
        <v>0.320889376887181</v>
      </c>
      <c r="P92" s="19">
        <v>1169</v>
      </c>
      <c r="Q92" s="13">
        <v>0.465824869612956</v>
      </c>
      <c r="R92" s="19">
        <v>1697</v>
      </c>
      <c r="S92" s="14">
        <v>3643</v>
      </c>
      <c r="T92" s="13">
        <v>107.7</v>
      </c>
      <c r="U92" s="13">
        <v>32.9</v>
      </c>
      <c r="V92" s="13">
        <v>237.7</v>
      </c>
      <c r="W92" s="13">
        <v>12</v>
      </c>
      <c r="X92" s="13">
        <v>0.507870842859514</v>
      </c>
    </row>
    <row r="93" ht="17" spans="1:24">
      <c r="A93" s="13">
        <v>2022</v>
      </c>
      <c r="B93" s="13">
        <v>130000</v>
      </c>
      <c r="C93" s="13" t="s">
        <v>59</v>
      </c>
      <c r="D93" s="13">
        <v>0</v>
      </c>
      <c r="E93" s="13">
        <v>1</v>
      </c>
      <c r="F93" s="13">
        <v>0</v>
      </c>
      <c r="G93" s="13">
        <v>0</v>
      </c>
      <c r="H93" s="13">
        <v>56.014</v>
      </c>
      <c r="I93" s="13">
        <v>43.986</v>
      </c>
      <c r="J93" s="13">
        <v>15.098</v>
      </c>
      <c r="K93" s="13">
        <v>75.316</v>
      </c>
      <c r="L93" s="13">
        <v>9.586</v>
      </c>
      <c r="M93" s="13">
        <v>0.229050279329609</v>
      </c>
      <c r="N93" s="19">
        <v>820</v>
      </c>
      <c r="O93" s="13">
        <v>0.313128491620112</v>
      </c>
      <c r="P93" s="19">
        <v>1121</v>
      </c>
      <c r="Q93" s="13">
        <v>0.457821229050279</v>
      </c>
      <c r="R93" s="19">
        <v>1639</v>
      </c>
      <c r="S93" s="14">
        <v>3580</v>
      </c>
      <c r="T93" s="13">
        <v>106.7</v>
      </c>
      <c r="U93" s="13">
        <v>31.9</v>
      </c>
      <c r="V93" s="13">
        <v>243.4</v>
      </c>
      <c r="W93" s="13">
        <v>10.5</v>
      </c>
      <c r="X93" s="13">
        <v>0.519954226654602</v>
      </c>
    </row>
    <row r="94" ht="17" spans="1:24">
      <c r="A94" s="13">
        <v>2013</v>
      </c>
      <c r="B94" s="13">
        <v>410000</v>
      </c>
      <c r="C94" s="13" t="s">
        <v>60</v>
      </c>
      <c r="D94" s="13">
        <v>0</v>
      </c>
      <c r="E94" s="13">
        <v>0</v>
      </c>
      <c r="F94" s="13">
        <v>1</v>
      </c>
      <c r="G94" s="13">
        <v>0</v>
      </c>
      <c r="H94" s="13">
        <v>46.009</v>
      </c>
      <c r="I94" s="13">
        <v>53.991</v>
      </c>
      <c r="J94" s="13">
        <v>17.573</v>
      </c>
      <c r="K94" s="13">
        <v>78.771</v>
      </c>
      <c r="L94" s="13">
        <v>3.656</v>
      </c>
      <c r="M94" s="13">
        <v>0.401247546132705</v>
      </c>
      <c r="N94" s="19">
        <v>2043.955</v>
      </c>
      <c r="O94" s="13">
        <v>0.318649489595603</v>
      </c>
      <c r="P94" s="19">
        <v>1623.2005</v>
      </c>
      <c r="Q94" s="13">
        <v>0.280102964271692</v>
      </c>
      <c r="R94" s="19">
        <v>1426.8445</v>
      </c>
      <c r="S94" s="14">
        <v>5094</v>
      </c>
      <c r="T94" s="13">
        <v>104.5</v>
      </c>
      <c r="U94" s="13">
        <v>75</v>
      </c>
      <c r="V94" s="13">
        <v>286.2</v>
      </c>
      <c r="W94" s="13">
        <v>15.8</v>
      </c>
      <c r="X94" s="13">
        <v>0.715977069836763</v>
      </c>
    </row>
    <row r="95" ht="17" spans="1:24">
      <c r="A95" s="13">
        <v>2014</v>
      </c>
      <c r="B95" s="13">
        <v>410000</v>
      </c>
      <c r="C95" s="13" t="s">
        <v>60</v>
      </c>
      <c r="D95" s="13">
        <v>0</v>
      </c>
      <c r="E95" s="13">
        <v>0</v>
      </c>
      <c r="F95" s="13">
        <v>1</v>
      </c>
      <c r="G95" s="13">
        <v>0</v>
      </c>
      <c r="H95" s="13">
        <v>51.5</v>
      </c>
      <c r="I95" s="13">
        <v>48.5</v>
      </c>
      <c r="J95" s="13">
        <v>16.5</v>
      </c>
      <c r="K95" s="13">
        <v>79</v>
      </c>
      <c r="L95" s="13">
        <v>4.6</v>
      </c>
      <c r="M95" s="13">
        <v>0.373190102321921</v>
      </c>
      <c r="N95" s="19">
        <v>1896.5521</v>
      </c>
      <c r="O95" s="13">
        <v>0.298747560015742</v>
      </c>
      <c r="P95" s="19">
        <v>1518.2351</v>
      </c>
      <c r="Q95" s="13">
        <v>0.328062337662338</v>
      </c>
      <c r="R95" s="19">
        <v>1667.2128</v>
      </c>
      <c r="S95" s="14">
        <v>5082</v>
      </c>
      <c r="T95" s="13">
        <v>109.7</v>
      </c>
      <c r="U95" s="13">
        <v>74.4</v>
      </c>
      <c r="V95" s="13">
        <v>292.8</v>
      </c>
      <c r="W95" s="13">
        <v>18.4</v>
      </c>
      <c r="X95" s="13">
        <v>0.733428029513697</v>
      </c>
    </row>
    <row r="96" ht="17" spans="1:24">
      <c r="A96" s="13">
        <v>2015</v>
      </c>
      <c r="B96" s="13">
        <v>410000</v>
      </c>
      <c r="C96" s="13" t="s">
        <v>60</v>
      </c>
      <c r="D96" s="13">
        <v>0</v>
      </c>
      <c r="E96" s="13">
        <v>0</v>
      </c>
      <c r="F96" s="13">
        <v>1</v>
      </c>
      <c r="G96" s="13">
        <v>0</v>
      </c>
      <c r="H96" s="13">
        <v>56.991</v>
      </c>
      <c r="I96" s="13">
        <v>43.009</v>
      </c>
      <c r="J96" s="13">
        <v>16.954</v>
      </c>
      <c r="K96" s="13">
        <v>72.648</v>
      </c>
      <c r="L96" s="13">
        <v>5.149</v>
      </c>
      <c r="M96" s="13">
        <v>0.3387</v>
      </c>
      <c r="N96" s="19">
        <v>1718.9025</v>
      </c>
      <c r="O96" s="13">
        <v>0.299</v>
      </c>
      <c r="P96" s="19">
        <v>1517.425</v>
      </c>
      <c r="Q96" s="13">
        <v>0.3623</v>
      </c>
      <c r="R96" s="19">
        <v>1838.6725</v>
      </c>
      <c r="S96" s="14">
        <v>5075</v>
      </c>
      <c r="T96" s="13">
        <v>113.4</v>
      </c>
      <c r="U96" s="13">
        <v>76.7</v>
      </c>
      <c r="V96" s="13">
        <v>303.4</v>
      </c>
      <c r="W96" s="13">
        <v>21.2</v>
      </c>
      <c r="X96" s="13">
        <v>0.749128537409961</v>
      </c>
    </row>
    <row r="97" ht="17" spans="1:24">
      <c r="A97" s="13">
        <v>2016</v>
      </c>
      <c r="B97" s="13">
        <v>410000</v>
      </c>
      <c r="C97" s="13" t="s">
        <v>60</v>
      </c>
      <c r="D97" s="13">
        <v>0</v>
      </c>
      <c r="E97" s="13">
        <v>0</v>
      </c>
      <c r="F97" s="13">
        <v>1</v>
      </c>
      <c r="G97" s="13">
        <v>0</v>
      </c>
      <c r="H97" s="13">
        <v>55.063</v>
      </c>
      <c r="I97" s="13">
        <v>44.937</v>
      </c>
      <c r="J97" s="13">
        <v>17.874</v>
      </c>
      <c r="K97" s="13">
        <v>72.08</v>
      </c>
      <c r="L97" s="13">
        <v>5.08</v>
      </c>
      <c r="M97" s="13">
        <v>0.306</v>
      </c>
      <c r="N97" s="19">
        <v>1545.912</v>
      </c>
      <c r="O97" s="13">
        <v>0.2993</v>
      </c>
      <c r="P97" s="19">
        <v>1512.0636</v>
      </c>
      <c r="Q97" s="13">
        <v>0.3947</v>
      </c>
      <c r="R97" s="19">
        <v>1994.0244</v>
      </c>
      <c r="S97" s="14">
        <v>5052</v>
      </c>
      <c r="T97" s="13">
        <v>123.9</v>
      </c>
      <c r="U97" s="13">
        <v>78</v>
      </c>
      <c r="V97" s="13">
        <v>309.8</v>
      </c>
      <c r="W97" s="13">
        <v>23.1</v>
      </c>
      <c r="X97" s="13">
        <v>0.794055250076894</v>
      </c>
    </row>
    <row r="98" ht="17" spans="1:24">
      <c r="A98" s="13">
        <v>2017</v>
      </c>
      <c r="B98" s="13">
        <v>410000</v>
      </c>
      <c r="C98" s="13" t="s">
        <v>60</v>
      </c>
      <c r="D98" s="13">
        <v>0</v>
      </c>
      <c r="E98" s="13">
        <v>0</v>
      </c>
      <c r="F98" s="13">
        <v>1</v>
      </c>
      <c r="G98" s="13">
        <v>0</v>
      </c>
      <c r="H98" s="13">
        <v>55.542</v>
      </c>
      <c r="I98" s="13">
        <v>44.458</v>
      </c>
      <c r="J98" s="13">
        <v>16.279</v>
      </c>
      <c r="K98" s="13">
        <v>73.528</v>
      </c>
      <c r="L98" s="13">
        <v>4.953</v>
      </c>
      <c r="M98" s="13">
        <v>0.273440405647246</v>
      </c>
      <c r="N98" s="19">
        <v>1375.1318</v>
      </c>
      <c r="O98" s="13">
        <v>0.299508073175582</v>
      </c>
      <c r="P98" s="19">
        <v>1506.2261</v>
      </c>
      <c r="Q98" s="13">
        <v>0.427051461523166</v>
      </c>
      <c r="R98" s="19">
        <v>2147.6418</v>
      </c>
      <c r="S98" s="14">
        <v>5029</v>
      </c>
      <c r="T98" s="13">
        <v>124.8</v>
      </c>
      <c r="U98" s="13">
        <v>72.9</v>
      </c>
      <c r="V98" s="13">
        <v>313.5</v>
      </c>
      <c r="W98" s="13">
        <v>26.8</v>
      </c>
      <c r="X98" s="13">
        <v>0.392679438218834</v>
      </c>
    </row>
    <row r="99" ht="17" spans="1:24">
      <c r="A99" s="13">
        <v>2018</v>
      </c>
      <c r="B99" s="13">
        <v>410000</v>
      </c>
      <c r="C99" s="13" t="s">
        <v>60</v>
      </c>
      <c r="D99" s="13">
        <v>0</v>
      </c>
      <c r="E99" s="13">
        <v>0</v>
      </c>
      <c r="F99" s="13">
        <v>1</v>
      </c>
      <c r="G99" s="13">
        <v>0</v>
      </c>
      <c r="H99" s="13">
        <v>54.913</v>
      </c>
      <c r="I99" s="13">
        <v>45.087</v>
      </c>
      <c r="J99" s="13">
        <v>14.991</v>
      </c>
      <c r="K99" s="13">
        <v>74.173</v>
      </c>
      <c r="L99" s="13">
        <v>5.193</v>
      </c>
      <c r="M99" s="13">
        <v>0.260960256410256</v>
      </c>
      <c r="N99" s="19">
        <v>1302.7136</v>
      </c>
      <c r="O99" s="13">
        <v>0.300891366185897</v>
      </c>
      <c r="P99" s="19">
        <v>1502.0497</v>
      </c>
      <c r="Q99" s="13">
        <v>0.438148337339744</v>
      </c>
      <c r="R99" s="19">
        <v>2187.2365</v>
      </c>
      <c r="S99" s="14">
        <v>4992</v>
      </c>
      <c r="T99" s="13">
        <v>110.7</v>
      </c>
      <c r="U99" s="13">
        <v>53.9</v>
      </c>
      <c r="V99" s="13">
        <v>316.4</v>
      </c>
      <c r="W99" s="13">
        <v>23.5</v>
      </c>
      <c r="X99" s="13">
        <v>0.404278334390547</v>
      </c>
    </row>
    <row r="100" ht="17" spans="1:24">
      <c r="A100" s="13">
        <v>2019</v>
      </c>
      <c r="B100" s="13">
        <v>410000</v>
      </c>
      <c r="C100" s="13" t="s">
        <v>60</v>
      </c>
      <c r="D100" s="13">
        <v>0</v>
      </c>
      <c r="E100" s="13">
        <v>0</v>
      </c>
      <c r="F100" s="13">
        <v>1</v>
      </c>
      <c r="G100" s="13">
        <v>0</v>
      </c>
      <c r="H100" s="13">
        <v>54.8</v>
      </c>
      <c r="I100" s="13">
        <v>45.2</v>
      </c>
      <c r="J100" s="13">
        <v>14.1</v>
      </c>
      <c r="K100" s="13">
        <v>78.7</v>
      </c>
      <c r="L100" s="13">
        <v>7.3</v>
      </c>
      <c r="M100" s="13">
        <v>0.2536</v>
      </c>
      <c r="N100" s="19">
        <v>1251.2624</v>
      </c>
      <c r="O100" s="13">
        <v>0.2977</v>
      </c>
      <c r="P100" s="19">
        <v>1468.8518</v>
      </c>
      <c r="Q100" s="13">
        <v>0.4487</v>
      </c>
      <c r="R100" s="19">
        <v>2213.8858</v>
      </c>
      <c r="S100" s="14">
        <v>4934</v>
      </c>
      <c r="T100" s="13">
        <v>131.3</v>
      </c>
      <c r="U100" s="13">
        <v>54.1</v>
      </c>
      <c r="V100" s="13">
        <v>324.3</v>
      </c>
      <c r="W100" s="13">
        <v>28</v>
      </c>
      <c r="X100" s="13">
        <v>0.415649407063153</v>
      </c>
    </row>
    <row r="101" ht="17" spans="1:24">
      <c r="A101" s="13">
        <v>2020</v>
      </c>
      <c r="B101" s="13">
        <v>410000</v>
      </c>
      <c r="C101" s="13" t="s">
        <v>60</v>
      </c>
      <c r="D101" s="13">
        <v>0</v>
      </c>
      <c r="E101" s="13">
        <v>0</v>
      </c>
      <c r="F101" s="13">
        <v>1</v>
      </c>
      <c r="G101" s="13">
        <v>0</v>
      </c>
      <c r="H101" s="13">
        <v>54.7</v>
      </c>
      <c r="I101" s="13">
        <v>45.3</v>
      </c>
      <c r="J101" s="13">
        <v>15.4</v>
      </c>
      <c r="K101" s="13">
        <v>77.3</v>
      </c>
      <c r="L101" s="13">
        <v>7.3</v>
      </c>
      <c r="M101" s="13">
        <v>0.2504095004095</v>
      </c>
      <c r="N101" s="19">
        <v>1223</v>
      </c>
      <c r="O101" s="13">
        <v>0.295454545454545</v>
      </c>
      <c r="P101" s="19">
        <v>1443</v>
      </c>
      <c r="Q101" s="13">
        <v>0.454135954135954</v>
      </c>
      <c r="R101" s="19">
        <v>2218</v>
      </c>
      <c r="S101" s="14">
        <v>4884</v>
      </c>
      <c r="T101" s="13">
        <v>129.7</v>
      </c>
      <c r="U101" s="13">
        <v>53.3</v>
      </c>
      <c r="V101" s="13">
        <v>335</v>
      </c>
      <c r="W101" s="13">
        <v>29.3</v>
      </c>
      <c r="X101" s="13">
        <v>0.428760893726572</v>
      </c>
    </row>
    <row r="102" ht="17" spans="1:24">
      <c r="A102" s="13">
        <v>2021</v>
      </c>
      <c r="B102" s="13">
        <v>410000</v>
      </c>
      <c r="C102" s="13" t="s">
        <v>60</v>
      </c>
      <c r="D102" s="13">
        <v>0</v>
      </c>
      <c r="E102" s="13">
        <v>0</v>
      </c>
      <c r="F102" s="13">
        <v>1</v>
      </c>
      <c r="G102" s="13">
        <v>0</v>
      </c>
      <c r="H102" s="13">
        <v>54.308</v>
      </c>
      <c r="I102" s="13">
        <v>45.692</v>
      </c>
      <c r="J102" s="13">
        <v>17</v>
      </c>
      <c r="K102" s="13">
        <v>75.965</v>
      </c>
      <c r="L102" s="13">
        <v>7.036</v>
      </c>
      <c r="M102" s="13">
        <v>0.242148760330578</v>
      </c>
      <c r="N102" s="19">
        <v>1172</v>
      </c>
      <c r="O102" s="13">
        <v>0.298760330578512</v>
      </c>
      <c r="P102" s="19">
        <v>1446</v>
      </c>
      <c r="Q102" s="13">
        <v>0.459090909090909</v>
      </c>
      <c r="R102" s="19">
        <v>2222</v>
      </c>
      <c r="S102" s="14">
        <v>4840</v>
      </c>
      <c r="T102" s="13">
        <v>125.3</v>
      </c>
      <c r="U102" s="13">
        <v>51.8</v>
      </c>
      <c r="V102" s="13">
        <v>333.1</v>
      </c>
      <c r="W102" s="13">
        <v>27.5</v>
      </c>
      <c r="X102" s="13">
        <v>0.440140523059459</v>
      </c>
    </row>
    <row r="103" ht="17" spans="1:24">
      <c r="A103" s="13">
        <v>2022</v>
      </c>
      <c r="B103" s="13">
        <v>410000</v>
      </c>
      <c r="C103" s="13" t="s">
        <v>60</v>
      </c>
      <c r="D103" s="13">
        <v>0</v>
      </c>
      <c r="E103" s="13">
        <v>0</v>
      </c>
      <c r="F103" s="13">
        <v>1</v>
      </c>
      <c r="G103" s="13">
        <v>0</v>
      </c>
      <c r="H103" s="13">
        <v>54.14</v>
      </c>
      <c r="I103" s="13">
        <v>45.86</v>
      </c>
      <c r="J103" s="13">
        <v>20.606</v>
      </c>
      <c r="K103" s="13">
        <v>72.005</v>
      </c>
      <c r="L103" s="13">
        <v>7.389</v>
      </c>
      <c r="M103" s="13">
        <v>0.27603513174404</v>
      </c>
      <c r="N103" s="19">
        <v>1320</v>
      </c>
      <c r="O103" s="13">
        <v>0.283563362609787</v>
      </c>
      <c r="P103" s="19">
        <v>1356</v>
      </c>
      <c r="Q103" s="13">
        <v>0.440401505646173</v>
      </c>
      <c r="R103" s="19">
        <v>2106</v>
      </c>
      <c r="S103" s="14">
        <v>4782</v>
      </c>
      <c r="T103" s="13">
        <v>124.8</v>
      </c>
      <c r="U103" s="13">
        <v>50.8</v>
      </c>
      <c r="V103" s="13">
        <v>327.7</v>
      </c>
      <c r="W103" s="13">
        <v>23.6</v>
      </c>
      <c r="X103" s="13">
        <v>0.457632915790925</v>
      </c>
    </row>
    <row r="104" ht="34" spans="1:24">
      <c r="A104" s="13">
        <v>2013</v>
      </c>
      <c r="B104" s="13">
        <v>230000</v>
      </c>
      <c r="C104" s="13" t="s">
        <v>61</v>
      </c>
      <c r="D104" s="13">
        <v>0</v>
      </c>
      <c r="E104" s="13">
        <v>0</v>
      </c>
      <c r="F104" s="13">
        <v>0</v>
      </c>
      <c r="G104" s="13">
        <v>1</v>
      </c>
      <c r="H104" s="13">
        <v>53.5329999999994</v>
      </c>
      <c r="I104" s="13">
        <v>46.4670000000006</v>
      </c>
      <c r="J104" s="13">
        <v>23.081</v>
      </c>
      <c r="K104" s="13">
        <v>72.565</v>
      </c>
      <c r="L104" s="13">
        <v>4.355</v>
      </c>
      <c r="M104" s="13">
        <v>0.361179208790566</v>
      </c>
      <c r="N104" s="19">
        <v>744.170029999994</v>
      </c>
      <c r="O104" s="13">
        <v>0.196743373827285</v>
      </c>
      <c r="P104" s="19">
        <v>405.36808</v>
      </c>
      <c r="Q104" s="13">
        <v>0.445588422580192</v>
      </c>
      <c r="R104" s="19">
        <v>918.085930000001</v>
      </c>
      <c r="S104" s="14">
        <v>2060.39</v>
      </c>
      <c r="T104" s="13">
        <v>68.2</v>
      </c>
      <c r="U104" s="13">
        <v>33.9</v>
      </c>
      <c r="V104" s="13">
        <v>121</v>
      </c>
      <c r="W104" s="13">
        <v>6</v>
      </c>
      <c r="X104" s="13">
        <v>1.11485585536855</v>
      </c>
    </row>
    <row r="105" ht="34" spans="1:24">
      <c r="A105" s="13">
        <v>2014</v>
      </c>
      <c r="B105" s="13">
        <v>230000</v>
      </c>
      <c r="C105" s="13" t="s">
        <v>61</v>
      </c>
      <c r="D105" s="13">
        <v>0</v>
      </c>
      <c r="E105" s="13">
        <v>0</v>
      </c>
      <c r="F105" s="13">
        <v>0</v>
      </c>
      <c r="G105" s="13">
        <v>1</v>
      </c>
      <c r="H105" s="13">
        <v>57</v>
      </c>
      <c r="I105" s="13">
        <v>43</v>
      </c>
      <c r="J105" s="13">
        <v>20.5</v>
      </c>
      <c r="K105" s="13">
        <v>74.9</v>
      </c>
      <c r="L105" s="13">
        <v>4.6</v>
      </c>
      <c r="M105" s="13">
        <v>0.369576911613566</v>
      </c>
      <c r="N105" s="19">
        <v>719.19667</v>
      </c>
      <c r="O105" s="13">
        <v>0.194</v>
      </c>
      <c r="P105" s="19">
        <v>377.524</v>
      </c>
      <c r="Q105" s="13">
        <v>0.436583427543679</v>
      </c>
      <c r="R105" s="19">
        <v>849.59135</v>
      </c>
      <c r="S105" s="14">
        <v>1946</v>
      </c>
      <c r="T105" s="13">
        <v>69.9</v>
      </c>
      <c r="U105" s="13">
        <v>31.6</v>
      </c>
      <c r="V105" s="13">
        <v>123</v>
      </c>
      <c r="W105" s="13">
        <v>6</v>
      </c>
      <c r="X105" s="13">
        <v>1.12103569775067</v>
      </c>
    </row>
    <row r="106" ht="34" spans="1:24">
      <c r="A106" s="13">
        <v>2015</v>
      </c>
      <c r="B106" s="13">
        <v>230000</v>
      </c>
      <c r="C106" s="13" t="s">
        <v>61</v>
      </c>
      <c r="D106" s="13">
        <v>0</v>
      </c>
      <c r="E106" s="13">
        <v>0</v>
      </c>
      <c r="F106" s="13">
        <v>0</v>
      </c>
      <c r="G106" s="13">
        <v>1</v>
      </c>
      <c r="H106" s="13">
        <v>60.467</v>
      </c>
      <c r="I106" s="13">
        <v>39.533</v>
      </c>
      <c r="J106" s="13">
        <v>14.918</v>
      </c>
      <c r="K106" s="13">
        <v>71.904</v>
      </c>
      <c r="L106" s="13">
        <v>8.571</v>
      </c>
      <c r="M106" s="13">
        <v>0.380396334246575</v>
      </c>
      <c r="N106" s="19">
        <v>694.22331</v>
      </c>
      <c r="O106" s="13">
        <v>0.191605435616438</v>
      </c>
      <c r="P106" s="19">
        <v>349.67992</v>
      </c>
      <c r="Q106" s="13">
        <v>0.427998230136986</v>
      </c>
      <c r="R106" s="19">
        <v>781.09677</v>
      </c>
      <c r="S106" s="14">
        <v>1825</v>
      </c>
      <c r="T106" s="13">
        <v>71.1</v>
      </c>
      <c r="U106" s="13">
        <v>30.7</v>
      </c>
      <c r="V106" s="13">
        <v>122</v>
      </c>
      <c r="W106" s="13">
        <v>6</v>
      </c>
      <c r="X106" s="13">
        <v>1.12243540350624</v>
      </c>
    </row>
    <row r="107" ht="34" spans="1:24">
      <c r="A107" s="13">
        <v>2016</v>
      </c>
      <c r="B107" s="13">
        <v>230000</v>
      </c>
      <c r="C107" s="13" t="s">
        <v>61</v>
      </c>
      <c r="D107" s="13">
        <v>0</v>
      </c>
      <c r="E107" s="13">
        <v>0</v>
      </c>
      <c r="F107" s="13">
        <v>0</v>
      </c>
      <c r="G107" s="13">
        <v>1</v>
      </c>
      <c r="H107" s="13">
        <v>58.698</v>
      </c>
      <c r="I107" s="13">
        <v>41.302</v>
      </c>
      <c r="J107" s="13">
        <v>15.856</v>
      </c>
      <c r="K107" s="13">
        <v>70.98</v>
      </c>
      <c r="L107" s="13">
        <v>8.949</v>
      </c>
      <c r="M107" s="13">
        <v>0.374</v>
      </c>
      <c r="N107" s="19">
        <v>664.224</v>
      </c>
      <c r="O107" s="13">
        <v>0.18</v>
      </c>
      <c r="P107" s="19">
        <v>319.68</v>
      </c>
      <c r="Q107" s="13">
        <v>0.446</v>
      </c>
      <c r="R107" s="19">
        <v>792.096</v>
      </c>
      <c r="S107" s="14">
        <v>1776</v>
      </c>
      <c r="T107" s="13">
        <v>73.7</v>
      </c>
      <c r="U107" s="13">
        <v>30.5</v>
      </c>
      <c r="V107" s="13">
        <v>121.6</v>
      </c>
      <c r="W107" s="13">
        <v>6.1</v>
      </c>
      <c r="X107" s="13">
        <v>1.12709047009585</v>
      </c>
    </row>
    <row r="108" ht="34" spans="1:24">
      <c r="A108" s="13">
        <v>2017</v>
      </c>
      <c r="B108" s="13">
        <v>230000</v>
      </c>
      <c r="C108" s="13" t="s">
        <v>61</v>
      </c>
      <c r="D108" s="13">
        <v>0</v>
      </c>
      <c r="E108" s="13">
        <v>0</v>
      </c>
      <c r="F108" s="13">
        <v>0</v>
      </c>
      <c r="G108" s="13">
        <v>1</v>
      </c>
      <c r="H108" s="13">
        <v>57.156</v>
      </c>
      <c r="I108" s="13">
        <v>42.844</v>
      </c>
      <c r="J108" s="13">
        <v>16.004</v>
      </c>
      <c r="K108" s="13">
        <v>71.136</v>
      </c>
      <c r="L108" s="13">
        <v>8.643</v>
      </c>
      <c r="M108" s="13">
        <v>0.372</v>
      </c>
      <c r="N108" s="19">
        <v>632.028</v>
      </c>
      <c r="O108" s="13">
        <v>0.174</v>
      </c>
      <c r="P108" s="19">
        <v>295.626</v>
      </c>
      <c r="Q108" s="13">
        <v>0.454</v>
      </c>
      <c r="R108" s="19">
        <v>771.346</v>
      </c>
      <c r="S108" s="14">
        <v>1699</v>
      </c>
      <c r="T108" s="13">
        <v>76.6</v>
      </c>
      <c r="U108" s="13">
        <v>29.2</v>
      </c>
      <c r="V108" s="13">
        <v>120.6</v>
      </c>
      <c r="W108" s="13">
        <v>6.3</v>
      </c>
      <c r="X108" s="13">
        <v>0.881357763404945</v>
      </c>
    </row>
    <row r="109" ht="34" spans="1:24">
      <c r="A109" s="13">
        <v>2018</v>
      </c>
      <c r="B109" s="13">
        <v>230000</v>
      </c>
      <c r="C109" s="13" t="s">
        <v>61</v>
      </c>
      <c r="D109" s="13">
        <v>0</v>
      </c>
      <c r="E109" s="13">
        <v>0</v>
      </c>
      <c r="F109" s="13">
        <v>0</v>
      </c>
      <c r="G109" s="13">
        <v>1</v>
      </c>
      <c r="H109" s="13">
        <v>56.556</v>
      </c>
      <c r="I109" s="13">
        <v>43.444</v>
      </c>
      <c r="J109" s="13">
        <v>15.913</v>
      </c>
      <c r="K109" s="13">
        <v>71.58</v>
      </c>
      <c r="L109" s="13">
        <v>8.396</v>
      </c>
      <c r="M109" s="13">
        <v>0.370743963302752</v>
      </c>
      <c r="N109" s="19">
        <v>606.16638</v>
      </c>
      <c r="O109" s="13">
        <v>0.166801883792049</v>
      </c>
      <c r="P109" s="19">
        <v>272.72108</v>
      </c>
      <c r="Q109" s="13">
        <v>0.462454152905199</v>
      </c>
      <c r="R109" s="19">
        <v>756.11254</v>
      </c>
      <c r="S109" s="14">
        <v>1635</v>
      </c>
      <c r="T109" s="13">
        <v>74.7</v>
      </c>
      <c r="U109" s="13">
        <v>26.6</v>
      </c>
      <c r="V109" s="13">
        <v>118.6</v>
      </c>
      <c r="W109" s="13">
        <v>6.4</v>
      </c>
      <c r="X109" s="13">
        <v>0.887720533704364</v>
      </c>
    </row>
    <row r="110" ht="34" spans="1:24">
      <c r="A110" s="13">
        <v>2019</v>
      </c>
      <c r="B110" s="13">
        <v>230000</v>
      </c>
      <c r="C110" s="13" t="s">
        <v>61</v>
      </c>
      <c r="D110" s="13">
        <v>0</v>
      </c>
      <c r="E110" s="13">
        <v>0</v>
      </c>
      <c r="F110" s="13">
        <v>0</v>
      </c>
      <c r="G110" s="13">
        <v>1</v>
      </c>
      <c r="H110" s="13">
        <v>58.3</v>
      </c>
      <c r="I110" s="13">
        <v>41.7</v>
      </c>
      <c r="J110" s="13">
        <v>15.3</v>
      </c>
      <c r="K110" s="13">
        <v>74.8</v>
      </c>
      <c r="L110" s="13">
        <v>10</v>
      </c>
      <c r="M110" s="13">
        <v>0.366989039329465</v>
      </c>
      <c r="N110" s="19">
        <v>569.2</v>
      </c>
      <c r="O110" s="13">
        <v>0.16602192134107</v>
      </c>
      <c r="P110" s="19">
        <v>257.5</v>
      </c>
      <c r="Q110" s="13">
        <v>0.466989039329465</v>
      </c>
      <c r="R110" s="19">
        <v>724.3</v>
      </c>
      <c r="S110" s="14">
        <v>1551</v>
      </c>
      <c r="T110" s="13">
        <v>80.1</v>
      </c>
      <c r="U110" s="13">
        <v>18.2</v>
      </c>
      <c r="V110" s="13">
        <v>119.2</v>
      </c>
      <c r="W110" s="13">
        <v>5.8</v>
      </c>
      <c r="X110" s="13">
        <v>0.906140606199968</v>
      </c>
    </row>
    <row r="111" ht="34" spans="1:24">
      <c r="A111" s="13">
        <v>2020</v>
      </c>
      <c r="B111" s="13">
        <v>230000</v>
      </c>
      <c r="C111" s="13" t="s">
        <v>61</v>
      </c>
      <c r="D111" s="13">
        <v>0</v>
      </c>
      <c r="E111" s="13">
        <v>0</v>
      </c>
      <c r="F111" s="13">
        <v>0</v>
      </c>
      <c r="G111" s="13">
        <v>1</v>
      </c>
      <c r="H111" s="13">
        <v>58.6</v>
      </c>
      <c r="I111" s="13">
        <v>41.4</v>
      </c>
      <c r="J111" s="13">
        <v>17.8</v>
      </c>
      <c r="K111" s="13">
        <v>73</v>
      </c>
      <c r="L111" s="13">
        <v>9.3</v>
      </c>
      <c r="M111" s="13">
        <v>0.365241004752206</v>
      </c>
      <c r="N111" s="19">
        <v>538</v>
      </c>
      <c r="O111" s="13">
        <v>0.162932790224033</v>
      </c>
      <c r="P111" s="19">
        <v>240</v>
      </c>
      <c r="Q111" s="13">
        <v>0.471826205023761</v>
      </c>
      <c r="R111" s="19">
        <v>695</v>
      </c>
      <c r="S111" s="14">
        <v>1473</v>
      </c>
      <c r="T111" s="13">
        <v>74.3</v>
      </c>
      <c r="U111" s="13">
        <v>16</v>
      </c>
      <c r="V111" s="13">
        <v>120.5</v>
      </c>
      <c r="W111" s="13">
        <v>5.4</v>
      </c>
      <c r="X111" s="13">
        <v>0.918346459548913</v>
      </c>
    </row>
    <row r="112" ht="34" spans="1:24">
      <c r="A112" s="13">
        <v>2021</v>
      </c>
      <c r="B112" s="13">
        <v>230000</v>
      </c>
      <c r="C112" s="13" t="s">
        <v>61</v>
      </c>
      <c r="D112" s="13">
        <v>0</v>
      </c>
      <c r="E112" s="13">
        <v>0</v>
      </c>
      <c r="F112" s="13">
        <v>0</v>
      </c>
      <c r="G112" s="13">
        <v>1</v>
      </c>
      <c r="H112" s="13">
        <v>57.49</v>
      </c>
      <c r="I112" s="13">
        <v>42.51</v>
      </c>
      <c r="J112" s="13">
        <v>16.107</v>
      </c>
      <c r="K112" s="13">
        <v>72.304</v>
      </c>
      <c r="L112" s="13">
        <v>11.589</v>
      </c>
      <c r="M112" s="13">
        <v>0.363380281690141</v>
      </c>
      <c r="N112" s="19">
        <v>516</v>
      </c>
      <c r="O112" s="13">
        <v>0.164788732394366</v>
      </c>
      <c r="P112" s="19">
        <v>234</v>
      </c>
      <c r="Q112" s="13">
        <v>0.471830985915493</v>
      </c>
      <c r="R112" s="19">
        <v>670</v>
      </c>
      <c r="S112" s="14">
        <v>1420</v>
      </c>
      <c r="T112" s="13">
        <v>69.4</v>
      </c>
      <c r="U112" s="13">
        <v>15.6</v>
      </c>
      <c r="V112" s="13">
        <v>122.8</v>
      </c>
      <c r="W112" s="13">
        <v>5.4</v>
      </c>
      <c r="X112" s="13">
        <v>0.932803839727665</v>
      </c>
    </row>
    <row r="113" ht="34" spans="1:24">
      <c r="A113" s="13">
        <v>2022</v>
      </c>
      <c r="B113" s="13">
        <v>230000</v>
      </c>
      <c r="C113" s="13" t="s">
        <v>61</v>
      </c>
      <c r="D113" s="13">
        <v>0</v>
      </c>
      <c r="E113" s="13">
        <v>0</v>
      </c>
      <c r="F113" s="13">
        <v>0</v>
      </c>
      <c r="G113" s="13">
        <v>1</v>
      </c>
      <c r="H113" s="13">
        <v>58.305</v>
      </c>
      <c r="I113" s="13">
        <v>41.695</v>
      </c>
      <c r="J113" s="13">
        <v>16.722</v>
      </c>
      <c r="K113" s="13">
        <v>70.535</v>
      </c>
      <c r="L113" s="13">
        <v>12.744</v>
      </c>
      <c r="M113" s="13">
        <v>0.383419689119171</v>
      </c>
      <c r="N113" s="19">
        <v>518</v>
      </c>
      <c r="O113" s="13">
        <v>0.15099925980755</v>
      </c>
      <c r="P113" s="19">
        <v>204</v>
      </c>
      <c r="Q113" s="13">
        <v>0.465581051073279</v>
      </c>
      <c r="R113" s="19">
        <v>629</v>
      </c>
      <c r="S113" s="14">
        <v>1351</v>
      </c>
      <c r="T113" s="13">
        <v>63.6</v>
      </c>
      <c r="U113" s="13">
        <v>15.1</v>
      </c>
      <c r="V113" s="13">
        <v>122.7</v>
      </c>
      <c r="W113" s="13">
        <v>4.8</v>
      </c>
      <c r="X113" s="13">
        <v>0.951444423009114</v>
      </c>
    </row>
    <row r="114" ht="17" spans="1:24">
      <c r="A114" s="13">
        <v>2013</v>
      </c>
      <c r="B114" s="13">
        <v>420000</v>
      </c>
      <c r="C114" s="13" t="s">
        <v>62</v>
      </c>
      <c r="D114" s="13">
        <v>0</v>
      </c>
      <c r="E114" s="13">
        <v>0</v>
      </c>
      <c r="F114" s="13">
        <v>1</v>
      </c>
      <c r="G114" s="13">
        <v>0</v>
      </c>
      <c r="H114" s="13">
        <v>53.5729999999999</v>
      </c>
      <c r="I114" s="13">
        <v>46.4270000000001</v>
      </c>
      <c r="J114" s="13">
        <v>18.011</v>
      </c>
      <c r="K114" s="13">
        <v>77.127</v>
      </c>
      <c r="L114" s="13">
        <v>4.863</v>
      </c>
      <c r="M114" s="13">
        <v>0.428494036427732</v>
      </c>
      <c r="N114" s="19">
        <v>1458.5937</v>
      </c>
      <c r="O114" s="13">
        <v>0.215005417156287</v>
      </c>
      <c r="P114" s="19">
        <v>731.87844</v>
      </c>
      <c r="Q114" s="13">
        <v>0.356500528789659</v>
      </c>
      <c r="R114" s="19">
        <v>1213.5278</v>
      </c>
      <c r="S114" s="14">
        <v>3404</v>
      </c>
      <c r="T114" s="13">
        <v>83.7</v>
      </c>
      <c r="U114" s="13">
        <v>61.2</v>
      </c>
      <c r="V114" s="13">
        <v>172.1</v>
      </c>
      <c r="W114" s="13">
        <v>12</v>
      </c>
      <c r="X114" s="13">
        <v>0.82353251015941</v>
      </c>
    </row>
    <row r="115" ht="17" spans="1:24">
      <c r="A115" s="13">
        <v>2014</v>
      </c>
      <c r="B115" s="13">
        <v>420000</v>
      </c>
      <c r="C115" s="13" t="s">
        <v>62</v>
      </c>
      <c r="D115" s="13">
        <v>0</v>
      </c>
      <c r="E115" s="13">
        <v>0</v>
      </c>
      <c r="F115" s="13">
        <v>1</v>
      </c>
      <c r="G115" s="13">
        <v>0</v>
      </c>
      <c r="H115" s="13">
        <v>55.1</v>
      </c>
      <c r="I115" s="13">
        <v>44.9</v>
      </c>
      <c r="J115" s="13">
        <v>18.2</v>
      </c>
      <c r="K115" s="13">
        <v>75.8</v>
      </c>
      <c r="L115" s="13">
        <v>6.1</v>
      </c>
      <c r="M115" s="13">
        <v>0.403254225352113</v>
      </c>
      <c r="N115" s="19">
        <v>1374.2904</v>
      </c>
      <c r="O115" s="13">
        <v>0.226250848004695</v>
      </c>
      <c r="P115" s="19">
        <v>771.06289</v>
      </c>
      <c r="Q115" s="13">
        <v>0.37049492370892</v>
      </c>
      <c r="R115" s="19">
        <v>1262.6467</v>
      </c>
      <c r="S115" s="14">
        <v>3408</v>
      </c>
      <c r="T115" s="13">
        <v>87.5</v>
      </c>
      <c r="U115" s="13">
        <v>58.2</v>
      </c>
      <c r="V115" s="13">
        <v>177.7</v>
      </c>
      <c r="W115" s="13">
        <v>12.4</v>
      </c>
      <c r="X115" s="13">
        <v>0.836340298586582</v>
      </c>
    </row>
    <row r="116" ht="17" spans="1:24">
      <c r="A116" s="13">
        <v>2015</v>
      </c>
      <c r="B116" s="13">
        <v>420000</v>
      </c>
      <c r="C116" s="13" t="s">
        <v>62</v>
      </c>
      <c r="D116" s="13">
        <v>0</v>
      </c>
      <c r="E116" s="13">
        <v>0</v>
      </c>
      <c r="F116" s="13">
        <v>1</v>
      </c>
      <c r="G116" s="13">
        <v>0</v>
      </c>
      <c r="H116" s="13">
        <v>56.627</v>
      </c>
      <c r="I116" s="13">
        <v>43.373</v>
      </c>
      <c r="J116" s="13">
        <v>20.752</v>
      </c>
      <c r="K116" s="13">
        <v>64.347</v>
      </c>
      <c r="L116" s="13">
        <v>7.643</v>
      </c>
      <c r="M116" s="13">
        <v>0.383816303708064</v>
      </c>
      <c r="N116" s="19">
        <v>1304.2078</v>
      </c>
      <c r="O116" s="13">
        <v>0.227993440258976</v>
      </c>
      <c r="P116" s="19">
        <v>774.72171</v>
      </c>
      <c r="Q116" s="13">
        <v>0.388190258975868</v>
      </c>
      <c r="R116" s="19">
        <v>1319.0705</v>
      </c>
      <c r="S116" s="14">
        <v>3398</v>
      </c>
      <c r="T116" s="13">
        <v>90.7</v>
      </c>
      <c r="U116" s="13">
        <v>57.2</v>
      </c>
      <c r="V116" s="13">
        <v>191</v>
      </c>
      <c r="W116" s="13">
        <v>13.1</v>
      </c>
      <c r="X116" s="13">
        <v>0.85402776433025</v>
      </c>
    </row>
    <row r="117" ht="17" spans="1:24">
      <c r="A117" s="13">
        <v>2016</v>
      </c>
      <c r="B117" s="13">
        <v>420000</v>
      </c>
      <c r="C117" s="13" t="s">
        <v>62</v>
      </c>
      <c r="D117" s="13">
        <v>0</v>
      </c>
      <c r="E117" s="13">
        <v>0</v>
      </c>
      <c r="F117" s="13">
        <v>1</v>
      </c>
      <c r="G117" s="13">
        <v>0</v>
      </c>
      <c r="H117" s="13">
        <v>55.309</v>
      </c>
      <c r="I117" s="13">
        <v>44.691</v>
      </c>
      <c r="J117" s="13">
        <v>20.681</v>
      </c>
      <c r="K117" s="13">
        <v>64.692</v>
      </c>
      <c r="L117" s="13">
        <v>7.468</v>
      </c>
      <c r="M117" s="13">
        <v>0.368290664697194</v>
      </c>
      <c r="N117" s="19">
        <v>1246.6639</v>
      </c>
      <c r="O117" s="13">
        <v>0.230388109305761</v>
      </c>
      <c r="P117" s="19">
        <v>779.86375</v>
      </c>
      <c r="Q117" s="13">
        <v>0.401321211225997</v>
      </c>
      <c r="R117" s="19">
        <v>1358.4723</v>
      </c>
      <c r="S117" s="14">
        <v>3385</v>
      </c>
      <c r="T117" s="13">
        <v>94.6</v>
      </c>
      <c r="U117" s="13">
        <v>57</v>
      </c>
      <c r="V117" s="13">
        <v>193.2</v>
      </c>
      <c r="W117" s="13">
        <v>14.9</v>
      </c>
      <c r="X117" s="13">
        <v>0.863965932626838</v>
      </c>
    </row>
    <row r="118" ht="17" spans="1:24">
      <c r="A118" s="13">
        <v>2017</v>
      </c>
      <c r="B118" s="13">
        <v>420000</v>
      </c>
      <c r="C118" s="13" t="s">
        <v>62</v>
      </c>
      <c r="D118" s="13">
        <v>0</v>
      </c>
      <c r="E118" s="13">
        <v>0</v>
      </c>
      <c r="F118" s="13">
        <v>1</v>
      </c>
      <c r="G118" s="13">
        <v>0</v>
      </c>
      <c r="H118" s="13">
        <v>54.756</v>
      </c>
      <c r="I118" s="13">
        <v>45.244</v>
      </c>
      <c r="J118" s="13">
        <v>19.818</v>
      </c>
      <c r="K118" s="13">
        <v>65.326</v>
      </c>
      <c r="L118" s="13">
        <v>7.617</v>
      </c>
      <c r="M118" s="13">
        <v>0.354016632139686</v>
      </c>
      <c r="N118" s="19">
        <v>1196.2222</v>
      </c>
      <c r="O118" s="13">
        <v>0.232409973364901</v>
      </c>
      <c r="P118" s="19">
        <v>785.3133</v>
      </c>
      <c r="Q118" s="13">
        <v>0.413573394495413</v>
      </c>
      <c r="R118" s="19">
        <v>1397.4645</v>
      </c>
      <c r="S118" s="14">
        <v>3379</v>
      </c>
      <c r="T118" s="13">
        <v>96</v>
      </c>
      <c r="U118" s="13">
        <v>57.2</v>
      </c>
      <c r="V118" s="13">
        <v>192</v>
      </c>
      <c r="W118" s="13">
        <v>16.2</v>
      </c>
      <c r="X118" s="13">
        <v>0.592426155175823</v>
      </c>
    </row>
    <row r="119" ht="17" spans="1:24">
      <c r="A119" s="13">
        <v>2018</v>
      </c>
      <c r="B119" s="13">
        <v>420000</v>
      </c>
      <c r="C119" s="13" t="s">
        <v>62</v>
      </c>
      <c r="D119" s="13">
        <v>0</v>
      </c>
      <c r="E119" s="13">
        <v>0</v>
      </c>
      <c r="F119" s="13">
        <v>1</v>
      </c>
      <c r="G119" s="13">
        <v>0</v>
      </c>
      <c r="H119" s="13">
        <v>55.469</v>
      </c>
      <c r="I119" s="13">
        <v>44.531</v>
      </c>
      <c r="J119" s="13">
        <v>19.357</v>
      </c>
      <c r="K119" s="13">
        <v>64.347</v>
      </c>
      <c r="L119" s="13">
        <v>8.469</v>
      </c>
      <c r="M119" s="13">
        <v>0.339664791234824</v>
      </c>
      <c r="N119" s="19">
        <v>1147.048</v>
      </c>
      <c r="O119" s="13">
        <v>0.234636872964169</v>
      </c>
      <c r="P119" s="19">
        <v>792.36872</v>
      </c>
      <c r="Q119" s="13">
        <v>0.425698312111341</v>
      </c>
      <c r="R119" s="19">
        <v>1437.5832</v>
      </c>
      <c r="S119" s="14">
        <v>3377</v>
      </c>
      <c r="T119" s="13">
        <v>97.4</v>
      </c>
      <c r="U119" s="13">
        <v>53.5</v>
      </c>
      <c r="V119" s="13">
        <v>192</v>
      </c>
      <c r="W119" s="13">
        <v>16.4</v>
      </c>
      <c r="X119" s="13">
        <v>0.600993529852822</v>
      </c>
    </row>
    <row r="120" ht="17" spans="1:24">
      <c r="A120" s="13">
        <v>2019</v>
      </c>
      <c r="B120" s="13">
        <v>420000</v>
      </c>
      <c r="C120" s="13" t="s">
        <v>62</v>
      </c>
      <c r="D120" s="13">
        <v>0</v>
      </c>
      <c r="E120" s="13">
        <v>0</v>
      </c>
      <c r="F120" s="13">
        <v>1</v>
      </c>
      <c r="G120" s="13">
        <v>0</v>
      </c>
      <c r="H120" s="13">
        <v>56.4</v>
      </c>
      <c r="I120" s="13">
        <v>43.6</v>
      </c>
      <c r="J120" s="13">
        <v>19</v>
      </c>
      <c r="K120" s="13">
        <v>71.7</v>
      </c>
      <c r="L120" s="13">
        <v>9.4</v>
      </c>
      <c r="M120" s="13">
        <v>0.328072148148148</v>
      </c>
      <c r="N120" s="19">
        <v>1107.2435</v>
      </c>
      <c r="O120" s="13">
        <v>0.237034948148148</v>
      </c>
      <c r="P120" s="19">
        <v>799.99295</v>
      </c>
      <c r="Q120" s="13">
        <v>0.434892888888889</v>
      </c>
      <c r="R120" s="19">
        <v>1467.7635</v>
      </c>
      <c r="S120" s="14">
        <v>3375</v>
      </c>
      <c r="T120" s="13">
        <v>104</v>
      </c>
      <c r="U120" s="13">
        <v>54.1</v>
      </c>
      <c r="V120" s="13">
        <v>196.4</v>
      </c>
      <c r="W120" s="13">
        <v>17.7</v>
      </c>
      <c r="X120" s="13">
        <v>0.614570573552485</v>
      </c>
    </row>
    <row r="121" ht="17" spans="1:24">
      <c r="A121" s="13">
        <v>2020</v>
      </c>
      <c r="B121" s="13">
        <v>420000</v>
      </c>
      <c r="C121" s="13" t="s">
        <v>62</v>
      </c>
      <c r="D121" s="13">
        <v>0</v>
      </c>
      <c r="E121" s="13">
        <v>0</v>
      </c>
      <c r="F121" s="13">
        <v>1</v>
      </c>
      <c r="G121" s="13">
        <v>0</v>
      </c>
      <c r="H121" s="13">
        <v>55.6</v>
      </c>
      <c r="I121" s="13">
        <v>44.4</v>
      </c>
      <c r="J121" s="13">
        <v>19.8</v>
      </c>
      <c r="K121" s="13">
        <v>70.6</v>
      </c>
      <c r="L121" s="13">
        <v>9.5</v>
      </c>
      <c r="M121" s="13">
        <v>0.27506899724011</v>
      </c>
      <c r="N121" s="19">
        <v>897</v>
      </c>
      <c r="O121" s="13">
        <v>0.262802821220485</v>
      </c>
      <c r="P121" s="19">
        <v>857</v>
      </c>
      <c r="Q121" s="13">
        <v>0.462128181539405</v>
      </c>
      <c r="R121" s="19">
        <v>1507</v>
      </c>
      <c r="S121" s="14">
        <v>3261</v>
      </c>
      <c r="T121" s="13">
        <v>106.1</v>
      </c>
      <c r="U121" s="13">
        <v>48.7</v>
      </c>
      <c r="V121" s="13">
        <v>204.4</v>
      </c>
      <c r="W121" s="13">
        <v>18.7</v>
      </c>
      <c r="X121" s="13">
        <v>0.627796687572494</v>
      </c>
    </row>
    <row r="122" ht="17" spans="1:24">
      <c r="A122" s="13">
        <v>2021</v>
      </c>
      <c r="B122" s="13">
        <v>420000</v>
      </c>
      <c r="C122" s="13" t="s">
        <v>62</v>
      </c>
      <c r="D122" s="13">
        <v>0</v>
      </c>
      <c r="E122" s="13">
        <v>0</v>
      </c>
      <c r="F122" s="13">
        <v>1</v>
      </c>
      <c r="G122" s="13">
        <v>0</v>
      </c>
      <c r="H122" s="13">
        <v>56.914</v>
      </c>
      <c r="I122" s="13">
        <v>43.086</v>
      </c>
      <c r="J122" s="13">
        <v>18.765</v>
      </c>
      <c r="K122" s="13">
        <v>70.816</v>
      </c>
      <c r="L122" s="13">
        <v>10.419</v>
      </c>
      <c r="M122" s="13">
        <v>0.268107121119903</v>
      </c>
      <c r="N122" s="19">
        <v>881</v>
      </c>
      <c r="O122" s="13">
        <v>0.268411442483262</v>
      </c>
      <c r="P122" s="19">
        <v>882</v>
      </c>
      <c r="Q122" s="13">
        <v>0.463481436396835</v>
      </c>
      <c r="R122" s="19">
        <v>1523</v>
      </c>
      <c r="S122" s="14">
        <v>3286</v>
      </c>
      <c r="T122" s="13">
        <v>110.1</v>
      </c>
      <c r="U122" s="13">
        <v>49.1</v>
      </c>
      <c r="V122" s="13">
        <v>210.7</v>
      </c>
      <c r="W122" s="13">
        <v>19.7</v>
      </c>
      <c r="X122" s="13">
        <v>0.625352549551822</v>
      </c>
    </row>
    <row r="123" ht="17" spans="1:24">
      <c r="A123" s="13">
        <v>2022</v>
      </c>
      <c r="B123" s="13">
        <v>420000</v>
      </c>
      <c r="C123" s="13" t="s">
        <v>62</v>
      </c>
      <c r="D123" s="13">
        <v>0</v>
      </c>
      <c r="E123" s="13">
        <v>0</v>
      </c>
      <c r="F123" s="13">
        <v>1</v>
      </c>
      <c r="G123" s="13">
        <v>0</v>
      </c>
      <c r="H123" s="13">
        <v>56.889</v>
      </c>
      <c r="I123" s="13">
        <v>43.111</v>
      </c>
      <c r="J123" s="13">
        <v>22.823</v>
      </c>
      <c r="K123" s="13">
        <v>66.484</v>
      </c>
      <c r="L123" s="13">
        <v>10.694</v>
      </c>
      <c r="M123" s="13">
        <v>0.286154794942954</v>
      </c>
      <c r="N123" s="19">
        <v>928</v>
      </c>
      <c r="O123" s="13">
        <v>0.260869565217391</v>
      </c>
      <c r="P123" s="19">
        <v>846</v>
      </c>
      <c r="Q123" s="13">
        <v>0.452975639839655</v>
      </c>
      <c r="R123" s="19">
        <v>1469</v>
      </c>
      <c r="S123" s="14">
        <v>3243</v>
      </c>
      <c r="T123" s="13">
        <v>108.5</v>
      </c>
      <c r="U123" s="13">
        <v>49.5</v>
      </c>
      <c r="V123" s="13">
        <v>210.3</v>
      </c>
      <c r="W123" s="13">
        <v>19.7</v>
      </c>
      <c r="X123" s="13">
        <v>0.651518769925164</v>
      </c>
    </row>
    <row r="124" ht="17" spans="1:24">
      <c r="A124" s="13">
        <v>2013</v>
      </c>
      <c r="B124" s="13">
        <v>430000</v>
      </c>
      <c r="C124" s="13" t="s">
        <v>63</v>
      </c>
      <c r="D124" s="13">
        <v>0</v>
      </c>
      <c r="E124" s="13">
        <v>0</v>
      </c>
      <c r="F124" s="13">
        <v>1</v>
      </c>
      <c r="G124" s="13">
        <v>0</v>
      </c>
      <c r="H124" s="13">
        <v>52</v>
      </c>
      <c r="I124" s="13">
        <v>48</v>
      </c>
      <c r="J124" s="13">
        <v>15.836</v>
      </c>
      <c r="K124" s="13">
        <v>79.393</v>
      </c>
      <c r="L124" s="13">
        <v>4.771</v>
      </c>
      <c r="M124" s="13">
        <v>0.410263969577228</v>
      </c>
      <c r="N124" s="19">
        <v>1656.01</v>
      </c>
      <c r="O124" s="13">
        <v>0.238957499783225</v>
      </c>
      <c r="P124" s="19">
        <v>964.54</v>
      </c>
      <c r="Q124" s="13">
        <v>0.350778530639547</v>
      </c>
      <c r="R124" s="19">
        <v>1415.9</v>
      </c>
      <c r="S124" s="14">
        <v>4036.45</v>
      </c>
      <c r="T124" s="13">
        <v>74.4</v>
      </c>
      <c r="U124" s="13">
        <v>39.8</v>
      </c>
      <c r="V124" s="13">
        <v>199.7</v>
      </c>
      <c r="W124" s="13">
        <v>11.2</v>
      </c>
      <c r="X124" s="13">
        <v>0.592755778768856</v>
      </c>
    </row>
    <row r="125" ht="17" spans="1:24">
      <c r="A125" s="13">
        <v>2014</v>
      </c>
      <c r="B125" s="13">
        <v>430000</v>
      </c>
      <c r="C125" s="13" t="s">
        <v>63</v>
      </c>
      <c r="D125" s="13">
        <v>0</v>
      </c>
      <c r="E125" s="13">
        <v>0</v>
      </c>
      <c r="F125" s="13">
        <v>1</v>
      </c>
      <c r="G125" s="13">
        <v>0</v>
      </c>
      <c r="H125" s="13">
        <v>55.3</v>
      </c>
      <c r="I125" s="13">
        <v>44.7</v>
      </c>
      <c r="J125" s="13">
        <v>16.6</v>
      </c>
      <c r="K125" s="13">
        <v>77.8</v>
      </c>
      <c r="L125" s="13">
        <v>5.5</v>
      </c>
      <c r="M125" s="13">
        <v>0.408337516350859</v>
      </c>
      <c r="N125" s="19">
        <v>1651.37</v>
      </c>
      <c r="O125" s="13">
        <v>0.236829676592988</v>
      </c>
      <c r="P125" s="19">
        <v>957.77</v>
      </c>
      <c r="Q125" s="13">
        <v>0.354832807056153</v>
      </c>
      <c r="R125" s="19">
        <v>1434.99</v>
      </c>
      <c r="S125" s="14">
        <v>4044.13</v>
      </c>
      <c r="T125" s="13">
        <v>77.2</v>
      </c>
      <c r="U125" s="13">
        <v>36.3</v>
      </c>
      <c r="V125" s="13">
        <v>202.6</v>
      </c>
      <c r="W125" s="13">
        <v>12</v>
      </c>
      <c r="X125" s="13">
        <v>0.604459257861199</v>
      </c>
    </row>
    <row r="126" ht="17" spans="1:24">
      <c r="A126" s="13">
        <v>2015</v>
      </c>
      <c r="B126" s="13">
        <v>430000</v>
      </c>
      <c r="C126" s="13" t="s">
        <v>63</v>
      </c>
      <c r="D126" s="13">
        <v>0</v>
      </c>
      <c r="E126" s="13">
        <v>0</v>
      </c>
      <c r="F126" s="13">
        <v>1</v>
      </c>
      <c r="G126" s="13">
        <v>0</v>
      </c>
      <c r="H126" s="13">
        <v>58.6</v>
      </c>
      <c r="I126" s="13">
        <v>41.4</v>
      </c>
      <c r="J126" s="13">
        <v>20.173</v>
      </c>
      <c r="K126" s="13">
        <v>68.141</v>
      </c>
      <c r="L126" s="13">
        <v>6.673</v>
      </c>
      <c r="M126" s="13">
        <v>0.406680400974801</v>
      </c>
      <c r="N126" s="19">
        <v>1618.71</v>
      </c>
      <c r="O126" s="13">
        <v>0.23511795593297</v>
      </c>
      <c r="P126" s="19">
        <v>935.84</v>
      </c>
      <c r="Q126" s="13">
        <v>0.358201643092229</v>
      </c>
      <c r="R126" s="19">
        <v>1425.75</v>
      </c>
      <c r="S126" s="14">
        <v>3980.3</v>
      </c>
      <c r="T126" s="13">
        <v>76.9</v>
      </c>
      <c r="U126" s="13">
        <v>36.8</v>
      </c>
      <c r="V126" s="13">
        <v>194.9</v>
      </c>
      <c r="W126" s="13">
        <v>12.4</v>
      </c>
      <c r="X126" s="13">
        <v>0.568807880446135</v>
      </c>
    </row>
    <row r="127" ht="17" spans="1:24">
      <c r="A127" s="13">
        <v>2016</v>
      </c>
      <c r="B127" s="13">
        <v>430000</v>
      </c>
      <c r="C127" s="13" t="s">
        <v>63</v>
      </c>
      <c r="D127" s="13">
        <v>0</v>
      </c>
      <c r="E127" s="13">
        <v>0</v>
      </c>
      <c r="F127" s="13">
        <v>1</v>
      </c>
      <c r="G127" s="13">
        <v>0</v>
      </c>
      <c r="H127" s="13">
        <v>58.643</v>
      </c>
      <c r="I127" s="13">
        <v>41.357</v>
      </c>
      <c r="J127" s="13">
        <v>18.491</v>
      </c>
      <c r="K127" s="13">
        <v>69.113</v>
      </c>
      <c r="L127" s="13">
        <v>6.984</v>
      </c>
      <c r="M127" s="13">
        <v>0.404886223634773</v>
      </c>
      <c r="N127" s="19">
        <v>1587.32</v>
      </c>
      <c r="O127" s="13">
        <v>0.232669542216248</v>
      </c>
      <c r="P127" s="19">
        <v>912.16</v>
      </c>
      <c r="Q127" s="13">
        <v>0.362444234148979</v>
      </c>
      <c r="R127" s="19">
        <v>1420.93</v>
      </c>
      <c r="S127" s="14">
        <v>3920.41</v>
      </c>
      <c r="T127" s="13">
        <v>78.3</v>
      </c>
      <c r="U127" s="13">
        <v>35</v>
      </c>
      <c r="V127" s="13">
        <v>198</v>
      </c>
      <c r="W127" s="13">
        <v>12.2</v>
      </c>
      <c r="X127" s="13">
        <v>0.576781233624658</v>
      </c>
    </row>
    <row r="128" ht="17" spans="1:24">
      <c r="A128" s="13">
        <v>2017</v>
      </c>
      <c r="B128" s="13">
        <v>430000</v>
      </c>
      <c r="C128" s="13" t="s">
        <v>63</v>
      </c>
      <c r="D128" s="13">
        <v>0</v>
      </c>
      <c r="E128" s="13">
        <v>0</v>
      </c>
      <c r="F128" s="13">
        <v>1</v>
      </c>
      <c r="G128" s="13">
        <v>0</v>
      </c>
      <c r="H128" s="13">
        <v>58.382</v>
      </c>
      <c r="I128" s="13">
        <v>41.618</v>
      </c>
      <c r="J128" s="13">
        <v>16.646</v>
      </c>
      <c r="K128" s="13">
        <v>70.254</v>
      </c>
      <c r="L128" s="13">
        <v>7.139</v>
      </c>
      <c r="M128" s="13">
        <v>0.396927607001954</v>
      </c>
      <c r="N128" s="19">
        <v>1515.16</v>
      </c>
      <c r="O128" s="13">
        <v>0.228221061400705</v>
      </c>
      <c r="P128" s="19">
        <v>871.17</v>
      </c>
      <c r="Q128" s="13">
        <v>0.374851331597341</v>
      </c>
      <c r="R128" s="19">
        <v>1430.89</v>
      </c>
      <c r="S128" s="14">
        <v>3817.22</v>
      </c>
      <c r="T128" s="13">
        <v>78.7</v>
      </c>
      <c r="U128" s="13">
        <v>33.3</v>
      </c>
      <c r="V128" s="13">
        <v>196.2</v>
      </c>
      <c r="W128" s="13">
        <v>12.7</v>
      </c>
      <c r="X128" s="13">
        <v>0.403593239187758</v>
      </c>
    </row>
    <row r="129" ht="17" spans="1:24">
      <c r="A129" s="13">
        <v>2018</v>
      </c>
      <c r="B129" s="13">
        <v>430000</v>
      </c>
      <c r="C129" s="13" t="s">
        <v>63</v>
      </c>
      <c r="D129" s="13">
        <v>0</v>
      </c>
      <c r="E129" s="13">
        <v>0</v>
      </c>
      <c r="F129" s="13">
        <v>1</v>
      </c>
      <c r="G129" s="13">
        <v>0</v>
      </c>
      <c r="H129" s="13">
        <v>58.631</v>
      </c>
      <c r="I129" s="13">
        <v>41.369</v>
      </c>
      <c r="J129" s="13">
        <v>16.13</v>
      </c>
      <c r="K129" s="13">
        <v>70.539</v>
      </c>
      <c r="L129" s="13">
        <v>7.336</v>
      </c>
      <c r="M129" s="13">
        <v>0.391159210181406</v>
      </c>
      <c r="N129" s="19">
        <v>1462.38</v>
      </c>
      <c r="O129" s="13">
        <v>0.223732005199835</v>
      </c>
      <c r="P129" s="19">
        <v>836.44</v>
      </c>
      <c r="Q129" s="13">
        <v>0.385108784618759</v>
      </c>
      <c r="R129" s="19">
        <v>1439.76</v>
      </c>
      <c r="S129" s="14">
        <v>3738.58</v>
      </c>
      <c r="T129" s="13">
        <v>77.3</v>
      </c>
      <c r="U129" s="13">
        <v>33.5</v>
      </c>
      <c r="V129" s="13">
        <v>198.6</v>
      </c>
      <c r="W129" s="13">
        <v>12.5</v>
      </c>
      <c r="X129" s="13">
        <v>0.423112035637077</v>
      </c>
    </row>
    <row r="130" ht="17" spans="1:24">
      <c r="A130" s="13">
        <v>2019</v>
      </c>
      <c r="B130" s="13">
        <v>430000</v>
      </c>
      <c r="C130" s="13" t="s">
        <v>63</v>
      </c>
      <c r="D130" s="13">
        <v>0</v>
      </c>
      <c r="E130" s="13">
        <v>0</v>
      </c>
      <c r="F130" s="13">
        <v>1</v>
      </c>
      <c r="G130" s="13">
        <v>0</v>
      </c>
      <c r="H130" s="13">
        <v>56.2</v>
      </c>
      <c r="I130" s="13">
        <v>43.8</v>
      </c>
      <c r="J130" s="13">
        <v>13.3</v>
      </c>
      <c r="K130" s="13">
        <v>77.4</v>
      </c>
      <c r="L130" s="13">
        <v>9.2</v>
      </c>
      <c r="M130" s="13">
        <v>0.384357749121773</v>
      </c>
      <c r="N130" s="19">
        <v>1409.24</v>
      </c>
      <c r="O130" s="13">
        <v>0.220931247408959</v>
      </c>
      <c r="P130" s="19">
        <v>810.04</v>
      </c>
      <c r="Q130" s="13">
        <v>0.394711003469268</v>
      </c>
      <c r="R130" s="19">
        <v>1447.2</v>
      </c>
      <c r="S130" s="14">
        <v>3666.48</v>
      </c>
      <c r="T130" s="13">
        <v>97</v>
      </c>
      <c r="U130" s="13">
        <v>36.5</v>
      </c>
      <c r="V130" s="13">
        <v>228.3</v>
      </c>
      <c r="W130" s="13">
        <v>14.1</v>
      </c>
      <c r="X130" s="13">
        <v>0.451914934216141</v>
      </c>
    </row>
    <row r="131" ht="17" spans="1:24">
      <c r="A131" s="13">
        <v>2020</v>
      </c>
      <c r="B131" s="13">
        <v>430000</v>
      </c>
      <c r="C131" s="13" t="s">
        <v>63</v>
      </c>
      <c r="D131" s="13">
        <v>0</v>
      </c>
      <c r="E131" s="13">
        <v>0</v>
      </c>
      <c r="F131" s="13">
        <v>1</v>
      </c>
      <c r="G131" s="13">
        <v>0</v>
      </c>
      <c r="H131" s="13">
        <v>56.3</v>
      </c>
      <c r="I131" s="13">
        <v>43.7</v>
      </c>
      <c r="J131" s="13">
        <v>13.6</v>
      </c>
      <c r="K131" s="13">
        <v>77.1</v>
      </c>
      <c r="L131" s="13">
        <v>9.3</v>
      </c>
      <c r="M131" s="13">
        <v>0.254878048780488</v>
      </c>
      <c r="N131" s="19">
        <v>836</v>
      </c>
      <c r="O131" s="13">
        <v>0.269512195121951</v>
      </c>
      <c r="P131" s="19">
        <v>884</v>
      </c>
      <c r="Q131" s="13">
        <v>0.475609756097561</v>
      </c>
      <c r="R131" s="19">
        <v>1560</v>
      </c>
      <c r="S131" s="14">
        <v>3280</v>
      </c>
      <c r="T131" s="13">
        <v>91.4</v>
      </c>
      <c r="U131" s="13">
        <v>38.2</v>
      </c>
      <c r="V131" s="13">
        <v>237.1</v>
      </c>
      <c r="W131" s="13">
        <v>16.2</v>
      </c>
      <c r="X131" s="13">
        <v>0.478987523558263</v>
      </c>
    </row>
    <row r="132" ht="17" spans="1:24">
      <c r="A132" s="13">
        <v>2021</v>
      </c>
      <c r="B132" s="13">
        <v>430000</v>
      </c>
      <c r="C132" s="13" t="s">
        <v>63</v>
      </c>
      <c r="D132" s="13">
        <v>0</v>
      </c>
      <c r="E132" s="13">
        <v>0</v>
      </c>
      <c r="F132" s="13">
        <v>1</v>
      </c>
      <c r="G132" s="13">
        <v>0</v>
      </c>
      <c r="H132" s="13">
        <v>57.413</v>
      </c>
      <c r="I132" s="13">
        <v>42.587</v>
      </c>
      <c r="J132" s="13">
        <v>14.568</v>
      </c>
      <c r="K132" s="13">
        <v>75.912</v>
      </c>
      <c r="L132" s="13">
        <v>9.52</v>
      </c>
      <c r="M132" s="13">
        <v>0.24585635359116</v>
      </c>
      <c r="N132" s="19">
        <v>801</v>
      </c>
      <c r="O132" s="13">
        <v>0.274094536525476</v>
      </c>
      <c r="P132" s="19">
        <v>893</v>
      </c>
      <c r="Q132" s="13">
        <v>0.480049109883364</v>
      </c>
      <c r="R132" s="19">
        <v>1564</v>
      </c>
      <c r="S132" s="14">
        <v>3258</v>
      </c>
      <c r="T132" s="13">
        <v>93.5</v>
      </c>
      <c r="U132" s="13">
        <v>38.2</v>
      </c>
      <c r="V132" s="13">
        <v>237.1</v>
      </c>
      <c r="W132" s="13">
        <v>15.5</v>
      </c>
      <c r="X132" s="13">
        <v>0.501894620923192</v>
      </c>
    </row>
    <row r="133" ht="17" spans="1:24">
      <c r="A133" s="13">
        <v>2022</v>
      </c>
      <c r="B133" s="13">
        <v>430000</v>
      </c>
      <c r="C133" s="13" t="s">
        <v>63</v>
      </c>
      <c r="D133" s="13">
        <v>0</v>
      </c>
      <c r="E133" s="13">
        <v>0</v>
      </c>
      <c r="F133" s="13">
        <v>1</v>
      </c>
      <c r="G133" s="13">
        <v>0</v>
      </c>
      <c r="H133" s="13">
        <v>57.665</v>
      </c>
      <c r="I133" s="13">
        <v>42.335</v>
      </c>
      <c r="J133" s="13">
        <v>16.95</v>
      </c>
      <c r="K133" s="13">
        <v>72.59</v>
      </c>
      <c r="L133" s="13">
        <v>10.46</v>
      </c>
      <c r="M133" s="13">
        <v>0.243864554209382</v>
      </c>
      <c r="N133" s="19">
        <v>785</v>
      </c>
      <c r="O133" s="13">
        <v>0.271823547685617</v>
      </c>
      <c r="P133" s="19">
        <v>875</v>
      </c>
      <c r="Q133" s="13">
        <v>0.484311898105002</v>
      </c>
      <c r="R133" s="19">
        <v>1559</v>
      </c>
      <c r="S133" s="14">
        <v>3219</v>
      </c>
      <c r="T133" s="13">
        <v>86.8</v>
      </c>
      <c r="U133" s="13">
        <v>37.7</v>
      </c>
      <c r="V133" s="13">
        <v>233.3</v>
      </c>
      <c r="W133" s="13">
        <v>14.2</v>
      </c>
      <c r="X133" s="13">
        <v>0.517548824311509</v>
      </c>
    </row>
    <row r="134" ht="17" spans="1:24">
      <c r="A134" s="13">
        <v>2013</v>
      </c>
      <c r="B134" s="13">
        <v>220000</v>
      </c>
      <c r="C134" s="13" t="s">
        <v>64</v>
      </c>
      <c r="D134" s="13">
        <v>0</v>
      </c>
      <c r="E134" s="13">
        <v>0</v>
      </c>
      <c r="F134" s="13">
        <v>0</v>
      </c>
      <c r="G134" s="13">
        <v>1</v>
      </c>
      <c r="H134" s="13">
        <v>54.2739999999999</v>
      </c>
      <c r="I134" s="13">
        <v>45.7260000000001</v>
      </c>
      <c r="J134" s="13">
        <v>19.737</v>
      </c>
      <c r="K134" s="13">
        <v>73.54</v>
      </c>
      <c r="L134" s="13">
        <v>6.724</v>
      </c>
      <c r="M134" s="13">
        <v>0.416671242278655</v>
      </c>
      <c r="N134" s="19">
        <v>607.09</v>
      </c>
      <c r="O134" s="13">
        <v>0.183349347975292</v>
      </c>
      <c r="P134" s="19">
        <v>267.14</v>
      </c>
      <c r="Q134" s="13">
        <v>0.399979409746054</v>
      </c>
      <c r="R134" s="19">
        <v>582.77</v>
      </c>
      <c r="S134" s="14">
        <v>1457</v>
      </c>
      <c r="T134" s="13">
        <v>48.4</v>
      </c>
      <c r="U134" s="13">
        <v>21.1</v>
      </c>
      <c r="V134" s="13">
        <v>97.9</v>
      </c>
      <c r="W134" s="13">
        <v>5.7</v>
      </c>
      <c r="X134" s="13">
        <v>0.92166222751584</v>
      </c>
    </row>
    <row r="135" ht="17" spans="1:24">
      <c r="A135" s="13">
        <v>2014</v>
      </c>
      <c r="B135" s="13">
        <v>220000</v>
      </c>
      <c r="C135" s="13" t="s">
        <v>64</v>
      </c>
      <c r="D135" s="13">
        <v>0</v>
      </c>
      <c r="E135" s="13">
        <v>0</v>
      </c>
      <c r="F135" s="13">
        <v>0</v>
      </c>
      <c r="G135" s="13">
        <v>1</v>
      </c>
      <c r="H135" s="13">
        <v>55.7</v>
      </c>
      <c r="I135" s="13">
        <v>44.3</v>
      </c>
      <c r="J135" s="13">
        <v>18.4</v>
      </c>
      <c r="K135" s="13">
        <v>74.3</v>
      </c>
      <c r="L135" s="13">
        <v>7.3</v>
      </c>
      <c r="M135" s="13">
        <v>0.411020245127925</v>
      </c>
      <c r="N135" s="19">
        <v>586.53</v>
      </c>
      <c r="O135" s="13">
        <v>0.177770302941115</v>
      </c>
      <c r="P135" s="19">
        <v>253.68</v>
      </c>
      <c r="Q135" s="13">
        <v>0.411209451930961</v>
      </c>
      <c r="R135" s="19">
        <v>586.8</v>
      </c>
      <c r="S135" s="14">
        <v>1427.01</v>
      </c>
      <c r="T135" s="13">
        <v>48.2</v>
      </c>
      <c r="U135" s="13">
        <v>20.7</v>
      </c>
      <c r="V135" s="13">
        <v>98.3</v>
      </c>
      <c r="W135" s="13">
        <v>6.3</v>
      </c>
      <c r="X135" s="13">
        <v>0.925325257010999</v>
      </c>
    </row>
    <row r="136" ht="17" spans="1:24">
      <c r="A136" s="13">
        <v>2015</v>
      </c>
      <c r="B136" s="13">
        <v>220000</v>
      </c>
      <c r="C136" s="13" t="s">
        <v>64</v>
      </c>
      <c r="D136" s="13">
        <v>0</v>
      </c>
      <c r="E136" s="13">
        <v>0</v>
      </c>
      <c r="F136" s="13">
        <v>0</v>
      </c>
      <c r="G136" s="13">
        <v>1</v>
      </c>
      <c r="H136" s="13">
        <v>57.126</v>
      </c>
      <c r="I136" s="13">
        <v>42.874</v>
      </c>
      <c r="J136" s="13">
        <v>22.079</v>
      </c>
      <c r="K136" s="13">
        <v>64.645</v>
      </c>
      <c r="L136" s="13">
        <v>8.138</v>
      </c>
      <c r="M136" s="13">
        <v>0.405218012866333</v>
      </c>
      <c r="N136" s="19">
        <v>566.9</v>
      </c>
      <c r="O136" s="13">
        <v>0.172265904217298</v>
      </c>
      <c r="P136" s="19">
        <v>241</v>
      </c>
      <c r="Q136" s="13">
        <v>0.422516082916369</v>
      </c>
      <c r="R136" s="19">
        <v>591.1</v>
      </c>
      <c r="S136" s="14">
        <v>1399</v>
      </c>
      <c r="T136" s="13">
        <v>47.5</v>
      </c>
      <c r="U136" s="13">
        <v>20.2</v>
      </c>
      <c r="V136" s="13">
        <v>98</v>
      </c>
      <c r="W136" s="13">
        <v>6</v>
      </c>
      <c r="X136" s="13">
        <v>0.928532122301632</v>
      </c>
    </row>
    <row r="137" ht="17" spans="1:24">
      <c r="A137" s="13">
        <v>2016</v>
      </c>
      <c r="B137" s="13">
        <v>220000</v>
      </c>
      <c r="C137" s="13" t="s">
        <v>64</v>
      </c>
      <c r="D137" s="13">
        <v>0</v>
      </c>
      <c r="E137" s="13">
        <v>0</v>
      </c>
      <c r="F137" s="13">
        <v>0</v>
      </c>
      <c r="G137" s="13">
        <v>1</v>
      </c>
      <c r="H137" s="13">
        <v>55.545</v>
      </c>
      <c r="I137" s="13">
        <v>44.455</v>
      </c>
      <c r="J137" s="13">
        <v>18.634</v>
      </c>
      <c r="K137" s="13">
        <v>68.325</v>
      </c>
      <c r="L137" s="13">
        <v>8.044</v>
      </c>
      <c r="M137" s="13">
        <v>0.399301164482196</v>
      </c>
      <c r="N137" s="19">
        <v>546.24</v>
      </c>
      <c r="O137" s="13">
        <v>0.166828704888194</v>
      </c>
      <c r="P137" s="19">
        <v>228.22</v>
      </c>
      <c r="Q137" s="13">
        <v>0.43387013062961</v>
      </c>
      <c r="R137" s="19">
        <v>593.53</v>
      </c>
      <c r="S137" s="14">
        <v>1367.99</v>
      </c>
      <c r="T137" s="13">
        <v>48</v>
      </c>
      <c r="U137" s="13">
        <v>20.4</v>
      </c>
      <c r="V137" s="13">
        <v>99.7</v>
      </c>
      <c r="W137" s="13">
        <v>6.8</v>
      </c>
      <c r="X137" s="13">
        <v>0.931556721710475</v>
      </c>
    </row>
    <row r="138" ht="17" spans="1:24">
      <c r="A138" s="13">
        <v>2017</v>
      </c>
      <c r="B138" s="13">
        <v>220000</v>
      </c>
      <c r="C138" s="13" t="s">
        <v>64</v>
      </c>
      <c r="D138" s="13">
        <v>0</v>
      </c>
      <c r="E138" s="13">
        <v>0</v>
      </c>
      <c r="F138" s="13">
        <v>0</v>
      </c>
      <c r="G138" s="13">
        <v>1</v>
      </c>
      <c r="H138" s="13">
        <v>56.092</v>
      </c>
      <c r="I138" s="13">
        <v>43.908</v>
      </c>
      <c r="J138" s="13">
        <v>17.085</v>
      </c>
      <c r="K138" s="13">
        <v>68.91</v>
      </c>
      <c r="L138" s="13">
        <v>8.842</v>
      </c>
      <c r="M138" s="13">
        <v>0.393233756534727</v>
      </c>
      <c r="N138" s="19">
        <v>526.54</v>
      </c>
      <c r="O138" s="13">
        <v>0.161463778939507</v>
      </c>
      <c r="P138" s="19">
        <v>216.2</v>
      </c>
      <c r="Q138" s="13">
        <v>0.445302464525765</v>
      </c>
      <c r="R138" s="19">
        <v>596.26</v>
      </c>
      <c r="S138" s="14">
        <v>1339</v>
      </c>
      <c r="T138" s="13">
        <v>49.2</v>
      </c>
      <c r="U138" s="13">
        <v>20.5</v>
      </c>
      <c r="V138" s="13">
        <v>100.4</v>
      </c>
      <c r="W138" s="13">
        <v>6.9</v>
      </c>
      <c r="X138" s="13">
        <v>0.966386605574216</v>
      </c>
    </row>
    <row r="139" ht="17" spans="1:24">
      <c r="A139" s="13">
        <v>2018</v>
      </c>
      <c r="B139" s="13">
        <v>220000</v>
      </c>
      <c r="C139" s="13" t="s">
        <v>64</v>
      </c>
      <c r="D139" s="13">
        <v>0</v>
      </c>
      <c r="E139" s="13">
        <v>0</v>
      </c>
      <c r="F139" s="13">
        <v>0</v>
      </c>
      <c r="G139" s="13">
        <v>1</v>
      </c>
      <c r="H139" s="13">
        <v>55.39</v>
      </c>
      <c r="I139" s="13">
        <v>44.61</v>
      </c>
      <c r="J139" s="13">
        <v>17.738</v>
      </c>
      <c r="K139" s="13">
        <v>67.972</v>
      </c>
      <c r="L139" s="13">
        <v>9.256</v>
      </c>
      <c r="M139" s="13">
        <v>0.387044238628321</v>
      </c>
      <c r="N139" s="19">
        <v>508.58</v>
      </c>
      <c r="O139" s="13">
        <v>0.156193636273697</v>
      </c>
      <c r="P139" s="19">
        <v>205.24</v>
      </c>
      <c r="Q139" s="13">
        <v>0.456762125097983</v>
      </c>
      <c r="R139" s="19">
        <v>600.19</v>
      </c>
      <c r="S139" s="14">
        <v>1314.01</v>
      </c>
      <c r="T139" s="13">
        <v>48</v>
      </c>
      <c r="U139" s="13">
        <v>19.2</v>
      </c>
      <c r="V139" s="13">
        <v>101.2</v>
      </c>
      <c r="W139" s="13">
        <v>6.1</v>
      </c>
      <c r="X139" s="13">
        <v>0.778466468629106</v>
      </c>
    </row>
    <row r="140" ht="17" spans="1:24">
      <c r="A140" s="13">
        <v>2019</v>
      </c>
      <c r="B140" s="13">
        <v>220000</v>
      </c>
      <c r="C140" s="13" t="s">
        <v>64</v>
      </c>
      <c r="D140" s="13">
        <v>0</v>
      </c>
      <c r="E140" s="13">
        <v>0</v>
      </c>
      <c r="F140" s="13">
        <v>0</v>
      </c>
      <c r="G140" s="13">
        <v>1</v>
      </c>
      <c r="H140" s="13">
        <v>55.3</v>
      </c>
      <c r="I140" s="13">
        <v>44.7</v>
      </c>
      <c r="J140" s="13">
        <v>17.2</v>
      </c>
      <c r="K140" s="13">
        <v>71.9</v>
      </c>
      <c r="L140" s="13">
        <v>10.8</v>
      </c>
      <c r="M140" s="13">
        <v>0.380723172628305</v>
      </c>
      <c r="N140" s="19">
        <v>489.61</v>
      </c>
      <c r="O140" s="13">
        <v>0.15099533437014</v>
      </c>
      <c r="P140" s="19">
        <v>194.18</v>
      </c>
      <c r="Q140" s="13">
        <v>0.468281493001555</v>
      </c>
      <c r="R140" s="19">
        <v>602.21</v>
      </c>
      <c r="S140" s="14">
        <v>1286</v>
      </c>
      <c r="T140" s="13">
        <v>53.6</v>
      </c>
      <c r="U140" s="13">
        <v>17.8</v>
      </c>
      <c r="V140" s="13">
        <v>108</v>
      </c>
      <c r="W140" s="13">
        <v>6.1</v>
      </c>
      <c r="X140" s="13">
        <v>0.763200082923179</v>
      </c>
    </row>
    <row r="141" ht="17" spans="1:24">
      <c r="A141" s="13">
        <v>2020</v>
      </c>
      <c r="B141" s="13">
        <v>220000</v>
      </c>
      <c r="C141" s="13" t="s">
        <v>64</v>
      </c>
      <c r="D141" s="13">
        <v>0</v>
      </c>
      <c r="E141" s="13">
        <v>0</v>
      </c>
      <c r="F141" s="13">
        <v>0</v>
      </c>
      <c r="G141" s="13">
        <v>1</v>
      </c>
      <c r="H141" s="13">
        <v>55.5</v>
      </c>
      <c r="I141" s="13">
        <v>44.5</v>
      </c>
      <c r="J141" s="13">
        <v>19.6</v>
      </c>
      <c r="K141" s="13">
        <v>69.8</v>
      </c>
      <c r="L141" s="13">
        <v>10.6</v>
      </c>
      <c r="M141" s="13">
        <v>0.374306106264869</v>
      </c>
      <c r="N141" s="19">
        <v>472</v>
      </c>
      <c r="O141" s="13">
        <v>0.145915939730373</v>
      </c>
      <c r="P141" s="19">
        <v>184</v>
      </c>
      <c r="Q141" s="13">
        <v>0.479777954004758</v>
      </c>
      <c r="R141" s="19">
        <v>605</v>
      </c>
      <c r="S141" s="14">
        <v>1261</v>
      </c>
      <c r="T141" s="13">
        <v>54.4</v>
      </c>
      <c r="U141" s="13">
        <v>16</v>
      </c>
      <c r="V141" s="13">
        <v>101.2</v>
      </c>
      <c r="W141" s="13">
        <v>5.4</v>
      </c>
      <c r="X141" s="13">
        <v>0.768960431701699</v>
      </c>
    </row>
    <row r="142" ht="17" spans="1:24">
      <c r="A142" s="13">
        <v>2021</v>
      </c>
      <c r="B142" s="13">
        <v>220000</v>
      </c>
      <c r="C142" s="13" t="s">
        <v>64</v>
      </c>
      <c r="D142" s="13">
        <v>0</v>
      </c>
      <c r="E142" s="13">
        <v>0</v>
      </c>
      <c r="F142" s="13">
        <v>0</v>
      </c>
      <c r="G142" s="13">
        <v>1</v>
      </c>
      <c r="H142" s="13">
        <v>55.592</v>
      </c>
      <c r="I142" s="13">
        <v>44.408</v>
      </c>
      <c r="J142" s="13">
        <v>18.155</v>
      </c>
      <c r="K142" s="13">
        <v>69.761</v>
      </c>
      <c r="L142" s="13">
        <v>12.084</v>
      </c>
      <c r="M142" s="13">
        <v>0.369706840390879</v>
      </c>
      <c r="N142" s="19">
        <v>454</v>
      </c>
      <c r="O142" s="13">
        <v>0.147394136807818</v>
      </c>
      <c r="P142" s="19">
        <v>181</v>
      </c>
      <c r="Q142" s="13">
        <v>0.482899022801303</v>
      </c>
      <c r="R142" s="19">
        <v>593</v>
      </c>
      <c r="S142" s="14">
        <v>1228</v>
      </c>
      <c r="T142" s="13">
        <v>52</v>
      </c>
      <c r="U142" s="13">
        <v>14.9</v>
      </c>
      <c r="V142" s="13">
        <v>103.8</v>
      </c>
      <c r="W142" s="13">
        <v>5</v>
      </c>
      <c r="X142" s="13">
        <v>0.731520022355365</v>
      </c>
    </row>
    <row r="143" ht="17" spans="1:24">
      <c r="A143" s="13">
        <v>2022</v>
      </c>
      <c r="B143" s="13">
        <v>220000</v>
      </c>
      <c r="C143" s="13" t="s">
        <v>64</v>
      </c>
      <c r="D143" s="13">
        <v>0</v>
      </c>
      <c r="E143" s="13">
        <v>0</v>
      </c>
      <c r="F143" s="13">
        <v>0</v>
      </c>
      <c r="G143" s="13">
        <v>1</v>
      </c>
      <c r="H143" s="13">
        <v>56.534</v>
      </c>
      <c r="I143" s="13">
        <v>43.466</v>
      </c>
      <c r="J143" s="13">
        <v>19.065</v>
      </c>
      <c r="K143" s="13">
        <v>66.972</v>
      </c>
      <c r="L143" s="13">
        <v>13.962</v>
      </c>
      <c r="M143" s="13">
        <v>0.4042194092827</v>
      </c>
      <c r="N143" s="19">
        <v>479</v>
      </c>
      <c r="O143" s="13">
        <v>0.144303797468354</v>
      </c>
      <c r="P143" s="19">
        <v>171</v>
      </c>
      <c r="Q143" s="13">
        <v>0.451476793248945</v>
      </c>
      <c r="R143" s="19">
        <v>535</v>
      </c>
      <c r="S143" s="14">
        <v>1185</v>
      </c>
      <c r="T143" s="13">
        <v>47.5</v>
      </c>
      <c r="U143" s="13">
        <v>14.4</v>
      </c>
      <c r="V143" s="13">
        <v>102.6</v>
      </c>
      <c r="W143" s="13">
        <v>4.5</v>
      </c>
      <c r="X143" s="13">
        <v>0.739453273053872</v>
      </c>
    </row>
    <row r="144" ht="17" spans="1:24">
      <c r="A144" s="13">
        <v>2013</v>
      </c>
      <c r="B144" s="13">
        <v>320000</v>
      </c>
      <c r="C144" s="13" t="s">
        <v>65</v>
      </c>
      <c r="D144" s="13">
        <v>0</v>
      </c>
      <c r="E144" s="13">
        <v>1</v>
      </c>
      <c r="F144" s="13">
        <v>0</v>
      </c>
      <c r="G144" s="13">
        <v>0</v>
      </c>
      <c r="H144" s="13">
        <v>48.9719999999998</v>
      </c>
      <c r="I144" s="13">
        <v>51.0280000000002</v>
      </c>
      <c r="J144" s="13">
        <v>17.693</v>
      </c>
      <c r="K144" s="13">
        <v>75.633</v>
      </c>
      <c r="L144" s="13">
        <v>6.673</v>
      </c>
      <c r="M144" s="13">
        <v>0.194000292159686</v>
      </c>
      <c r="N144" s="19">
        <v>929.63</v>
      </c>
      <c r="O144" s="13">
        <v>0.426000125211294</v>
      </c>
      <c r="P144" s="19">
        <v>2041.35</v>
      </c>
      <c r="Q144" s="13">
        <v>0.37999958262902</v>
      </c>
      <c r="R144" s="19">
        <v>1820.92</v>
      </c>
      <c r="S144" s="14">
        <v>4791.9</v>
      </c>
      <c r="T144" s="13">
        <v>160.8</v>
      </c>
      <c r="U144" s="13">
        <v>91.9</v>
      </c>
      <c r="V144" s="13">
        <v>215.1</v>
      </c>
      <c r="W144" s="13">
        <v>21.2</v>
      </c>
      <c r="X144" s="13">
        <v>1.18359391097766</v>
      </c>
    </row>
    <row r="145" ht="17" spans="1:24">
      <c r="A145" s="13">
        <v>2014</v>
      </c>
      <c r="B145" s="13">
        <v>320000</v>
      </c>
      <c r="C145" s="13" t="s">
        <v>65</v>
      </c>
      <c r="D145" s="13">
        <v>0</v>
      </c>
      <c r="E145" s="13">
        <v>1</v>
      </c>
      <c r="F145" s="13">
        <v>0</v>
      </c>
      <c r="G145" s="13">
        <v>0</v>
      </c>
      <c r="H145" s="13">
        <v>52.9</v>
      </c>
      <c r="I145" s="13">
        <v>47.1</v>
      </c>
      <c r="J145" s="13">
        <v>17.8</v>
      </c>
      <c r="K145" s="13">
        <v>75.1</v>
      </c>
      <c r="L145" s="13">
        <v>7.1</v>
      </c>
      <c r="M145" s="13">
        <v>0.184999646776734</v>
      </c>
      <c r="N145" s="19">
        <v>890.37</v>
      </c>
      <c r="O145" s="13">
        <v>0.425000311667588</v>
      </c>
      <c r="P145" s="19">
        <v>2045.45</v>
      </c>
      <c r="Q145" s="13">
        <v>0.390000041555678</v>
      </c>
      <c r="R145" s="19">
        <v>1877</v>
      </c>
      <c r="S145" s="14">
        <v>4812.82</v>
      </c>
      <c r="T145" s="13">
        <v>164.8</v>
      </c>
      <c r="U145" s="13">
        <v>90.8</v>
      </c>
      <c r="V145" s="13">
        <v>226.1</v>
      </c>
      <c r="W145" s="13">
        <v>22.1</v>
      </c>
      <c r="X145" s="13">
        <v>1.1560638222971</v>
      </c>
    </row>
    <row r="146" ht="17" spans="1:24">
      <c r="A146" s="13">
        <v>2015</v>
      </c>
      <c r="B146" s="13">
        <v>320000</v>
      </c>
      <c r="C146" s="13" t="s">
        <v>65</v>
      </c>
      <c r="D146" s="13">
        <v>0</v>
      </c>
      <c r="E146" s="13">
        <v>1</v>
      </c>
      <c r="F146" s="13">
        <v>0</v>
      </c>
      <c r="G146" s="13">
        <v>0</v>
      </c>
      <c r="H146" s="13">
        <v>56.828</v>
      </c>
      <c r="I146" s="13">
        <v>43.172</v>
      </c>
      <c r="J146" s="13">
        <v>15.196</v>
      </c>
      <c r="K146" s="13">
        <v>66.19</v>
      </c>
      <c r="L146" s="13">
        <v>10.926</v>
      </c>
      <c r="M146" s="13">
        <v>0.175000517330574</v>
      </c>
      <c r="N146" s="19">
        <v>845.69</v>
      </c>
      <c r="O146" s="13">
        <v>0.420999482669426</v>
      </c>
      <c r="P146" s="19">
        <v>2034.48</v>
      </c>
      <c r="Q146" s="13">
        <v>0.404</v>
      </c>
      <c r="R146" s="19">
        <v>1952.33</v>
      </c>
      <c r="S146" s="14">
        <v>4832.5</v>
      </c>
      <c r="T146" s="13">
        <v>165.7</v>
      </c>
      <c r="U146" s="13">
        <v>87</v>
      </c>
      <c r="V146" s="13">
        <v>230.4</v>
      </c>
      <c r="W146" s="13">
        <v>22.6</v>
      </c>
      <c r="X146" s="13">
        <v>1.1481481872884</v>
      </c>
    </row>
    <row r="147" ht="17" spans="1:24">
      <c r="A147" s="13">
        <v>2016</v>
      </c>
      <c r="B147" s="13">
        <v>320000</v>
      </c>
      <c r="C147" s="13" t="s">
        <v>65</v>
      </c>
      <c r="D147" s="13">
        <v>0</v>
      </c>
      <c r="E147" s="13">
        <v>1</v>
      </c>
      <c r="F147" s="13">
        <v>0</v>
      </c>
      <c r="G147" s="13">
        <v>0</v>
      </c>
      <c r="H147" s="13">
        <v>55.509</v>
      </c>
      <c r="I147" s="13">
        <v>44.491</v>
      </c>
      <c r="J147" s="13">
        <v>15.233</v>
      </c>
      <c r="K147" s="13">
        <v>65.188</v>
      </c>
      <c r="L147" s="13">
        <v>11.32</v>
      </c>
      <c r="M147" s="13">
        <v>0.168000626775693</v>
      </c>
      <c r="N147" s="19">
        <v>814.84</v>
      </c>
      <c r="O147" s="13">
        <v>0.417999595894619</v>
      </c>
      <c r="P147" s="19">
        <v>2027.39</v>
      </c>
      <c r="Q147" s="13">
        <v>0.413999777329688</v>
      </c>
      <c r="R147" s="19">
        <v>2007.99</v>
      </c>
      <c r="S147" s="14">
        <v>4850.22</v>
      </c>
      <c r="T147" s="13">
        <v>166.2</v>
      </c>
      <c r="U147" s="13">
        <v>84.1</v>
      </c>
      <c r="V147" s="13">
        <v>231.9</v>
      </c>
      <c r="W147" s="13">
        <v>22.2</v>
      </c>
      <c r="X147" s="13">
        <v>1.17569661793491</v>
      </c>
    </row>
    <row r="148" ht="17" spans="1:24">
      <c r="A148" s="13">
        <v>2017</v>
      </c>
      <c r="B148" s="13">
        <v>320000</v>
      </c>
      <c r="C148" s="13" t="s">
        <v>65</v>
      </c>
      <c r="D148" s="13">
        <v>0</v>
      </c>
      <c r="E148" s="13">
        <v>1</v>
      </c>
      <c r="F148" s="13">
        <v>0</v>
      </c>
      <c r="G148" s="13">
        <v>0</v>
      </c>
      <c r="H148" s="13">
        <v>54.759</v>
      </c>
      <c r="I148" s="13">
        <v>45.241</v>
      </c>
      <c r="J148" s="13">
        <v>15.367</v>
      </c>
      <c r="K148" s="13">
        <v>64.324</v>
      </c>
      <c r="L148" s="13">
        <v>11.704</v>
      </c>
      <c r="M148" s="13">
        <v>0.157999507470038</v>
      </c>
      <c r="N148" s="19">
        <v>769.9</v>
      </c>
      <c r="O148" s="13">
        <v>0.413000738794943</v>
      </c>
      <c r="P148" s="19">
        <v>2012.47</v>
      </c>
      <c r="Q148" s="13">
        <v>0.428999753735019</v>
      </c>
      <c r="R148" s="19">
        <v>2090.43</v>
      </c>
      <c r="S148" s="14">
        <v>4872.8</v>
      </c>
      <c r="T148" s="13">
        <v>168.5</v>
      </c>
      <c r="U148" s="13">
        <v>82</v>
      </c>
      <c r="V148" s="13">
        <v>233.7</v>
      </c>
      <c r="W148" s="13">
        <v>23</v>
      </c>
      <c r="X148" s="13">
        <v>0.90619692859281</v>
      </c>
    </row>
    <row r="149" ht="17" spans="1:24">
      <c r="A149" s="13">
        <v>2018</v>
      </c>
      <c r="B149" s="13">
        <v>320000</v>
      </c>
      <c r="C149" s="13" t="s">
        <v>65</v>
      </c>
      <c r="D149" s="13">
        <v>0</v>
      </c>
      <c r="E149" s="13">
        <v>1</v>
      </c>
      <c r="F149" s="13">
        <v>0</v>
      </c>
      <c r="G149" s="13">
        <v>0</v>
      </c>
      <c r="H149" s="13">
        <v>54.313</v>
      </c>
      <c r="I149" s="13">
        <v>45.687</v>
      </c>
      <c r="J149" s="13">
        <v>14.934</v>
      </c>
      <c r="K149" s="13">
        <v>64.26</v>
      </c>
      <c r="L149" s="13">
        <v>12.562</v>
      </c>
      <c r="M149" s="13">
        <v>0.150999611205468</v>
      </c>
      <c r="N149" s="19">
        <v>737.92</v>
      </c>
      <c r="O149" s="13">
        <v>0.408000982217766</v>
      </c>
      <c r="P149" s="19">
        <v>1993.86</v>
      </c>
      <c r="Q149" s="13">
        <v>0.440999406576766</v>
      </c>
      <c r="R149" s="19">
        <v>2155.12</v>
      </c>
      <c r="S149" s="14">
        <v>4886.9</v>
      </c>
      <c r="T149" s="13">
        <v>172.7</v>
      </c>
      <c r="U149" s="13">
        <v>85.2</v>
      </c>
      <c r="V149" s="13">
        <v>233.1</v>
      </c>
      <c r="W149" s="13">
        <v>25.4</v>
      </c>
      <c r="X149" s="13">
        <v>0.937564756310585</v>
      </c>
    </row>
    <row r="150" ht="17" spans="1:24">
      <c r="A150" s="13">
        <v>2019</v>
      </c>
      <c r="B150" s="13">
        <v>320000</v>
      </c>
      <c r="C150" s="13" t="s">
        <v>65</v>
      </c>
      <c r="D150" s="13">
        <v>0</v>
      </c>
      <c r="E150" s="13">
        <v>1</v>
      </c>
      <c r="F150" s="13">
        <v>0</v>
      </c>
      <c r="G150" s="13">
        <v>0</v>
      </c>
      <c r="H150" s="13">
        <v>56.8</v>
      </c>
      <c r="I150" s="13">
        <v>43.2</v>
      </c>
      <c r="J150" s="13">
        <v>15.8</v>
      </c>
      <c r="K150" s="13">
        <v>71.2</v>
      </c>
      <c r="L150" s="13">
        <v>13</v>
      </c>
      <c r="M150" s="13">
        <v>0.143999836841247</v>
      </c>
      <c r="N150" s="19">
        <v>706.06</v>
      </c>
      <c r="O150" s="13">
        <v>0.4</v>
      </c>
      <c r="P150" s="19">
        <v>1961.28</v>
      </c>
      <c r="Q150" s="13">
        <v>0.456000163158754</v>
      </c>
      <c r="R150" s="19">
        <v>2235.86</v>
      </c>
      <c r="S150" s="14">
        <v>4903.2</v>
      </c>
      <c r="T150" s="13">
        <v>193</v>
      </c>
      <c r="U150" s="13">
        <v>93.8</v>
      </c>
      <c r="V150" s="13">
        <v>271.4</v>
      </c>
      <c r="W150" s="13">
        <v>29.1</v>
      </c>
      <c r="X150" s="13">
        <v>0.970262317629767</v>
      </c>
    </row>
    <row r="151" ht="17" spans="1:24">
      <c r="A151" s="13">
        <v>2020</v>
      </c>
      <c r="B151" s="13">
        <v>320000</v>
      </c>
      <c r="C151" s="13" t="s">
        <v>65</v>
      </c>
      <c r="D151" s="13">
        <v>0</v>
      </c>
      <c r="E151" s="13">
        <v>1</v>
      </c>
      <c r="F151" s="13">
        <v>0</v>
      </c>
      <c r="G151" s="13">
        <v>0</v>
      </c>
      <c r="H151" s="13">
        <v>56.3</v>
      </c>
      <c r="I151" s="13">
        <v>43.7</v>
      </c>
      <c r="J151" s="13">
        <v>15.9</v>
      </c>
      <c r="K151" s="13">
        <v>71</v>
      </c>
      <c r="L151" s="13">
        <v>13.1</v>
      </c>
      <c r="M151" s="13">
        <v>0.137952176578786</v>
      </c>
      <c r="N151" s="19">
        <v>675</v>
      </c>
      <c r="O151" s="13">
        <v>0.397302268546904</v>
      </c>
      <c r="P151" s="19">
        <v>1944</v>
      </c>
      <c r="Q151" s="13">
        <v>0.46474555487431</v>
      </c>
      <c r="R151" s="19">
        <v>2274</v>
      </c>
      <c r="S151" s="14">
        <v>4893</v>
      </c>
      <c r="T151" s="13">
        <v>191</v>
      </c>
      <c r="U151" s="13">
        <v>91.6</v>
      </c>
      <c r="V151" s="13">
        <v>271.4</v>
      </c>
      <c r="W151" s="13">
        <v>29.8</v>
      </c>
      <c r="X151" s="13">
        <v>0.986492949675837</v>
      </c>
    </row>
    <row r="152" ht="17" spans="1:24">
      <c r="A152" s="13">
        <v>2021</v>
      </c>
      <c r="B152" s="13">
        <v>320000</v>
      </c>
      <c r="C152" s="13" t="s">
        <v>65</v>
      </c>
      <c r="D152" s="13">
        <v>0</v>
      </c>
      <c r="E152" s="13">
        <v>1</v>
      </c>
      <c r="F152" s="13">
        <v>0</v>
      </c>
      <c r="G152" s="13">
        <v>0</v>
      </c>
      <c r="H152" s="13">
        <v>57.111</v>
      </c>
      <c r="I152" s="13">
        <v>42.889</v>
      </c>
      <c r="J152" s="13">
        <v>13.715</v>
      </c>
      <c r="K152" s="13">
        <v>72.67</v>
      </c>
      <c r="L152" s="13">
        <v>13.615</v>
      </c>
      <c r="M152" s="13">
        <v>0.12954966070327</v>
      </c>
      <c r="N152" s="19">
        <v>630</v>
      </c>
      <c r="O152" s="13">
        <v>0.40242648570841</v>
      </c>
      <c r="P152" s="19">
        <v>1957</v>
      </c>
      <c r="Q152" s="13">
        <v>0.46802385358832</v>
      </c>
      <c r="R152" s="19">
        <v>2276</v>
      </c>
      <c r="S152" s="14">
        <v>4863</v>
      </c>
      <c r="T152" s="13">
        <v>196.2</v>
      </c>
      <c r="U152" s="13">
        <v>89.2</v>
      </c>
      <c r="V152" s="13">
        <v>283.2</v>
      </c>
      <c r="W152" s="13">
        <v>30.8</v>
      </c>
      <c r="X152" s="13">
        <v>1.00761716682892</v>
      </c>
    </row>
    <row r="153" ht="17" spans="1:24">
      <c r="A153" s="13">
        <v>2022</v>
      </c>
      <c r="B153" s="13">
        <v>320000</v>
      </c>
      <c r="C153" s="13" t="s">
        <v>65</v>
      </c>
      <c r="D153" s="13">
        <v>0</v>
      </c>
      <c r="E153" s="13">
        <v>1</v>
      </c>
      <c r="F153" s="13">
        <v>0</v>
      </c>
      <c r="G153" s="13">
        <v>0</v>
      </c>
      <c r="H153" s="13">
        <v>56.79</v>
      </c>
      <c r="I153" s="13">
        <v>43.21</v>
      </c>
      <c r="J153" s="13">
        <v>17.116</v>
      </c>
      <c r="K153" s="13">
        <v>68.274</v>
      </c>
      <c r="L153" s="13">
        <v>14.61</v>
      </c>
      <c r="M153" s="13">
        <v>0.130280957336108</v>
      </c>
      <c r="N153" s="19">
        <v>626</v>
      </c>
      <c r="O153" s="13">
        <v>0.406035379812695</v>
      </c>
      <c r="P153" s="19">
        <v>1951</v>
      </c>
      <c r="Q153" s="13">
        <v>0.463683662851197</v>
      </c>
      <c r="R153" s="19">
        <v>2228</v>
      </c>
      <c r="S153" s="14">
        <v>4805</v>
      </c>
      <c r="T153" s="13">
        <v>189.8</v>
      </c>
      <c r="U153" s="13">
        <v>87.8</v>
      </c>
      <c r="V153" s="13">
        <v>281.9</v>
      </c>
      <c r="W153" s="13">
        <v>28.2</v>
      </c>
      <c r="X153" s="13">
        <v>1.02921871415975</v>
      </c>
    </row>
    <row r="154" ht="17" spans="1:24">
      <c r="A154" s="13">
        <v>2013</v>
      </c>
      <c r="B154" s="13">
        <v>360000</v>
      </c>
      <c r="C154" s="13" t="s">
        <v>66</v>
      </c>
      <c r="D154" s="13">
        <v>0</v>
      </c>
      <c r="E154" s="13">
        <v>0</v>
      </c>
      <c r="F154" s="13">
        <v>1</v>
      </c>
      <c r="G154" s="13">
        <v>0</v>
      </c>
      <c r="H154" s="13">
        <v>50.7389999999996</v>
      </c>
      <c r="I154" s="13">
        <v>49.2610000000004</v>
      </c>
      <c r="J154" s="13">
        <v>19.804</v>
      </c>
      <c r="K154" s="13">
        <v>76.419</v>
      </c>
      <c r="L154" s="13">
        <v>3.777</v>
      </c>
      <c r="M154" s="13">
        <v>0.306011854360711</v>
      </c>
      <c r="N154" s="19">
        <v>722.8</v>
      </c>
      <c r="O154" s="13">
        <v>0.313971210838273</v>
      </c>
      <c r="P154" s="19">
        <v>741.6</v>
      </c>
      <c r="Q154" s="13">
        <v>0.380016934801016</v>
      </c>
      <c r="R154" s="19">
        <v>897.6</v>
      </c>
      <c r="S154" s="14">
        <v>2362</v>
      </c>
      <c r="T154" s="13">
        <v>50</v>
      </c>
      <c r="U154" s="13">
        <v>24.2</v>
      </c>
      <c r="V154" s="13">
        <v>121.2</v>
      </c>
      <c r="W154" s="13">
        <v>5.4</v>
      </c>
      <c r="X154" s="13">
        <v>0.684467549843716</v>
      </c>
    </row>
    <row r="155" ht="17" spans="1:24">
      <c r="A155" s="13">
        <v>2014</v>
      </c>
      <c r="B155" s="13">
        <v>360000</v>
      </c>
      <c r="C155" s="13" t="s">
        <v>66</v>
      </c>
      <c r="D155" s="13">
        <v>0</v>
      </c>
      <c r="E155" s="13">
        <v>0</v>
      </c>
      <c r="F155" s="13">
        <v>1</v>
      </c>
      <c r="G155" s="13">
        <v>0</v>
      </c>
      <c r="H155" s="13">
        <v>54.8</v>
      </c>
      <c r="I155" s="13">
        <v>45.2</v>
      </c>
      <c r="J155" s="13">
        <v>20.9</v>
      </c>
      <c r="K155" s="13">
        <v>75</v>
      </c>
      <c r="L155" s="13">
        <v>4.1</v>
      </c>
      <c r="M155" s="13">
        <v>0.289991482112436</v>
      </c>
      <c r="N155" s="19">
        <v>680.9</v>
      </c>
      <c r="O155" s="13">
        <v>0.318994889267462</v>
      </c>
      <c r="P155" s="19">
        <v>749</v>
      </c>
      <c r="Q155" s="13">
        <v>0.391013628620102</v>
      </c>
      <c r="R155" s="19">
        <v>918.1</v>
      </c>
      <c r="S155" s="14">
        <v>2348</v>
      </c>
      <c r="T155" s="13">
        <v>50.4</v>
      </c>
      <c r="U155" s="13">
        <v>25.5</v>
      </c>
      <c r="V155" s="13">
        <v>128.5</v>
      </c>
      <c r="W155" s="13">
        <v>5.7</v>
      </c>
      <c r="X155" s="13">
        <v>0.691234036777994</v>
      </c>
    </row>
    <row r="156" ht="17" spans="1:24">
      <c r="A156" s="13">
        <v>2015</v>
      </c>
      <c r="B156" s="13">
        <v>360000</v>
      </c>
      <c r="C156" s="13" t="s">
        <v>66</v>
      </c>
      <c r="D156" s="13">
        <v>0</v>
      </c>
      <c r="E156" s="13">
        <v>0</v>
      </c>
      <c r="F156" s="13">
        <v>1</v>
      </c>
      <c r="G156" s="13">
        <v>0</v>
      </c>
      <c r="H156" s="13">
        <v>58.861</v>
      </c>
      <c r="I156" s="13">
        <v>41.139</v>
      </c>
      <c r="J156" s="13">
        <v>23.287</v>
      </c>
      <c r="K156" s="13">
        <v>66.048</v>
      </c>
      <c r="L156" s="13">
        <v>5.327</v>
      </c>
      <c r="M156" s="13">
        <v>0.276005132591959</v>
      </c>
      <c r="N156" s="19">
        <v>645.3</v>
      </c>
      <c r="O156" s="13">
        <v>0.323994867408041</v>
      </c>
      <c r="P156" s="19">
        <v>757.5</v>
      </c>
      <c r="Q156" s="13">
        <v>0.4</v>
      </c>
      <c r="R156" s="19">
        <v>935.2</v>
      </c>
      <c r="S156" s="14">
        <v>2338</v>
      </c>
      <c r="T156" s="13">
        <v>51.4</v>
      </c>
      <c r="U156" s="13">
        <v>27.3</v>
      </c>
      <c r="V156" s="13">
        <v>139.1</v>
      </c>
      <c r="W156" s="13">
        <v>6.4</v>
      </c>
      <c r="X156" s="13">
        <v>0.692472518205499</v>
      </c>
    </row>
    <row r="157" ht="17" spans="1:24">
      <c r="A157" s="13">
        <v>2016</v>
      </c>
      <c r="B157" s="13">
        <v>360000</v>
      </c>
      <c r="C157" s="13" t="s">
        <v>66</v>
      </c>
      <c r="D157" s="13">
        <v>0</v>
      </c>
      <c r="E157" s="13">
        <v>0</v>
      </c>
      <c r="F157" s="13">
        <v>1</v>
      </c>
      <c r="G157" s="13">
        <v>0</v>
      </c>
      <c r="H157" s="13">
        <v>56.865</v>
      </c>
      <c r="I157" s="13">
        <v>43.135</v>
      </c>
      <c r="J157" s="13">
        <v>22.81</v>
      </c>
      <c r="K157" s="13">
        <v>67.078</v>
      </c>
      <c r="L157" s="13">
        <v>4.835</v>
      </c>
      <c r="M157" s="13">
        <v>0.261020583190395</v>
      </c>
      <c r="N157" s="19">
        <v>608.7</v>
      </c>
      <c r="O157" s="13">
        <v>0.32598627787307</v>
      </c>
      <c r="P157" s="19">
        <v>760.2</v>
      </c>
      <c r="Q157" s="13">
        <v>0.412993138936535</v>
      </c>
      <c r="R157" s="19">
        <v>963.1</v>
      </c>
      <c r="S157" s="14">
        <v>2332</v>
      </c>
      <c r="T157" s="13">
        <v>50.5</v>
      </c>
      <c r="U157" s="13">
        <v>26.8</v>
      </c>
      <c r="V157" s="13">
        <v>135.9</v>
      </c>
      <c r="W157" s="13">
        <v>6.7</v>
      </c>
      <c r="X157" s="13">
        <v>0.669115094502037</v>
      </c>
    </row>
    <row r="158" ht="17" spans="1:24">
      <c r="A158" s="13">
        <v>2017</v>
      </c>
      <c r="B158" s="13">
        <v>360000</v>
      </c>
      <c r="C158" s="13" t="s">
        <v>66</v>
      </c>
      <c r="D158" s="13">
        <v>0</v>
      </c>
      <c r="E158" s="13">
        <v>0</v>
      </c>
      <c r="F158" s="13">
        <v>1</v>
      </c>
      <c r="G158" s="13">
        <v>0</v>
      </c>
      <c r="H158" s="13">
        <v>56.362</v>
      </c>
      <c r="I158" s="13">
        <v>43.638</v>
      </c>
      <c r="J158" s="13">
        <v>21.813</v>
      </c>
      <c r="K158" s="13">
        <v>68.073</v>
      </c>
      <c r="L158" s="13">
        <v>4.983</v>
      </c>
      <c r="M158" s="13">
        <v>0.247000431592577</v>
      </c>
      <c r="N158" s="19">
        <v>572.3</v>
      </c>
      <c r="O158" s="13">
        <v>0.329003021148036</v>
      </c>
      <c r="P158" s="19">
        <v>762.3</v>
      </c>
      <c r="Q158" s="13">
        <v>0.423996547259387</v>
      </c>
      <c r="R158" s="19">
        <v>982.4</v>
      </c>
      <c r="S158" s="14">
        <v>2317</v>
      </c>
      <c r="T158" s="13">
        <v>52.8</v>
      </c>
      <c r="U158" s="13">
        <v>26.5</v>
      </c>
      <c r="V158" s="13">
        <v>140.4</v>
      </c>
      <c r="W158" s="13">
        <v>7.1</v>
      </c>
      <c r="X158" s="13">
        <v>0.466930012357708</v>
      </c>
    </row>
    <row r="159" ht="17" spans="1:24">
      <c r="A159" s="13">
        <v>2018</v>
      </c>
      <c r="B159" s="13">
        <v>360000</v>
      </c>
      <c r="C159" s="13" t="s">
        <v>66</v>
      </c>
      <c r="D159" s="13">
        <v>0</v>
      </c>
      <c r="E159" s="13">
        <v>0</v>
      </c>
      <c r="F159" s="13">
        <v>1</v>
      </c>
      <c r="G159" s="13">
        <v>0</v>
      </c>
      <c r="H159" s="13">
        <v>56.115</v>
      </c>
      <c r="I159" s="13">
        <v>43.885</v>
      </c>
      <c r="J159" s="13">
        <v>20.766</v>
      </c>
      <c r="K159" s="13">
        <v>68.113</v>
      </c>
      <c r="L159" s="13">
        <v>5.777</v>
      </c>
      <c r="M159" s="13">
        <v>0.230021786492375</v>
      </c>
      <c r="N159" s="19">
        <v>527.9</v>
      </c>
      <c r="O159" s="13">
        <v>0.332984749455338</v>
      </c>
      <c r="P159" s="19">
        <v>764.2</v>
      </c>
      <c r="Q159" s="13">
        <v>0.436993464052288</v>
      </c>
      <c r="R159" s="19">
        <v>1002.9</v>
      </c>
      <c r="S159" s="14">
        <v>2295</v>
      </c>
      <c r="T159" s="13">
        <v>50.8</v>
      </c>
      <c r="U159" s="13">
        <v>22.1</v>
      </c>
      <c r="V159" s="13">
        <v>145.4</v>
      </c>
      <c r="W159" s="13">
        <v>8</v>
      </c>
      <c r="X159" s="13">
        <v>0.478064762586754</v>
      </c>
    </row>
    <row r="160" ht="17" spans="1:24">
      <c r="A160" s="13">
        <v>2019</v>
      </c>
      <c r="B160" s="13">
        <v>360000</v>
      </c>
      <c r="C160" s="13" t="s">
        <v>66</v>
      </c>
      <c r="D160" s="13">
        <v>0</v>
      </c>
      <c r="E160" s="13">
        <v>0</v>
      </c>
      <c r="F160" s="13">
        <v>1</v>
      </c>
      <c r="G160" s="13">
        <v>0</v>
      </c>
      <c r="H160" s="13">
        <v>56.8</v>
      </c>
      <c r="I160" s="13">
        <v>43.2</v>
      </c>
      <c r="J160" s="13">
        <v>20.5</v>
      </c>
      <c r="K160" s="13">
        <v>72.8</v>
      </c>
      <c r="L160" s="13">
        <v>6.7</v>
      </c>
      <c r="M160" s="13">
        <v>0.215013169446883</v>
      </c>
      <c r="N160" s="19">
        <v>489.8</v>
      </c>
      <c r="O160" s="13">
        <v>0.335996488147498</v>
      </c>
      <c r="P160" s="19">
        <v>765.4</v>
      </c>
      <c r="Q160" s="13">
        <v>0.448990342405619</v>
      </c>
      <c r="R160" s="19">
        <v>1022.8</v>
      </c>
      <c r="S160" s="14">
        <v>2278</v>
      </c>
      <c r="T160" s="13">
        <v>57.7</v>
      </c>
      <c r="U160" s="13">
        <v>23.5</v>
      </c>
      <c r="V160" s="13">
        <v>155.8</v>
      </c>
      <c r="W160" s="13">
        <v>9.4</v>
      </c>
      <c r="X160" s="13">
        <v>0.48844114791949</v>
      </c>
    </row>
    <row r="161" ht="17" spans="1:24">
      <c r="A161" s="13">
        <v>2020</v>
      </c>
      <c r="B161" s="13">
        <v>360000</v>
      </c>
      <c r="C161" s="13" t="s">
        <v>66</v>
      </c>
      <c r="D161" s="13">
        <v>0</v>
      </c>
      <c r="E161" s="13">
        <v>0</v>
      </c>
      <c r="F161" s="13">
        <v>1</v>
      </c>
      <c r="G161" s="13">
        <v>0</v>
      </c>
      <c r="H161" s="13">
        <v>56.3</v>
      </c>
      <c r="I161" s="13">
        <v>43.7</v>
      </c>
      <c r="J161" s="13">
        <v>22.7</v>
      </c>
      <c r="K161" s="13">
        <v>69.7</v>
      </c>
      <c r="L161" s="13">
        <v>7.5</v>
      </c>
      <c r="M161" s="13">
        <v>0.200971731448763</v>
      </c>
      <c r="N161" s="19">
        <v>455</v>
      </c>
      <c r="O161" s="13">
        <v>0.338780918727915</v>
      </c>
      <c r="P161" s="19">
        <v>767</v>
      </c>
      <c r="Q161" s="13">
        <v>0.460247349823322</v>
      </c>
      <c r="R161" s="19">
        <v>1042</v>
      </c>
      <c r="S161" s="14">
        <v>2264</v>
      </c>
      <c r="T161" s="13">
        <v>56.6</v>
      </c>
      <c r="U161" s="13">
        <v>24</v>
      </c>
      <c r="V161" s="13">
        <v>157.9</v>
      </c>
      <c r="W161" s="13">
        <v>9.9</v>
      </c>
      <c r="X161" s="13">
        <v>0.485022934295416</v>
      </c>
    </row>
    <row r="162" ht="17" spans="1:24">
      <c r="A162" s="13">
        <v>2021</v>
      </c>
      <c r="B162" s="13">
        <v>360000</v>
      </c>
      <c r="C162" s="13" t="s">
        <v>66</v>
      </c>
      <c r="D162" s="13">
        <v>0</v>
      </c>
      <c r="E162" s="13">
        <v>0</v>
      </c>
      <c r="F162" s="13">
        <v>1</v>
      </c>
      <c r="G162" s="13">
        <v>0</v>
      </c>
      <c r="H162" s="13">
        <v>56.955</v>
      </c>
      <c r="I162" s="13">
        <v>43.045</v>
      </c>
      <c r="J162" s="13">
        <v>20.616</v>
      </c>
      <c r="K162" s="13">
        <v>71.028</v>
      </c>
      <c r="L162" s="13">
        <v>8.357</v>
      </c>
      <c r="M162" s="13">
        <v>0.189116859946476</v>
      </c>
      <c r="N162" s="19">
        <v>424</v>
      </c>
      <c r="O162" s="13">
        <v>0.344781445138269</v>
      </c>
      <c r="P162" s="19">
        <v>773</v>
      </c>
      <c r="Q162" s="13">
        <v>0.466101694915254</v>
      </c>
      <c r="R162" s="19">
        <v>1045</v>
      </c>
      <c r="S162" s="14">
        <v>2242</v>
      </c>
      <c r="T162" s="13">
        <v>55.8</v>
      </c>
      <c r="U162" s="13">
        <v>26.1</v>
      </c>
      <c r="V162" s="13">
        <v>161.3</v>
      </c>
      <c r="W162" s="13">
        <v>9.5</v>
      </c>
      <c r="X162" s="13">
        <v>0.505552961299604</v>
      </c>
    </row>
    <row r="163" ht="17" spans="1:24">
      <c r="A163" s="13">
        <v>2022</v>
      </c>
      <c r="B163" s="13">
        <v>360000</v>
      </c>
      <c r="C163" s="13" t="s">
        <v>66</v>
      </c>
      <c r="D163" s="13">
        <v>0</v>
      </c>
      <c r="E163" s="13">
        <v>0</v>
      </c>
      <c r="F163" s="13">
        <v>1</v>
      </c>
      <c r="G163" s="13">
        <v>0</v>
      </c>
      <c r="H163" s="13">
        <v>56.835</v>
      </c>
      <c r="I163" s="13">
        <v>43.165</v>
      </c>
      <c r="J163" s="13">
        <v>23.494</v>
      </c>
      <c r="K163" s="13">
        <v>67.616</v>
      </c>
      <c r="L163" s="13">
        <v>8.891</v>
      </c>
      <c r="M163" s="13">
        <v>0.183766529867761</v>
      </c>
      <c r="N163" s="19">
        <v>403</v>
      </c>
      <c r="O163" s="13">
        <v>0.347013223894209</v>
      </c>
      <c r="P163" s="19">
        <v>761</v>
      </c>
      <c r="Q163" s="13">
        <v>0.46922024623803</v>
      </c>
      <c r="R163" s="19">
        <v>1029</v>
      </c>
      <c r="S163" s="14">
        <v>2193</v>
      </c>
      <c r="T163" s="13">
        <v>54.2</v>
      </c>
      <c r="U163" s="13">
        <v>26.4</v>
      </c>
      <c r="V163" s="13">
        <v>163.9</v>
      </c>
      <c r="W163" s="13">
        <v>9</v>
      </c>
      <c r="X163" s="13">
        <v>0.534565829137608</v>
      </c>
    </row>
    <row r="164" ht="17" spans="1:24">
      <c r="A164" s="13">
        <v>2013</v>
      </c>
      <c r="B164" s="13">
        <v>210000</v>
      </c>
      <c r="C164" s="13" t="s">
        <v>67</v>
      </c>
      <c r="D164" s="13">
        <v>0</v>
      </c>
      <c r="E164" s="13">
        <v>0</v>
      </c>
      <c r="F164" s="13">
        <v>0</v>
      </c>
      <c r="G164" s="13">
        <v>1</v>
      </c>
      <c r="H164" s="13">
        <v>53.6749999999993</v>
      </c>
      <c r="I164" s="13">
        <v>46.3250000000007</v>
      </c>
      <c r="J164" s="13">
        <v>13.833</v>
      </c>
      <c r="K164" s="13">
        <v>79.891</v>
      </c>
      <c r="L164" s="13">
        <v>6.276</v>
      </c>
      <c r="M164" s="13">
        <v>0.27147124693256</v>
      </c>
      <c r="N164" s="19">
        <v>683.8023</v>
      </c>
      <c r="O164" s="13">
        <v>0.287504631034578</v>
      </c>
      <c r="P164" s="19">
        <v>724.1884</v>
      </c>
      <c r="Q164" s="13">
        <v>0.441024122032863</v>
      </c>
      <c r="R164" s="19">
        <v>1110.8849</v>
      </c>
      <c r="S164" s="14">
        <v>2518.8756</v>
      </c>
      <c r="T164" s="13">
        <v>103.8</v>
      </c>
      <c r="U164" s="13">
        <v>44.1</v>
      </c>
      <c r="V164" s="13">
        <v>161.9</v>
      </c>
      <c r="W164" s="13">
        <v>14</v>
      </c>
      <c r="X164" s="13">
        <v>1.31929808757947</v>
      </c>
    </row>
    <row r="165" ht="17" spans="1:24">
      <c r="A165" s="13">
        <v>2014</v>
      </c>
      <c r="B165" s="13">
        <v>210000</v>
      </c>
      <c r="C165" s="13" t="s">
        <v>67</v>
      </c>
      <c r="D165" s="13">
        <v>0</v>
      </c>
      <c r="E165" s="13">
        <v>0</v>
      </c>
      <c r="F165" s="13">
        <v>0</v>
      </c>
      <c r="G165" s="13">
        <v>1</v>
      </c>
      <c r="H165" s="13">
        <v>55.9</v>
      </c>
      <c r="I165" s="13">
        <v>44.1</v>
      </c>
      <c r="J165" s="13">
        <v>12.9</v>
      </c>
      <c r="K165" s="13">
        <v>79.6</v>
      </c>
      <c r="L165" s="13">
        <v>7.5</v>
      </c>
      <c r="M165" s="13">
        <v>0.268462474753962</v>
      </c>
      <c r="N165" s="19">
        <v>687.8636</v>
      </c>
      <c r="O165" s="13">
        <v>0.277300622499813</v>
      </c>
      <c r="P165" s="19">
        <v>710.509</v>
      </c>
      <c r="Q165" s="13">
        <v>0.454236902746225</v>
      </c>
      <c r="R165" s="19">
        <v>1163.8611</v>
      </c>
      <c r="S165" s="14">
        <v>2562.2337</v>
      </c>
      <c r="T165" s="13">
        <v>104.7</v>
      </c>
      <c r="U165" s="13">
        <v>42.2</v>
      </c>
      <c r="V165" s="13">
        <v>164.3</v>
      </c>
      <c r="W165" s="13">
        <v>14.5</v>
      </c>
      <c r="X165" s="13">
        <v>1.32243766937877</v>
      </c>
    </row>
    <row r="166" ht="17" spans="1:24">
      <c r="A166" s="13">
        <v>2015</v>
      </c>
      <c r="B166" s="13">
        <v>210000</v>
      </c>
      <c r="C166" s="13" t="s">
        <v>67</v>
      </c>
      <c r="D166" s="13">
        <v>0</v>
      </c>
      <c r="E166" s="13">
        <v>0</v>
      </c>
      <c r="F166" s="13">
        <v>0</v>
      </c>
      <c r="G166" s="13">
        <v>1</v>
      </c>
      <c r="H166" s="13">
        <v>58.125</v>
      </c>
      <c r="I166" s="13">
        <v>41.875</v>
      </c>
      <c r="J166" s="13">
        <v>13.232</v>
      </c>
      <c r="K166" s="13">
        <v>70.165</v>
      </c>
      <c r="L166" s="13">
        <v>10.142</v>
      </c>
      <c r="M166" s="13">
        <v>0.286078658451039</v>
      </c>
      <c r="N166" s="19">
        <v>689.4195</v>
      </c>
      <c r="O166" s="13">
        <v>0.263572324253643</v>
      </c>
      <c r="P166" s="19">
        <v>635.1816</v>
      </c>
      <c r="Q166" s="13">
        <v>0.450349017295319</v>
      </c>
      <c r="R166" s="19">
        <v>1085.2938</v>
      </c>
      <c r="S166" s="14">
        <v>2409.8949</v>
      </c>
      <c r="T166" s="13">
        <v>103.1</v>
      </c>
      <c r="U166" s="13">
        <v>40.3</v>
      </c>
      <c r="V166" s="13">
        <v>161.7</v>
      </c>
      <c r="W166" s="13">
        <v>13.3</v>
      </c>
      <c r="X166" s="13">
        <v>1.32158853054365</v>
      </c>
    </row>
    <row r="167" ht="17" spans="1:24">
      <c r="A167" s="13">
        <v>2016</v>
      </c>
      <c r="B167" s="13">
        <v>210000</v>
      </c>
      <c r="C167" s="13" t="s">
        <v>67</v>
      </c>
      <c r="D167" s="13">
        <v>0</v>
      </c>
      <c r="E167" s="13">
        <v>0</v>
      </c>
      <c r="F167" s="13">
        <v>0</v>
      </c>
      <c r="G167" s="13">
        <v>1</v>
      </c>
      <c r="H167" s="13">
        <v>57.429</v>
      </c>
      <c r="I167" s="13">
        <v>42.571</v>
      </c>
      <c r="J167" s="13">
        <v>13.111</v>
      </c>
      <c r="K167" s="13">
        <v>69.705</v>
      </c>
      <c r="L167" s="13">
        <v>10.282</v>
      </c>
      <c r="M167" s="13">
        <v>0.306547909533114</v>
      </c>
      <c r="N167" s="19">
        <v>705.4145</v>
      </c>
      <c r="O167" s="13">
        <v>0.248844776177258</v>
      </c>
      <c r="P167" s="19">
        <v>572.6306</v>
      </c>
      <c r="Q167" s="13">
        <v>0.444607314289628</v>
      </c>
      <c r="R167" s="19">
        <v>1023.1107</v>
      </c>
      <c r="S167" s="14">
        <v>2301.1558</v>
      </c>
      <c r="T167" s="13">
        <v>100.5</v>
      </c>
      <c r="U167" s="13">
        <v>36.2</v>
      </c>
      <c r="V167" s="13">
        <v>153.2</v>
      </c>
      <c r="W167" s="13">
        <v>12</v>
      </c>
      <c r="X167" s="13">
        <v>1.32231365175332</v>
      </c>
    </row>
    <row r="168" ht="17" spans="1:24">
      <c r="A168" s="13">
        <v>2017</v>
      </c>
      <c r="B168" s="13">
        <v>210000</v>
      </c>
      <c r="C168" s="13" t="s">
        <v>67</v>
      </c>
      <c r="D168" s="13">
        <v>0</v>
      </c>
      <c r="E168" s="13">
        <v>0</v>
      </c>
      <c r="F168" s="13">
        <v>0</v>
      </c>
      <c r="G168" s="13">
        <v>1</v>
      </c>
      <c r="H168" s="13">
        <v>55.862</v>
      </c>
      <c r="I168" s="13">
        <v>44.138</v>
      </c>
      <c r="J168" s="13">
        <v>11.63</v>
      </c>
      <c r="K168" s="13">
        <v>71.234</v>
      </c>
      <c r="L168" s="13">
        <v>10.799</v>
      </c>
      <c r="M168" s="13">
        <v>0.312848507168674</v>
      </c>
      <c r="N168" s="19">
        <v>714.751</v>
      </c>
      <c r="O168" s="13">
        <v>0.245170113846058</v>
      </c>
      <c r="P168" s="19">
        <v>560.1292</v>
      </c>
      <c r="Q168" s="13">
        <v>0.441981378985268</v>
      </c>
      <c r="R168" s="19">
        <v>1009.7751</v>
      </c>
      <c r="S168" s="14">
        <v>2284.6553</v>
      </c>
      <c r="T168" s="13">
        <v>100.4</v>
      </c>
      <c r="U168" s="13">
        <v>33.2</v>
      </c>
      <c r="V168" s="13">
        <v>148.5</v>
      </c>
      <c r="W168" s="13">
        <v>10.4</v>
      </c>
      <c r="X168" s="13">
        <v>1.34493126431803</v>
      </c>
    </row>
    <row r="169" ht="17" spans="1:24">
      <c r="A169" s="13">
        <v>2018</v>
      </c>
      <c r="B169" s="13">
        <v>210000</v>
      </c>
      <c r="C169" s="13" t="s">
        <v>67</v>
      </c>
      <c r="D169" s="13">
        <v>0</v>
      </c>
      <c r="E169" s="13">
        <v>0</v>
      </c>
      <c r="F169" s="13">
        <v>0</v>
      </c>
      <c r="G169" s="13">
        <v>1</v>
      </c>
      <c r="H169" s="13">
        <v>55.469</v>
      </c>
      <c r="I169" s="13">
        <v>44.531</v>
      </c>
      <c r="J169" s="13">
        <v>11.945</v>
      </c>
      <c r="K169" s="13">
        <v>71.246</v>
      </c>
      <c r="L169" s="13">
        <v>10.55</v>
      </c>
      <c r="M169" s="13">
        <v>0.314872157834203</v>
      </c>
      <c r="N169" s="19">
        <v>711.8</v>
      </c>
      <c r="O169" s="13">
        <v>0.236220472440945</v>
      </c>
      <c r="P169" s="19">
        <v>534</v>
      </c>
      <c r="Q169" s="13">
        <v>0.448907369724852</v>
      </c>
      <c r="R169" s="19">
        <v>1014.8</v>
      </c>
      <c r="S169" s="14">
        <v>2260.6</v>
      </c>
      <c r="T169" s="13">
        <v>96.7</v>
      </c>
      <c r="U169" s="13">
        <v>33.2</v>
      </c>
      <c r="V169" s="13">
        <v>153.9</v>
      </c>
      <c r="W169" s="13">
        <v>10.5</v>
      </c>
      <c r="X169" s="13">
        <v>1.05218751570088</v>
      </c>
    </row>
    <row r="170" ht="17" spans="1:24">
      <c r="A170" s="13">
        <v>2019</v>
      </c>
      <c r="B170" s="13">
        <v>210000</v>
      </c>
      <c r="C170" s="13" t="s">
        <v>67</v>
      </c>
      <c r="D170" s="13">
        <v>0</v>
      </c>
      <c r="E170" s="13">
        <v>0</v>
      </c>
      <c r="F170" s="13">
        <v>0</v>
      </c>
      <c r="G170" s="13">
        <v>1</v>
      </c>
      <c r="H170" s="13">
        <v>56.4</v>
      </c>
      <c r="I170" s="13">
        <v>43.6</v>
      </c>
      <c r="J170" s="13">
        <v>11.9</v>
      </c>
      <c r="K170" s="13">
        <v>75.8</v>
      </c>
      <c r="L170" s="13">
        <v>12.4</v>
      </c>
      <c r="M170" s="13">
        <v>0.299942080889335</v>
      </c>
      <c r="N170" s="19">
        <v>671.400000000009</v>
      </c>
      <c r="O170" s="13">
        <v>0.230071748075671</v>
      </c>
      <c r="P170" s="19">
        <v>515</v>
      </c>
      <c r="Q170" s="13">
        <v>0.473277689148288</v>
      </c>
      <c r="R170" s="19">
        <v>1059.40000000001</v>
      </c>
      <c r="S170" s="14">
        <v>2238.43216</v>
      </c>
      <c r="T170" s="13">
        <v>103.3</v>
      </c>
      <c r="U170" s="13">
        <v>30.7</v>
      </c>
      <c r="V170" s="13">
        <v>159.8</v>
      </c>
      <c r="W170" s="13">
        <v>10.7</v>
      </c>
      <c r="X170" s="13">
        <v>1.05554112727696</v>
      </c>
    </row>
    <row r="171" ht="17" spans="1:24">
      <c r="A171" s="13">
        <v>2020</v>
      </c>
      <c r="B171" s="13">
        <v>210000</v>
      </c>
      <c r="C171" s="13" t="s">
        <v>67</v>
      </c>
      <c r="D171" s="13">
        <v>0</v>
      </c>
      <c r="E171" s="13">
        <v>0</v>
      </c>
      <c r="F171" s="13">
        <v>0</v>
      </c>
      <c r="G171" s="13">
        <v>1</v>
      </c>
      <c r="H171" s="13">
        <v>56.4</v>
      </c>
      <c r="I171" s="13">
        <v>43.6</v>
      </c>
      <c r="J171" s="13">
        <v>12.9</v>
      </c>
      <c r="K171" s="13">
        <v>74.5</v>
      </c>
      <c r="L171" s="13">
        <v>12.6</v>
      </c>
      <c r="M171" s="13">
        <v>0.282832810398924</v>
      </c>
      <c r="N171" s="19">
        <v>631</v>
      </c>
      <c r="O171" s="13">
        <v>0.222321828776333</v>
      </c>
      <c r="P171" s="19">
        <v>496</v>
      </c>
      <c r="Q171" s="13">
        <v>0.494845360824742</v>
      </c>
      <c r="R171" s="19">
        <v>1104</v>
      </c>
      <c r="S171" s="14">
        <v>2231</v>
      </c>
      <c r="T171" s="13">
        <v>101.7</v>
      </c>
      <c r="U171" s="13">
        <v>28.6</v>
      </c>
      <c r="V171" s="13">
        <v>162.2</v>
      </c>
      <c r="W171" s="13">
        <v>12</v>
      </c>
      <c r="X171" s="13">
        <v>1.07011951566979</v>
      </c>
    </row>
    <row r="172" ht="17" spans="1:24">
      <c r="A172" s="13">
        <v>2021</v>
      </c>
      <c r="B172" s="13">
        <v>210000</v>
      </c>
      <c r="C172" s="13" t="s">
        <v>67</v>
      </c>
      <c r="D172" s="13">
        <v>0</v>
      </c>
      <c r="E172" s="13">
        <v>0</v>
      </c>
      <c r="F172" s="13">
        <v>0</v>
      </c>
      <c r="G172" s="13">
        <v>1</v>
      </c>
      <c r="H172" s="13">
        <v>55.616</v>
      </c>
      <c r="I172" s="13">
        <v>44.384</v>
      </c>
      <c r="J172" s="13">
        <v>12.808</v>
      </c>
      <c r="K172" s="13">
        <v>72.86</v>
      </c>
      <c r="L172" s="13">
        <v>14.332</v>
      </c>
      <c r="M172" s="13">
        <v>0.273972602739726</v>
      </c>
      <c r="N172" s="19">
        <v>600</v>
      </c>
      <c r="O172" s="13">
        <v>0.225114155251142</v>
      </c>
      <c r="P172" s="19">
        <v>493</v>
      </c>
      <c r="Q172" s="13">
        <v>0.500913242009132</v>
      </c>
      <c r="R172" s="19">
        <v>1097</v>
      </c>
      <c r="S172" s="14">
        <v>2190</v>
      </c>
      <c r="T172" s="13">
        <v>95.6</v>
      </c>
      <c r="U172" s="13">
        <v>27.1</v>
      </c>
      <c r="V172" s="13">
        <v>161.2</v>
      </c>
      <c r="W172" s="13">
        <v>11.4</v>
      </c>
      <c r="X172" s="13">
        <v>1.07948726847027</v>
      </c>
    </row>
    <row r="173" ht="17" spans="1:24">
      <c r="A173" s="13">
        <v>2022</v>
      </c>
      <c r="B173" s="13">
        <v>210000</v>
      </c>
      <c r="C173" s="13" t="s">
        <v>67</v>
      </c>
      <c r="D173" s="13">
        <v>0</v>
      </c>
      <c r="E173" s="13">
        <v>0</v>
      </c>
      <c r="F173" s="13">
        <v>0</v>
      </c>
      <c r="G173" s="13">
        <v>1</v>
      </c>
      <c r="H173" s="13">
        <v>55.517</v>
      </c>
      <c r="I173" s="13">
        <v>44.483</v>
      </c>
      <c r="J173" s="13">
        <v>14.099</v>
      </c>
      <c r="K173" s="13">
        <v>70.413</v>
      </c>
      <c r="L173" s="13">
        <v>15.489</v>
      </c>
      <c r="M173" s="13">
        <v>0.298774740810556</v>
      </c>
      <c r="N173" s="19">
        <v>634</v>
      </c>
      <c r="O173" s="13">
        <v>0.2186616399623</v>
      </c>
      <c r="P173" s="19">
        <v>464</v>
      </c>
      <c r="Q173" s="13">
        <v>0.482563619227144</v>
      </c>
      <c r="R173" s="19">
        <v>1024</v>
      </c>
      <c r="S173" s="14">
        <v>2122</v>
      </c>
      <c r="T173" s="13">
        <v>89.5</v>
      </c>
      <c r="U173" s="13">
        <v>25.5</v>
      </c>
      <c r="V173" s="13">
        <v>161.5</v>
      </c>
      <c r="W173" s="13">
        <v>11</v>
      </c>
      <c r="X173" s="13">
        <v>1.09174207118579</v>
      </c>
    </row>
    <row r="174" ht="34" spans="1:24">
      <c r="A174" s="13">
        <v>2013</v>
      </c>
      <c r="B174" s="13">
        <v>150000</v>
      </c>
      <c r="C174" s="13" t="s">
        <v>68</v>
      </c>
      <c r="D174" s="13">
        <v>1</v>
      </c>
      <c r="E174" s="13">
        <v>0</v>
      </c>
      <c r="F174" s="13">
        <v>0</v>
      </c>
      <c r="G174" s="13">
        <v>0</v>
      </c>
      <c r="H174" s="13">
        <v>55.4440000000004</v>
      </c>
      <c r="I174" s="13">
        <v>44.5559999999996</v>
      </c>
      <c r="J174" s="13">
        <v>20.539</v>
      </c>
      <c r="K174" s="13">
        <v>73.04</v>
      </c>
      <c r="L174" s="13">
        <v>6.42</v>
      </c>
      <c r="M174" s="13">
        <v>0.461751824817518</v>
      </c>
      <c r="N174" s="19">
        <v>632.6</v>
      </c>
      <c r="O174" s="13">
        <v>0.284452554744526</v>
      </c>
      <c r="P174" s="19">
        <v>389.7</v>
      </c>
      <c r="Q174" s="13">
        <v>0.253795620437956</v>
      </c>
      <c r="R174" s="19">
        <v>347.7</v>
      </c>
      <c r="S174" s="14">
        <v>1370</v>
      </c>
      <c r="T174" s="13">
        <v>49.2</v>
      </c>
      <c r="U174" s="13">
        <v>20.5</v>
      </c>
      <c r="V174" s="13">
        <v>97.5</v>
      </c>
      <c r="W174" s="13">
        <v>4.8</v>
      </c>
      <c r="X174" s="13">
        <v>0.859843656305235</v>
      </c>
    </row>
    <row r="175" ht="34" spans="1:24">
      <c r="A175" s="13">
        <v>2014</v>
      </c>
      <c r="B175" s="13">
        <v>150000</v>
      </c>
      <c r="C175" s="13" t="s">
        <v>68</v>
      </c>
      <c r="D175" s="13">
        <v>1</v>
      </c>
      <c r="E175" s="13">
        <v>0</v>
      </c>
      <c r="F175" s="13">
        <v>0</v>
      </c>
      <c r="G175" s="13">
        <v>0</v>
      </c>
      <c r="H175" s="13">
        <v>58.6</v>
      </c>
      <c r="I175" s="13">
        <v>41.4</v>
      </c>
      <c r="J175" s="13">
        <v>21.4</v>
      </c>
      <c r="K175" s="13">
        <v>71.7</v>
      </c>
      <c r="L175" s="13">
        <v>6.9</v>
      </c>
      <c r="M175" s="13">
        <v>0.448088235294118</v>
      </c>
      <c r="N175" s="19">
        <v>609.4</v>
      </c>
      <c r="O175" s="13">
        <v>0.269705882352941</v>
      </c>
      <c r="P175" s="19">
        <v>366.8</v>
      </c>
      <c r="Q175" s="13">
        <v>0.282205882352941</v>
      </c>
      <c r="R175" s="19">
        <v>383.8</v>
      </c>
      <c r="S175" s="14">
        <v>1360</v>
      </c>
      <c r="T175" s="13">
        <v>48.3</v>
      </c>
      <c r="U175" s="13">
        <v>19.2</v>
      </c>
      <c r="V175" s="13">
        <v>101.5</v>
      </c>
      <c r="W175" s="13">
        <v>5</v>
      </c>
      <c r="X175" s="13">
        <v>0.879475432570466</v>
      </c>
    </row>
    <row r="176" ht="34" spans="1:24">
      <c r="A176" s="13">
        <v>2015</v>
      </c>
      <c r="B176" s="13">
        <v>150000</v>
      </c>
      <c r="C176" s="13" t="s">
        <v>68</v>
      </c>
      <c r="D176" s="13">
        <v>1</v>
      </c>
      <c r="E176" s="13">
        <v>0</v>
      </c>
      <c r="F176" s="13">
        <v>0</v>
      </c>
      <c r="G176" s="13">
        <v>0</v>
      </c>
      <c r="H176" s="13">
        <v>61.756</v>
      </c>
      <c r="I176" s="13">
        <v>38.244</v>
      </c>
      <c r="J176" s="13">
        <v>20.066</v>
      </c>
      <c r="K176" s="13">
        <v>67.806</v>
      </c>
      <c r="L176" s="13">
        <v>7.899</v>
      </c>
      <c r="M176" s="13">
        <v>0.432494448556625</v>
      </c>
      <c r="N176" s="19">
        <v>584.3</v>
      </c>
      <c r="O176" s="13">
        <v>0.255514433752776</v>
      </c>
      <c r="P176" s="19">
        <v>345.2</v>
      </c>
      <c r="Q176" s="13">
        <v>0.3119911176906</v>
      </c>
      <c r="R176" s="19">
        <v>421.5</v>
      </c>
      <c r="S176" s="14">
        <v>1351</v>
      </c>
      <c r="T176" s="13">
        <v>48.1</v>
      </c>
      <c r="U176" s="13">
        <v>18.1</v>
      </c>
      <c r="V176" s="13">
        <v>102.7</v>
      </c>
      <c r="W176" s="13">
        <v>5.4</v>
      </c>
      <c r="X176" s="13">
        <v>0.914554677770374</v>
      </c>
    </row>
    <row r="177" ht="34" spans="1:24">
      <c r="A177" s="13">
        <v>2016</v>
      </c>
      <c r="B177" s="13">
        <v>150000</v>
      </c>
      <c r="C177" s="13" t="s">
        <v>68</v>
      </c>
      <c r="D177" s="13">
        <v>1</v>
      </c>
      <c r="E177" s="13">
        <v>0</v>
      </c>
      <c r="F177" s="13">
        <v>0</v>
      </c>
      <c r="G177" s="13">
        <v>0</v>
      </c>
      <c r="H177" s="13">
        <v>59.623</v>
      </c>
      <c r="I177" s="13">
        <v>40.377</v>
      </c>
      <c r="J177" s="13">
        <v>18.072</v>
      </c>
      <c r="K177" s="13">
        <v>69.056</v>
      </c>
      <c r="L177" s="13">
        <v>8.535</v>
      </c>
      <c r="M177" s="13">
        <v>0.419230769230769</v>
      </c>
      <c r="N177" s="19">
        <v>555.9</v>
      </c>
      <c r="O177" s="13">
        <v>0.237933634992459</v>
      </c>
      <c r="P177" s="19">
        <v>315.5</v>
      </c>
      <c r="Q177" s="13">
        <v>0.342835595776772</v>
      </c>
      <c r="R177" s="19">
        <v>454.6</v>
      </c>
      <c r="S177" s="14">
        <v>1326</v>
      </c>
      <c r="T177" s="13">
        <v>49.5</v>
      </c>
      <c r="U177" s="13">
        <v>16.9</v>
      </c>
      <c r="V177" s="13">
        <v>104.5</v>
      </c>
      <c r="W177" s="13">
        <v>5.5</v>
      </c>
      <c r="X177" s="13">
        <v>0.950139815855836</v>
      </c>
    </row>
    <row r="178" ht="34" spans="1:24">
      <c r="A178" s="13">
        <v>2017</v>
      </c>
      <c r="B178" s="13">
        <v>150000</v>
      </c>
      <c r="C178" s="13" t="s">
        <v>68</v>
      </c>
      <c r="D178" s="13">
        <v>1</v>
      </c>
      <c r="E178" s="13">
        <v>0</v>
      </c>
      <c r="F178" s="13">
        <v>0</v>
      </c>
      <c r="G178" s="13">
        <v>0</v>
      </c>
      <c r="H178" s="13">
        <v>59.408</v>
      </c>
      <c r="I178" s="13">
        <v>40.592</v>
      </c>
      <c r="J178" s="13">
        <v>18.006</v>
      </c>
      <c r="K178" s="13">
        <v>68.107</v>
      </c>
      <c r="L178" s="13">
        <v>9.481</v>
      </c>
      <c r="M178" s="13">
        <v>0.405087319665907</v>
      </c>
      <c r="N178" s="19">
        <v>533.5</v>
      </c>
      <c r="O178" s="13">
        <v>0.221867881548975</v>
      </c>
      <c r="P178" s="19">
        <v>292.2</v>
      </c>
      <c r="Q178" s="13">
        <v>0.373044798785118</v>
      </c>
      <c r="R178" s="19">
        <v>491.3</v>
      </c>
      <c r="S178" s="14">
        <v>1317</v>
      </c>
      <c r="T178" s="13">
        <v>48.9</v>
      </c>
      <c r="U178" s="13">
        <v>16.9</v>
      </c>
      <c r="V178" s="13">
        <v>106.6</v>
      </c>
      <c r="W178" s="13">
        <v>5.6</v>
      </c>
      <c r="X178" s="13">
        <v>0.711952055516827</v>
      </c>
    </row>
    <row r="179" ht="34" spans="1:24">
      <c r="A179" s="13">
        <v>2018</v>
      </c>
      <c r="B179" s="13">
        <v>150000</v>
      </c>
      <c r="C179" s="13" t="s">
        <v>68</v>
      </c>
      <c r="D179" s="13">
        <v>1</v>
      </c>
      <c r="E179" s="13">
        <v>0</v>
      </c>
      <c r="F179" s="13">
        <v>0</v>
      </c>
      <c r="G179" s="13">
        <v>0</v>
      </c>
      <c r="H179" s="13">
        <v>58.379</v>
      </c>
      <c r="I179" s="13">
        <v>41.621</v>
      </c>
      <c r="J179" s="13">
        <v>17.744</v>
      </c>
      <c r="K179" s="13">
        <v>67.802</v>
      </c>
      <c r="L179" s="13">
        <v>9.528</v>
      </c>
      <c r="M179" s="13">
        <v>0.389033742331288</v>
      </c>
      <c r="N179" s="19">
        <v>507.3</v>
      </c>
      <c r="O179" s="13">
        <v>0.206671779141104</v>
      </c>
      <c r="P179" s="19">
        <v>269.5</v>
      </c>
      <c r="Q179" s="13">
        <v>0.404294478527607</v>
      </c>
      <c r="R179" s="19">
        <v>527.2</v>
      </c>
      <c r="S179" s="14">
        <v>1304</v>
      </c>
      <c r="T179" s="13">
        <v>50.1</v>
      </c>
      <c r="U179" s="13">
        <v>15.4</v>
      </c>
      <c r="V179" s="13">
        <v>110</v>
      </c>
      <c r="W179" s="13">
        <v>5</v>
      </c>
      <c r="X179" s="13">
        <v>0.72795489812937</v>
      </c>
    </row>
    <row r="180" ht="34" spans="1:24">
      <c r="A180" s="13">
        <v>2019</v>
      </c>
      <c r="B180" s="13">
        <v>150000</v>
      </c>
      <c r="C180" s="13" t="s">
        <v>68</v>
      </c>
      <c r="D180" s="13">
        <v>1</v>
      </c>
      <c r="E180" s="13">
        <v>0</v>
      </c>
      <c r="F180" s="13">
        <v>0</v>
      </c>
      <c r="G180" s="13">
        <v>0</v>
      </c>
      <c r="H180" s="13">
        <v>57.6</v>
      </c>
      <c r="I180" s="13">
        <v>42.4</v>
      </c>
      <c r="J180" s="13">
        <v>17</v>
      </c>
      <c r="K180" s="13">
        <v>71.3</v>
      </c>
      <c r="L180" s="13">
        <v>11.7</v>
      </c>
      <c r="M180" s="13">
        <v>0.373584905660377</v>
      </c>
      <c r="N180" s="19">
        <v>475.2</v>
      </c>
      <c r="O180" s="13">
        <v>0.188050314465409</v>
      </c>
      <c r="P180" s="19">
        <v>239.2</v>
      </c>
      <c r="Q180" s="13">
        <v>0.438364779874214</v>
      </c>
      <c r="R180" s="19">
        <v>557.6</v>
      </c>
      <c r="S180" s="14">
        <v>1272</v>
      </c>
      <c r="T180" s="13">
        <v>59.4</v>
      </c>
      <c r="U180" s="13">
        <v>15.2</v>
      </c>
      <c r="V180" s="13">
        <v>119.4</v>
      </c>
      <c r="W180" s="13">
        <v>5.7</v>
      </c>
      <c r="X180" s="13">
        <v>0.742052181263138</v>
      </c>
    </row>
    <row r="181" ht="34" spans="1:24">
      <c r="A181" s="13">
        <v>2020</v>
      </c>
      <c r="B181" s="13">
        <v>150000</v>
      </c>
      <c r="C181" s="13" t="s">
        <v>68</v>
      </c>
      <c r="D181" s="13">
        <v>1</v>
      </c>
      <c r="E181" s="13">
        <v>0</v>
      </c>
      <c r="F181" s="13">
        <v>0</v>
      </c>
      <c r="G181" s="13">
        <v>0</v>
      </c>
      <c r="H181" s="13">
        <v>58.6</v>
      </c>
      <c r="I181" s="13">
        <v>41.4</v>
      </c>
      <c r="J181" s="13">
        <v>18.1</v>
      </c>
      <c r="K181" s="13">
        <v>70.3</v>
      </c>
      <c r="L181" s="13">
        <v>11.7</v>
      </c>
      <c r="M181" s="13">
        <v>0.356682769726248</v>
      </c>
      <c r="N181" s="19">
        <v>443</v>
      </c>
      <c r="O181" s="13">
        <v>0.169887278582931</v>
      </c>
      <c r="P181" s="19">
        <v>211</v>
      </c>
      <c r="Q181" s="13">
        <v>0.473429951690821</v>
      </c>
      <c r="R181" s="19">
        <v>588</v>
      </c>
      <c r="S181" s="14">
        <v>1242</v>
      </c>
      <c r="T181" s="13">
        <v>57.2</v>
      </c>
      <c r="U181" s="13">
        <v>14</v>
      </c>
      <c r="V181" s="13">
        <v>117.9</v>
      </c>
      <c r="W181" s="13">
        <v>5.3</v>
      </c>
      <c r="X181" s="13">
        <v>0.753598741987738</v>
      </c>
    </row>
    <row r="182" ht="34" spans="1:24">
      <c r="A182" s="13">
        <v>2021</v>
      </c>
      <c r="B182" s="13">
        <v>150000</v>
      </c>
      <c r="C182" s="13" t="s">
        <v>68</v>
      </c>
      <c r="D182" s="13">
        <v>1</v>
      </c>
      <c r="E182" s="13">
        <v>0</v>
      </c>
      <c r="F182" s="13">
        <v>0</v>
      </c>
      <c r="G182" s="13">
        <v>0</v>
      </c>
      <c r="H182" s="13">
        <v>58.293</v>
      </c>
      <c r="I182" s="13">
        <v>41.707</v>
      </c>
      <c r="J182" s="13">
        <v>18.479</v>
      </c>
      <c r="K182" s="13">
        <v>67.956</v>
      </c>
      <c r="L182" s="13">
        <v>13.567</v>
      </c>
      <c r="M182" s="13">
        <v>0.346469622331691</v>
      </c>
      <c r="N182" s="19">
        <v>422</v>
      </c>
      <c r="O182" s="13">
        <v>0.172413793103448</v>
      </c>
      <c r="P182" s="19">
        <v>210</v>
      </c>
      <c r="Q182" s="13">
        <v>0.48111658456486</v>
      </c>
      <c r="R182" s="19">
        <v>586</v>
      </c>
      <c r="S182" s="14">
        <v>1218</v>
      </c>
      <c r="T182" s="13">
        <v>53.6</v>
      </c>
      <c r="U182" s="13">
        <v>14</v>
      </c>
      <c r="V182" s="13">
        <v>118.5</v>
      </c>
      <c r="W182" s="13">
        <v>5.3</v>
      </c>
      <c r="X182" s="13">
        <v>0.767308098042827</v>
      </c>
    </row>
    <row r="183" ht="34" spans="1:24">
      <c r="A183" s="13">
        <v>2022</v>
      </c>
      <c r="B183" s="13">
        <v>150000</v>
      </c>
      <c r="C183" s="13" t="s">
        <v>68</v>
      </c>
      <c r="D183" s="13">
        <v>1</v>
      </c>
      <c r="E183" s="13">
        <v>0</v>
      </c>
      <c r="F183" s="13">
        <v>0</v>
      </c>
      <c r="G183" s="13">
        <v>0</v>
      </c>
      <c r="H183" s="13">
        <v>58.787</v>
      </c>
      <c r="I183" s="13">
        <v>41.213</v>
      </c>
      <c r="J183" s="13">
        <v>20.016</v>
      </c>
      <c r="K183" s="13">
        <v>65.106</v>
      </c>
      <c r="L183" s="13">
        <v>14.877</v>
      </c>
      <c r="M183" s="13">
        <v>0.36890756302521</v>
      </c>
      <c r="N183" s="19">
        <v>439</v>
      </c>
      <c r="O183" s="13">
        <v>0.173109243697479</v>
      </c>
      <c r="P183" s="19">
        <v>206</v>
      </c>
      <c r="Q183" s="13">
        <v>0.457983193277311</v>
      </c>
      <c r="R183" s="19">
        <v>545</v>
      </c>
      <c r="S183" s="14">
        <v>1190</v>
      </c>
      <c r="T183" s="13">
        <v>50.9</v>
      </c>
      <c r="U183" s="13">
        <v>13.6</v>
      </c>
      <c r="V183" s="13">
        <v>117.3</v>
      </c>
      <c r="W183" s="13">
        <v>5.4</v>
      </c>
      <c r="X183" s="13">
        <v>0.788982850514564</v>
      </c>
    </row>
    <row r="184" ht="51" spans="1:24">
      <c r="A184" s="13">
        <v>2013</v>
      </c>
      <c r="B184" s="13">
        <v>640000</v>
      </c>
      <c r="C184" s="13" t="s">
        <v>69</v>
      </c>
      <c r="D184" s="13">
        <v>1</v>
      </c>
      <c r="E184" s="13">
        <v>0</v>
      </c>
      <c r="F184" s="13">
        <v>0</v>
      </c>
      <c r="G184" s="13">
        <v>0</v>
      </c>
      <c r="H184" s="13">
        <v>52.9970000000003</v>
      </c>
      <c r="I184" s="13">
        <v>47.0029999999997</v>
      </c>
      <c r="J184" s="13">
        <v>30.752</v>
      </c>
      <c r="K184" s="13">
        <v>64.078</v>
      </c>
      <c r="L184" s="13">
        <v>5.169</v>
      </c>
      <c r="M184" s="13">
        <v>0.42695652173913</v>
      </c>
      <c r="N184" s="19">
        <v>147.3</v>
      </c>
      <c r="O184" s="13">
        <v>0.208115942028986</v>
      </c>
      <c r="P184" s="19">
        <v>71.8</v>
      </c>
      <c r="Q184" s="13">
        <v>0.364927536231884</v>
      </c>
      <c r="R184" s="19">
        <v>125.9</v>
      </c>
      <c r="S184" s="14">
        <v>345</v>
      </c>
      <c r="T184" s="13">
        <v>11.3</v>
      </c>
      <c r="U184" s="13">
        <v>4.2</v>
      </c>
      <c r="V184" s="13">
        <v>24.3</v>
      </c>
      <c r="W184" s="13">
        <v>1.4</v>
      </c>
      <c r="X184" s="13">
        <v>0.636755345549381</v>
      </c>
    </row>
    <row r="185" ht="51" spans="1:24">
      <c r="A185" s="13">
        <v>2014</v>
      </c>
      <c r="B185" s="13">
        <v>640000</v>
      </c>
      <c r="C185" s="13" t="s">
        <v>69</v>
      </c>
      <c r="D185" s="13">
        <v>1</v>
      </c>
      <c r="E185" s="13">
        <v>0</v>
      </c>
      <c r="F185" s="13">
        <v>0</v>
      </c>
      <c r="G185" s="13">
        <v>0</v>
      </c>
      <c r="H185" s="13">
        <v>55.9</v>
      </c>
      <c r="I185" s="13">
        <v>44.1</v>
      </c>
      <c r="J185" s="13">
        <v>31.4</v>
      </c>
      <c r="K185" s="13">
        <v>62</v>
      </c>
      <c r="L185" s="13">
        <v>6.7</v>
      </c>
      <c r="M185" s="13">
        <v>0.390988372093023</v>
      </c>
      <c r="N185" s="19">
        <v>134.5</v>
      </c>
      <c r="O185" s="13">
        <v>0.236046511627907</v>
      </c>
      <c r="P185" s="19">
        <v>81.2</v>
      </c>
      <c r="Q185" s="13">
        <v>0.37296511627907</v>
      </c>
      <c r="R185" s="19">
        <v>128.3</v>
      </c>
      <c r="S185" s="14">
        <v>344</v>
      </c>
      <c r="T185" s="13">
        <v>11.4</v>
      </c>
      <c r="U185" s="13">
        <v>4.4</v>
      </c>
      <c r="V185" s="13">
        <v>25.4</v>
      </c>
      <c r="W185" s="13">
        <v>1.5</v>
      </c>
      <c r="X185" s="13">
        <v>0.654493688146614</v>
      </c>
    </row>
    <row r="186" ht="51" spans="1:24">
      <c r="A186" s="13">
        <v>2015</v>
      </c>
      <c r="B186" s="13">
        <v>640000</v>
      </c>
      <c r="C186" s="13" t="s">
        <v>69</v>
      </c>
      <c r="D186" s="13">
        <v>1</v>
      </c>
      <c r="E186" s="13">
        <v>0</v>
      </c>
      <c r="F186" s="13">
        <v>0</v>
      </c>
      <c r="G186" s="13">
        <v>0</v>
      </c>
      <c r="H186" s="13">
        <v>58.803</v>
      </c>
      <c r="I186" s="13">
        <v>41.197</v>
      </c>
      <c r="J186" s="13">
        <v>25.816</v>
      </c>
      <c r="K186" s="13">
        <v>60.972</v>
      </c>
      <c r="L186" s="13">
        <v>8.684</v>
      </c>
      <c r="M186" s="13">
        <v>0.365889212827988</v>
      </c>
      <c r="N186" s="19">
        <v>125.5</v>
      </c>
      <c r="O186" s="13">
        <v>0.234985422740525</v>
      </c>
      <c r="P186" s="19">
        <v>80.6</v>
      </c>
      <c r="Q186" s="13">
        <v>0.399125364431487</v>
      </c>
      <c r="R186" s="19">
        <v>136.9</v>
      </c>
      <c r="S186" s="14">
        <v>343</v>
      </c>
      <c r="T186" s="13">
        <v>11.9</v>
      </c>
      <c r="U186" s="13">
        <v>4.4</v>
      </c>
      <c r="V186" s="13">
        <v>26.4</v>
      </c>
      <c r="W186" s="13">
        <v>1.7</v>
      </c>
      <c r="X186" s="13">
        <v>0.658721208603789</v>
      </c>
    </row>
    <row r="187" ht="51" spans="1:24">
      <c r="A187" s="13">
        <v>2016</v>
      </c>
      <c r="B187" s="13">
        <v>640000</v>
      </c>
      <c r="C187" s="13" t="s">
        <v>69</v>
      </c>
      <c r="D187" s="13">
        <v>1</v>
      </c>
      <c r="E187" s="13">
        <v>0</v>
      </c>
      <c r="F187" s="13">
        <v>0</v>
      </c>
      <c r="G187" s="13">
        <v>0</v>
      </c>
      <c r="H187" s="13">
        <v>57.707</v>
      </c>
      <c r="I187" s="13">
        <v>42.293</v>
      </c>
      <c r="J187" s="13">
        <v>23.385</v>
      </c>
      <c r="K187" s="13">
        <v>61.664</v>
      </c>
      <c r="L187" s="13">
        <v>10.262</v>
      </c>
      <c r="M187" s="13">
        <v>0.342857142857143</v>
      </c>
      <c r="N187" s="19">
        <v>117.6</v>
      </c>
      <c r="O187" s="13">
        <v>0.230903790087464</v>
      </c>
      <c r="P187" s="19">
        <v>79.2</v>
      </c>
      <c r="Q187" s="13">
        <v>0.425947521865889</v>
      </c>
      <c r="R187" s="19">
        <v>146.1</v>
      </c>
      <c r="S187" s="14">
        <v>343</v>
      </c>
      <c r="T187" s="13">
        <v>11.9</v>
      </c>
      <c r="U187" s="13">
        <v>4.1</v>
      </c>
      <c r="V187" s="13">
        <v>26.6</v>
      </c>
      <c r="W187" s="13">
        <v>1.5</v>
      </c>
      <c r="X187" s="13">
        <v>0.701804872783133</v>
      </c>
    </row>
    <row r="188" ht="51" spans="1:24">
      <c r="A188" s="13">
        <v>2017</v>
      </c>
      <c r="B188" s="13">
        <v>640000</v>
      </c>
      <c r="C188" s="13" t="s">
        <v>69</v>
      </c>
      <c r="D188" s="13">
        <v>1</v>
      </c>
      <c r="E188" s="13">
        <v>0</v>
      </c>
      <c r="F188" s="13">
        <v>0</v>
      </c>
      <c r="G188" s="13">
        <v>0</v>
      </c>
      <c r="H188" s="13">
        <v>58.144</v>
      </c>
      <c r="I188" s="13">
        <v>41.856</v>
      </c>
      <c r="J188" s="13">
        <v>21.627</v>
      </c>
      <c r="K188" s="13">
        <v>62.56</v>
      </c>
      <c r="L188" s="13">
        <v>10.149</v>
      </c>
      <c r="M188" s="13">
        <v>0.309011627906977</v>
      </c>
      <c r="N188" s="19">
        <v>106.3</v>
      </c>
      <c r="O188" s="13">
        <v>0.245058139534884</v>
      </c>
      <c r="P188" s="19">
        <v>84.3</v>
      </c>
      <c r="Q188" s="13">
        <v>0.44593023255814</v>
      </c>
      <c r="R188" s="19">
        <v>153.4</v>
      </c>
      <c r="S188" s="14">
        <v>344</v>
      </c>
      <c r="T188" s="13">
        <v>11.8</v>
      </c>
      <c r="U188" s="13">
        <v>4.1</v>
      </c>
      <c r="V188" s="13">
        <v>27.5</v>
      </c>
      <c r="W188" s="13">
        <v>1.5</v>
      </c>
      <c r="X188" s="13">
        <v>0.724943892426393</v>
      </c>
    </row>
    <row r="189" ht="51" spans="1:24">
      <c r="A189" s="13">
        <v>2018</v>
      </c>
      <c r="B189" s="13">
        <v>640000</v>
      </c>
      <c r="C189" s="13" t="s">
        <v>69</v>
      </c>
      <c r="D189" s="13">
        <v>1</v>
      </c>
      <c r="E189" s="13">
        <v>0</v>
      </c>
      <c r="F189" s="13">
        <v>0</v>
      </c>
      <c r="G189" s="13">
        <v>0</v>
      </c>
      <c r="H189" s="13">
        <v>58.183</v>
      </c>
      <c r="I189" s="13">
        <v>41.817</v>
      </c>
      <c r="J189" s="13">
        <v>21.132</v>
      </c>
      <c r="K189" s="13">
        <v>62.424</v>
      </c>
      <c r="L189" s="13">
        <v>10.61</v>
      </c>
      <c r="M189" s="13">
        <v>0.284927536231884</v>
      </c>
      <c r="N189" s="19">
        <v>98.3</v>
      </c>
      <c r="O189" s="13">
        <v>0.237101449275362</v>
      </c>
      <c r="P189" s="19">
        <v>81.8</v>
      </c>
      <c r="Q189" s="13">
        <v>0.477971014492754</v>
      </c>
      <c r="R189" s="19">
        <v>164.9</v>
      </c>
      <c r="S189" s="14">
        <v>345</v>
      </c>
      <c r="T189" s="13">
        <v>11.9</v>
      </c>
      <c r="U189" s="13">
        <v>3.85</v>
      </c>
      <c r="V189" s="13">
        <v>27.8</v>
      </c>
      <c r="W189" s="13">
        <v>1.4</v>
      </c>
      <c r="X189" s="13">
        <v>0.754388273945472</v>
      </c>
    </row>
    <row r="190" ht="51" spans="1:24">
      <c r="A190" s="13">
        <v>2019</v>
      </c>
      <c r="B190" s="13">
        <v>640000</v>
      </c>
      <c r="C190" s="13" t="s">
        <v>69</v>
      </c>
      <c r="D190" s="13">
        <v>1</v>
      </c>
      <c r="E190" s="13">
        <v>0</v>
      </c>
      <c r="F190" s="13">
        <v>0</v>
      </c>
      <c r="G190" s="13">
        <v>0</v>
      </c>
      <c r="H190" s="13">
        <v>58.1</v>
      </c>
      <c r="I190" s="13">
        <v>41.9</v>
      </c>
      <c r="J190" s="13">
        <v>17.7</v>
      </c>
      <c r="K190" s="13">
        <v>69.4</v>
      </c>
      <c r="L190" s="13">
        <v>12.9</v>
      </c>
      <c r="M190" s="13">
        <v>0.264139941690962</v>
      </c>
      <c r="N190" s="19">
        <v>90.6</v>
      </c>
      <c r="O190" s="13">
        <v>0.237026239067055</v>
      </c>
      <c r="P190" s="19">
        <v>81.3</v>
      </c>
      <c r="Q190" s="13">
        <v>0.499125364431487</v>
      </c>
      <c r="R190" s="19">
        <v>171.2</v>
      </c>
      <c r="S190" s="14">
        <v>343</v>
      </c>
      <c r="T190" s="13">
        <v>12.9</v>
      </c>
      <c r="U190" s="13">
        <v>3.6</v>
      </c>
      <c r="V190" s="13">
        <v>29.8</v>
      </c>
      <c r="W190" s="13">
        <v>1.4</v>
      </c>
      <c r="X190" s="13">
        <v>0.760519572768988</v>
      </c>
    </row>
    <row r="191" ht="51" spans="1:24">
      <c r="A191" s="13">
        <v>2020</v>
      </c>
      <c r="B191" s="13">
        <v>640000</v>
      </c>
      <c r="C191" s="13" t="s">
        <v>69</v>
      </c>
      <c r="D191" s="13">
        <v>1</v>
      </c>
      <c r="E191" s="13">
        <v>0</v>
      </c>
      <c r="F191" s="13">
        <v>0</v>
      </c>
      <c r="G191" s="13">
        <v>0</v>
      </c>
      <c r="H191" s="13">
        <v>58.6</v>
      </c>
      <c r="I191" s="13">
        <v>41.4</v>
      </c>
      <c r="J191" s="13">
        <v>20.8</v>
      </c>
      <c r="K191" s="13">
        <v>66.3</v>
      </c>
      <c r="L191" s="13">
        <v>12.8</v>
      </c>
      <c r="M191" s="13">
        <v>0.241279069767442</v>
      </c>
      <c r="N191" s="19">
        <v>83</v>
      </c>
      <c r="O191" s="13">
        <v>0.238372093023256</v>
      </c>
      <c r="P191" s="19">
        <v>82</v>
      </c>
      <c r="Q191" s="13">
        <v>0.520348837209302</v>
      </c>
      <c r="R191" s="19">
        <v>179</v>
      </c>
      <c r="S191" s="14">
        <v>344</v>
      </c>
      <c r="T191" s="13">
        <v>11.4</v>
      </c>
      <c r="U191" s="13">
        <v>3.7</v>
      </c>
      <c r="V191" s="13">
        <v>29.2</v>
      </c>
      <c r="W191" s="13">
        <v>1.5</v>
      </c>
      <c r="X191" s="13">
        <v>0.733702425462563</v>
      </c>
    </row>
    <row r="192" ht="51" spans="1:24">
      <c r="A192" s="13">
        <v>2021</v>
      </c>
      <c r="B192" s="13">
        <v>640000</v>
      </c>
      <c r="C192" s="13" t="s">
        <v>69</v>
      </c>
      <c r="D192" s="13">
        <v>1</v>
      </c>
      <c r="E192" s="13">
        <v>0</v>
      </c>
      <c r="F192" s="13">
        <v>0</v>
      </c>
      <c r="G192" s="13">
        <v>0</v>
      </c>
      <c r="H192" s="13">
        <v>58.447</v>
      </c>
      <c r="I192" s="13">
        <v>41.553</v>
      </c>
      <c r="J192" s="13">
        <v>25.512</v>
      </c>
      <c r="K192" s="13">
        <v>61.5</v>
      </c>
      <c r="L192" s="13">
        <v>12.988</v>
      </c>
      <c r="M192" s="13">
        <v>0.234782608695652</v>
      </c>
      <c r="N192" s="19">
        <v>81</v>
      </c>
      <c r="O192" s="13">
        <v>0.23768115942029</v>
      </c>
      <c r="P192" s="19">
        <v>82</v>
      </c>
      <c r="Q192" s="13">
        <v>0.527536231884058</v>
      </c>
      <c r="R192" s="19">
        <v>182</v>
      </c>
      <c r="S192" s="14">
        <v>345</v>
      </c>
      <c r="T192" s="13">
        <v>11.9</v>
      </c>
      <c r="U192" s="13">
        <v>3.8</v>
      </c>
      <c r="V192" s="13">
        <v>29.9</v>
      </c>
      <c r="W192" s="13">
        <v>1.6</v>
      </c>
      <c r="X192" s="13">
        <v>0.762687753056107</v>
      </c>
    </row>
    <row r="193" ht="51" spans="1:24">
      <c r="A193" s="13">
        <v>2022</v>
      </c>
      <c r="B193" s="13">
        <v>640000</v>
      </c>
      <c r="C193" s="13" t="s">
        <v>69</v>
      </c>
      <c r="D193" s="13">
        <v>1</v>
      </c>
      <c r="E193" s="13">
        <v>0</v>
      </c>
      <c r="F193" s="13">
        <v>0</v>
      </c>
      <c r="G193" s="13">
        <v>0</v>
      </c>
      <c r="H193" s="13">
        <v>57.976</v>
      </c>
      <c r="I193" s="13">
        <v>42.024</v>
      </c>
      <c r="J193" s="13">
        <v>27.729</v>
      </c>
      <c r="K193" s="13">
        <v>58.35</v>
      </c>
      <c r="L193" s="13">
        <v>13.92</v>
      </c>
      <c r="M193" s="13">
        <v>0.279761904761905</v>
      </c>
      <c r="N193" s="19">
        <v>94</v>
      </c>
      <c r="O193" s="13">
        <v>0.235119047619048</v>
      </c>
      <c r="P193" s="19">
        <v>79</v>
      </c>
      <c r="Q193" s="13">
        <v>0.485119047619048</v>
      </c>
      <c r="R193" s="19">
        <v>163</v>
      </c>
      <c r="S193" s="14">
        <v>336</v>
      </c>
      <c r="T193" s="13">
        <v>11.6</v>
      </c>
      <c r="U193" s="13">
        <v>3.8</v>
      </c>
      <c r="V193" s="13">
        <v>30.3</v>
      </c>
      <c r="W193" s="13">
        <v>1.6</v>
      </c>
      <c r="X193" s="13">
        <v>0.79106688852849</v>
      </c>
    </row>
    <row r="194" ht="17" spans="1:24">
      <c r="A194" s="13">
        <v>2013</v>
      </c>
      <c r="B194" s="13">
        <v>630000</v>
      </c>
      <c r="C194" s="13" t="s">
        <v>70</v>
      </c>
      <c r="D194" s="13">
        <v>1</v>
      </c>
      <c r="E194" s="13">
        <v>0</v>
      </c>
      <c r="F194" s="13">
        <v>0</v>
      </c>
      <c r="G194" s="13">
        <v>0</v>
      </c>
      <c r="H194" s="13">
        <v>54.779</v>
      </c>
      <c r="I194" s="13">
        <v>45.221</v>
      </c>
      <c r="J194" s="13">
        <v>31.577</v>
      </c>
      <c r="K194" s="13">
        <v>61.647</v>
      </c>
      <c r="L194" s="13">
        <v>6.776</v>
      </c>
      <c r="M194" s="13">
        <v>0.371621621621622</v>
      </c>
      <c r="N194" s="19">
        <v>110</v>
      </c>
      <c r="O194" s="13">
        <v>0.233108108108108</v>
      </c>
      <c r="P194" s="19">
        <v>69</v>
      </c>
      <c r="Q194" s="13">
        <v>0.39527027027027</v>
      </c>
      <c r="R194" s="19">
        <v>117</v>
      </c>
      <c r="S194" s="14">
        <v>296</v>
      </c>
      <c r="T194" s="13">
        <v>11</v>
      </c>
      <c r="U194" s="13">
        <v>3.9</v>
      </c>
      <c r="V194" s="13">
        <v>21.7</v>
      </c>
      <c r="W194" s="13">
        <v>0.8</v>
      </c>
      <c r="X194" s="13">
        <v>0.789521802687572</v>
      </c>
    </row>
    <row r="195" ht="17" spans="1:24">
      <c r="A195" s="13">
        <v>2014</v>
      </c>
      <c r="B195" s="13">
        <v>630000</v>
      </c>
      <c r="C195" s="13" t="s">
        <v>70</v>
      </c>
      <c r="D195" s="13">
        <v>1</v>
      </c>
      <c r="E195" s="13">
        <v>0</v>
      </c>
      <c r="F195" s="13">
        <v>0</v>
      </c>
      <c r="G195" s="13">
        <v>0</v>
      </c>
      <c r="H195" s="13">
        <v>56</v>
      </c>
      <c r="I195" s="13">
        <v>44</v>
      </c>
      <c r="J195" s="13">
        <v>32.4</v>
      </c>
      <c r="K195" s="13">
        <v>60.3</v>
      </c>
      <c r="L195" s="13">
        <v>7.2</v>
      </c>
      <c r="M195" s="13">
        <v>0.36518771331058</v>
      </c>
      <c r="N195" s="19">
        <v>107</v>
      </c>
      <c r="O195" s="13">
        <v>0.228668941979522</v>
      </c>
      <c r="P195" s="19">
        <v>67</v>
      </c>
      <c r="Q195" s="13">
        <v>0.406143344709898</v>
      </c>
      <c r="R195" s="19">
        <v>119</v>
      </c>
      <c r="S195" s="14">
        <v>293</v>
      </c>
      <c r="T195" s="13">
        <v>10.3</v>
      </c>
      <c r="U195" s="13">
        <v>3.9</v>
      </c>
      <c r="V195" s="13">
        <v>22</v>
      </c>
      <c r="W195" s="13">
        <v>0.8</v>
      </c>
      <c r="X195" s="13">
        <v>0.786386923190329</v>
      </c>
    </row>
    <row r="196" ht="17" spans="1:24">
      <c r="A196" s="13">
        <v>2015</v>
      </c>
      <c r="B196" s="13">
        <v>630000</v>
      </c>
      <c r="C196" s="13" t="s">
        <v>70</v>
      </c>
      <c r="D196" s="13">
        <v>1</v>
      </c>
      <c r="E196" s="13">
        <v>0</v>
      </c>
      <c r="F196" s="13">
        <v>0</v>
      </c>
      <c r="G196" s="13">
        <v>0</v>
      </c>
      <c r="H196" s="13">
        <v>57.221</v>
      </c>
      <c r="I196" s="13">
        <v>42.779</v>
      </c>
      <c r="J196" s="13">
        <v>34.718</v>
      </c>
      <c r="K196" s="13">
        <v>53.82</v>
      </c>
      <c r="L196" s="13">
        <v>7.97</v>
      </c>
      <c r="M196" s="13">
        <v>0.35958904109589</v>
      </c>
      <c r="N196" s="19">
        <v>105</v>
      </c>
      <c r="O196" s="13">
        <v>0.229452054794521</v>
      </c>
      <c r="P196" s="19">
        <v>67</v>
      </c>
      <c r="Q196" s="13">
        <v>0.410958904109589</v>
      </c>
      <c r="R196" s="19">
        <v>120</v>
      </c>
      <c r="S196" s="14">
        <v>292</v>
      </c>
      <c r="T196" s="13">
        <v>10.4</v>
      </c>
      <c r="U196" s="13">
        <v>3.9</v>
      </c>
      <c r="V196" s="13">
        <v>22.6</v>
      </c>
      <c r="W196" s="13">
        <v>0.9</v>
      </c>
      <c r="X196" s="13">
        <v>0.789876716190451</v>
      </c>
    </row>
    <row r="197" ht="17" spans="1:24">
      <c r="A197" s="13">
        <v>2016</v>
      </c>
      <c r="B197" s="13">
        <v>630000</v>
      </c>
      <c r="C197" s="13" t="s">
        <v>70</v>
      </c>
      <c r="D197" s="13">
        <v>1</v>
      </c>
      <c r="E197" s="13">
        <v>0</v>
      </c>
      <c r="F197" s="13">
        <v>0</v>
      </c>
      <c r="G197" s="13">
        <v>0</v>
      </c>
      <c r="H197" s="13">
        <v>56.711</v>
      </c>
      <c r="I197" s="13">
        <v>43.289</v>
      </c>
      <c r="J197" s="13">
        <v>32.93</v>
      </c>
      <c r="K197" s="13">
        <v>54.604</v>
      </c>
      <c r="L197" s="13">
        <v>8.637</v>
      </c>
      <c r="M197" s="13">
        <v>0.356401384083045</v>
      </c>
      <c r="N197" s="19">
        <v>103</v>
      </c>
      <c r="O197" s="13">
        <v>0.228373702422145</v>
      </c>
      <c r="P197" s="19">
        <v>66</v>
      </c>
      <c r="Q197" s="13">
        <v>0.41522491349481</v>
      </c>
      <c r="R197" s="19">
        <v>120</v>
      </c>
      <c r="S197" s="14">
        <v>289</v>
      </c>
      <c r="T197" s="13">
        <v>10.7</v>
      </c>
      <c r="U197" s="13">
        <v>3.8</v>
      </c>
      <c r="V197" s="13">
        <v>23.5</v>
      </c>
      <c r="W197" s="13">
        <v>0.9</v>
      </c>
      <c r="X197" s="13">
        <v>0.8576830914208</v>
      </c>
    </row>
    <row r="198" ht="17" spans="1:24">
      <c r="A198" s="13">
        <v>2017</v>
      </c>
      <c r="B198" s="13">
        <v>630000</v>
      </c>
      <c r="C198" s="13" t="s">
        <v>70</v>
      </c>
      <c r="D198" s="13">
        <v>1</v>
      </c>
      <c r="E198" s="13">
        <v>0</v>
      </c>
      <c r="F198" s="13">
        <v>0</v>
      </c>
      <c r="G198" s="13">
        <v>0</v>
      </c>
      <c r="H198" s="13">
        <v>56.63</v>
      </c>
      <c r="I198" s="13">
        <v>43.37</v>
      </c>
      <c r="J198" s="13">
        <v>31.243</v>
      </c>
      <c r="K198" s="13">
        <v>56.23</v>
      </c>
      <c r="L198" s="13">
        <v>9.045</v>
      </c>
      <c r="M198" s="13">
        <v>0.35191637630662</v>
      </c>
      <c r="N198" s="19">
        <v>101</v>
      </c>
      <c r="O198" s="13">
        <v>0.222996515679443</v>
      </c>
      <c r="P198" s="19">
        <v>64</v>
      </c>
      <c r="Q198" s="13">
        <v>0.425087108013937</v>
      </c>
      <c r="R198" s="19">
        <v>122</v>
      </c>
      <c r="S198" s="14">
        <v>287</v>
      </c>
      <c r="T198" s="13">
        <v>11</v>
      </c>
      <c r="U198" s="13">
        <v>3.8</v>
      </c>
      <c r="V198" s="13">
        <v>24.1</v>
      </c>
      <c r="W198" s="13">
        <v>1</v>
      </c>
      <c r="X198" s="13">
        <v>0.537778672356812</v>
      </c>
    </row>
    <row r="199" ht="17" spans="1:24">
      <c r="A199" s="13">
        <v>2018</v>
      </c>
      <c r="B199" s="13">
        <v>630000</v>
      </c>
      <c r="C199" s="13" t="s">
        <v>70</v>
      </c>
      <c r="D199" s="13">
        <v>1</v>
      </c>
      <c r="E199" s="13">
        <v>0</v>
      </c>
      <c r="F199" s="13">
        <v>0</v>
      </c>
      <c r="G199" s="13">
        <v>0</v>
      </c>
      <c r="H199" s="13">
        <v>57.257</v>
      </c>
      <c r="I199" s="13">
        <v>42.743</v>
      </c>
      <c r="J199" s="13">
        <v>30.541</v>
      </c>
      <c r="K199" s="13">
        <v>55.751</v>
      </c>
      <c r="L199" s="13">
        <v>10.533</v>
      </c>
      <c r="M199" s="13">
        <v>0.333333333333333</v>
      </c>
      <c r="N199" s="19">
        <v>95</v>
      </c>
      <c r="O199" s="13">
        <v>0.210526315789474</v>
      </c>
      <c r="P199" s="19">
        <v>60</v>
      </c>
      <c r="Q199" s="13">
        <v>0.456140350877193</v>
      </c>
      <c r="R199" s="19">
        <v>130</v>
      </c>
      <c r="S199" s="14">
        <v>285</v>
      </c>
      <c r="T199" s="13">
        <v>10.7</v>
      </c>
      <c r="U199" s="13">
        <v>3.4</v>
      </c>
      <c r="V199" s="13">
        <v>26.4</v>
      </c>
      <c r="W199" s="13">
        <v>0.9</v>
      </c>
      <c r="X199" s="13">
        <v>0.550368344541711</v>
      </c>
    </row>
    <row r="200" ht="17" spans="1:24">
      <c r="A200" s="13">
        <v>2019</v>
      </c>
      <c r="B200" s="13">
        <v>630000</v>
      </c>
      <c r="C200" s="13" t="s">
        <v>70</v>
      </c>
      <c r="D200" s="13">
        <v>1</v>
      </c>
      <c r="E200" s="13">
        <v>0</v>
      </c>
      <c r="F200" s="13">
        <v>0</v>
      </c>
      <c r="G200" s="13">
        <v>0</v>
      </c>
      <c r="H200" s="13">
        <v>59.9</v>
      </c>
      <c r="I200" s="13">
        <v>40.1</v>
      </c>
      <c r="J200" s="13">
        <v>26.4</v>
      </c>
      <c r="K200" s="13">
        <v>62.1</v>
      </c>
      <c r="L200" s="13">
        <v>11.4</v>
      </c>
      <c r="M200" s="13">
        <v>0.319148936170213</v>
      </c>
      <c r="N200" s="19">
        <v>90</v>
      </c>
      <c r="O200" s="13">
        <v>0.202127659574468</v>
      </c>
      <c r="P200" s="19">
        <v>57</v>
      </c>
      <c r="Q200" s="13">
        <v>0.478723404255319</v>
      </c>
      <c r="R200" s="19">
        <v>135</v>
      </c>
      <c r="S200" s="14">
        <v>282</v>
      </c>
      <c r="T200" s="13">
        <v>12.4</v>
      </c>
      <c r="U200" s="13">
        <v>3.9</v>
      </c>
      <c r="V200" s="13">
        <v>30.1</v>
      </c>
      <c r="W200" s="13">
        <v>1.4</v>
      </c>
      <c r="X200" s="13">
        <v>0.555226145953999</v>
      </c>
    </row>
    <row r="201" ht="17" spans="1:24">
      <c r="A201" s="13">
        <v>2020</v>
      </c>
      <c r="B201" s="13">
        <v>630000</v>
      </c>
      <c r="C201" s="13" t="s">
        <v>70</v>
      </c>
      <c r="D201" s="13">
        <v>1</v>
      </c>
      <c r="E201" s="13">
        <v>0</v>
      </c>
      <c r="F201" s="13">
        <v>0</v>
      </c>
      <c r="G201" s="13">
        <v>0</v>
      </c>
      <c r="H201" s="13">
        <v>58.1</v>
      </c>
      <c r="I201" s="13">
        <v>41.9</v>
      </c>
      <c r="J201" s="13">
        <v>30</v>
      </c>
      <c r="K201" s="13">
        <v>58.4</v>
      </c>
      <c r="L201" s="13">
        <v>11.7</v>
      </c>
      <c r="M201" s="13">
        <v>0.254480286738351</v>
      </c>
      <c r="N201" s="19">
        <v>71</v>
      </c>
      <c r="O201" s="13">
        <v>0.222222222222222</v>
      </c>
      <c r="P201" s="19">
        <v>62</v>
      </c>
      <c r="Q201" s="13">
        <v>0.523297491039427</v>
      </c>
      <c r="R201" s="19">
        <v>146</v>
      </c>
      <c r="S201" s="14">
        <v>279</v>
      </c>
      <c r="T201" s="13">
        <v>12.2</v>
      </c>
      <c r="U201" s="13">
        <v>3.6</v>
      </c>
      <c r="V201" s="13">
        <v>30.2</v>
      </c>
      <c r="W201" s="13">
        <v>1.5</v>
      </c>
      <c r="X201" s="13">
        <v>0.568833734788182</v>
      </c>
    </row>
    <row r="202" ht="17" spans="1:24">
      <c r="A202" s="13">
        <v>2021</v>
      </c>
      <c r="B202" s="13">
        <v>630000</v>
      </c>
      <c r="C202" s="13" t="s">
        <v>70</v>
      </c>
      <c r="D202" s="13">
        <v>1</v>
      </c>
      <c r="E202" s="13">
        <v>0</v>
      </c>
      <c r="F202" s="13">
        <v>0</v>
      </c>
      <c r="G202" s="13">
        <v>0</v>
      </c>
      <c r="H202" s="13">
        <v>57.34</v>
      </c>
      <c r="I202" s="13">
        <v>42.66</v>
      </c>
      <c r="J202" s="13">
        <v>31.911</v>
      </c>
      <c r="K202" s="13">
        <v>55.525</v>
      </c>
      <c r="L202" s="13">
        <v>12.564</v>
      </c>
      <c r="M202" s="13">
        <v>0.249097472924188</v>
      </c>
      <c r="N202" s="19">
        <v>69</v>
      </c>
      <c r="O202" s="13">
        <v>0.220216606498195</v>
      </c>
      <c r="P202" s="19">
        <v>61</v>
      </c>
      <c r="Q202" s="13">
        <v>0.530685920577617</v>
      </c>
      <c r="R202" s="19">
        <v>147</v>
      </c>
      <c r="S202" s="14">
        <v>277</v>
      </c>
      <c r="T202" s="13">
        <v>12.2</v>
      </c>
      <c r="U202" s="13">
        <v>3.6</v>
      </c>
      <c r="V202" s="13">
        <v>30.8</v>
      </c>
      <c r="W202" s="13">
        <v>1.6</v>
      </c>
      <c r="X202" s="13">
        <v>0.594011782031223</v>
      </c>
    </row>
    <row r="203" ht="17" spans="1:24">
      <c r="A203" s="13">
        <v>2022</v>
      </c>
      <c r="B203" s="13">
        <v>630000</v>
      </c>
      <c r="C203" s="13" t="s">
        <v>70</v>
      </c>
      <c r="D203" s="13">
        <v>1</v>
      </c>
      <c r="E203" s="13">
        <v>0</v>
      </c>
      <c r="F203" s="13">
        <v>0</v>
      </c>
      <c r="G203" s="13">
        <v>0</v>
      </c>
      <c r="H203" s="13">
        <v>56.911</v>
      </c>
      <c r="I203" s="13">
        <v>43.089</v>
      </c>
      <c r="J203" s="13">
        <v>33.356</v>
      </c>
      <c r="K203" s="13">
        <v>51.371</v>
      </c>
      <c r="L203" s="13">
        <v>15.274</v>
      </c>
      <c r="M203" s="13">
        <v>0.28125</v>
      </c>
      <c r="N203" s="19">
        <v>72</v>
      </c>
      <c r="O203" s="13">
        <v>0.21484375</v>
      </c>
      <c r="P203" s="19">
        <v>55</v>
      </c>
      <c r="Q203" s="13">
        <v>0.50390625</v>
      </c>
      <c r="R203" s="19">
        <v>129</v>
      </c>
      <c r="S203" s="14">
        <v>256</v>
      </c>
      <c r="T203" s="13">
        <v>11.6</v>
      </c>
      <c r="U203" s="13">
        <v>3.4</v>
      </c>
      <c r="V203" s="13">
        <v>29.7</v>
      </c>
      <c r="W203" s="13">
        <v>1.7</v>
      </c>
      <c r="X203" s="13">
        <v>0.60845827159883</v>
      </c>
    </row>
    <row r="204" ht="17" spans="1:24">
      <c r="A204" s="13">
        <v>2013</v>
      </c>
      <c r="B204" s="13">
        <v>370000</v>
      </c>
      <c r="C204" s="13" t="s">
        <v>71</v>
      </c>
      <c r="D204" s="13">
        <v>0</v>
      </c>
      <c r="E204" s="13">
        <v>1</v>
      </c>
      <c r="F204" s="13">
        <v>0</v>
      </c>
      <c r="G204" s="13">
        <v>0</v>
      </c>
      <c r="H204" s="13">
        <v>50.1059999999998</v>
      </c>
      <c r="I204" s="13">
        <v>49.8940000000002</v>
      </c>
      <c r="J204" s="13">
        <v>16.845</v>
      </c>
      <c r="K204" s="13">
        <v>76.495</v>
      </c>
      <c r="L204" s="13">
        <v>6.66</v>
      </c>
      <c r="M204" s="13">
        <v>0.337996575342466</v>
      </c>
      <c r="N204" s="19">
        <v>1973.9</v>
      </c>
      <c r="O204" s="13">
        <v>0.327996575342466</v>
      </c>
      <c r="P204" s="19">
        <v>1915.5</v>
      </c>
      <c r="Q204" s="13">
        <v>0.334006849315068</v>
      </c>
      <c r="R204" s="19">
        <v>1950.6</v>
      </c>
      <c r="S204" s="14">
        <v>5840</v>
      </c>
      <c r="T204" s="13">
        <v>140.6</v>
      </c>
      <c r="U204" s="13">
        <v>97.1</v>
      </c>
      <c r="V204" s="13">
        <v>303.3</v>
      </c>
      <c r="W204" s="13">
        <v>23.7</v>
      </c>
      <c r="X204" s="13">
        <v>0.829744935763463</v>
      </c>
    </row>
    <row r="205" ht="17" spans="1:24">
      <c r="A205" s="13">
        <v>2014</v>
      </c>
      <c r="B205" s="13">
        <v>370000</v>
      </c>
      <c r="C205" s="13" t="s">
        <v>71</v>
      </c>
      <c r="D205" s="13">
        <v>0</v>
      </c>
      <c r="E205" s="13">
        <v>1</v>
      </c>
      <c r="F205" s="13">
        <v>0</v>
      </c>
      <c r="G205" s="13">
        <v>0</v>
      </c>
      <c r="H205" s="13">
        <v>53.9</v>
      </c>
      <c r="I205" s="13">
        <v>46.1</v>
      </c>
      <c r="J205" s="13">
        <v>18.6</v>
      </c>
      <c r="K205" s="13">
        <v>73.8</v>
      </c>
      <c r="L205" s="13">
        <v>7.5</v>
      </c>
      <c r="M205" s="13">
        <v>0.324008278716799</v>
      </c>
      <c r="N205" s="19">
        <v>1878.6</v>
      </c>
      <c r="O205" s="13">
        <v>0.330993446015867</v>
      </c>
      <c r="P205" s="19">
        <v>1919.1</v>
      </c>
      <c r="Q205" s="13">
        <v>0.344998275267334</v>
      </c>
      <c r="R205" s="19">
        <v>2000.3</v>
      </c>
      <c r="S205" s="14">
        <v>5798</v>
      </c>
      <c r="T205" s="13">
        <v>145.5</v>
      </c>
      <c r="U205" s="13">
        <v>88.6</v>
      </c>
      <c r="V205" s="13">
        <v>306.8</v>
      </c>
      <c r="W205" s="13">
        <v>25.6</v>
      </c>
      <c r="X205" s="13">
        <v>0.809454514394836</v>
      </c>
    </row>
    <row r="206" ht="17" spans="1:24">
      <c r="A206" s="13">
        <v>2015</v>
      </c>
      <c r="B206" s="13">
        <v>370000</v>
      </c>
      <c r="C206" s="13" t="s">
        <v>71</v>
      </c>
      <c r="D206" s="13">
        <v>0</v>
      </c>
      <c r="E206" s="13">
        <v>1</v>
      </c>
      <c r="F206" s="13">
        <v>0</v>
      </c>
      <c r="G206" s="13">
        <v>0</v>
      </c>
      <c r="H206" s="13">
        <v>57.694</v>
      </c>
      <c r="I206" s="13">
        <v>42.306</v>
      </c>
      <c r="J206" s="13">
        <v>16.701</v>
      </c>
      <c r="K206" s="13">
        <v>69.316</v>
      </c>
      <c r="L206" s="13">
        <v>6.445</v>
      </c>
      <c r="M206" s="13">
        <v>0.310999480339512</v>
      </c>
      <c r="N206" s="19">
        <v>1795.4</v>
      </c>
      <c r="O206" s="13">
        <v>0.332998441018535</v>
      </c>
      <c r="P206" s="19">
        <v>1922.4</v>
      </c>
      <c r="Q206" s="13">
        <v>0.356002078641954</v>
      </c>
      <c r="R206" s="19">
        <v>2055.2</v>
      </c>
      <c r="S206" s="14">
        <v>5773</v>
      </c>
      <c r="T206" s="13">
        <v>146.9</v>
      </c>
      <c r="U206" s="13">
        <v>84</v>
      </c>
      <c r="V206" s="13">
        <v>309</v>
      </c>
      <c r="W206" s="13">
        <v>26.1</v>
      </c>
      <c r="X206" s="13">
        <v>0.559523763439093</v>
      </c>
    </row>
    <row r="207" ht="17" spans="1:24">
      <c r="A207" s="13">
        <v>2016</v>
      </c>
      <c r="B207" s="13">
        <v>370000</v>
      </c>
      <c r="C207" s="13" t="s">
        <v>71</v>
      </c>
      <c r="D207" s="13">
        <v>0</v>
      </c>
      <c r="E207" s="13">
        <v>1</v>
      </c>
      <c r="F207" s="13">
        <v>0</v>
      </c>
      <c r="G207" s="13">
        <v>0</v>
      </c>
      <c r="H207" s="13">
        <v>56.865</v>
      </c>
      <c r="I207" s="13">
        <v>43.135</v>
      </c>
      <c r="J207" s="13">
        <v>16.803</v>
      </c>
      <c r="K207" s="13">
        <v>68.735</v>
      </c>
      <c r="L207" s="13">
        <v>6.756</v>
      </c>
      <c r="M207" s="13">
        <v>0.297992318435754</v>
      </c>
      <c r="N207" s="19">
        <v>1706.9</v>
      </c>
      <c r="O207" s="13">
        <v>0.332995810055866</v>
      </c>
      <c r="P207" s="19">
        <v>1907.4</v>
      </c>
      <c r="Q207" s="13">
        <v>0.368994413407821</v>
      </c>
      <c r="R207" s="19">
        <v>2113.6</v>
      </c>
      <c r="S207" s="14">
        <v>5728</v>
      </c>
      <c r="T207" s="13">
        <v>151.5</v>
      </c>
      <c r="U207" s="13">
        <v>81.5</v>
      </c>
      <c r="V207" s="13">
        <v>310.1</v>
      </c>
      <c r="W207" s="13">
        <v>26.8</v>
      </c>
      <c r="X207" s="13">
        <v>0.575412657014327</v>
      </c>
    </row>
    <row r="208" ht="17" spans="1:24">
      <c r="A208" s="13">
        <v>2017</v>
      </c>
      <c r="B208" s="13">
        <v>370000</v>
      </c>
      <c r="C208" s="13" t="s">
        <v>71</v>
      </c>
      <c r="D208" s="13">
        <v>0</v>
      </c>
      <c r="E208" s="13">
        <v>1</v>
      </c>
      <c r="F208" s="13">
        <v>0</v>
      </c>
      <c r="G208" s="13">
        <v>0</v>
      </c>
      <c r="H208" s="13">
        <v>56.368</v>
      </c>
      <c r="I208" s="13">
        <v>43.632</v>
      </c>
      <c r="J208" s="13">
        <v>17.094</v>
      </c>
      <c r="K208" s="13">
        <v>67.519</v>
      </c>
      <c r="L208" s="13">
        <v>7.181</v>
      </c>
      <c r="M208" s="13">
        <v>0.284999121728438</v>
      </c>
      <c r="N208" s="19">
        <v>1622.5</v>
      </c>
      <c r="O208" s="13">
        <v>0.335007904444054</v>
      </c>
      <c r="P208" s="19">
        <v>1907.2</v>
      </c>
      <c r="Q208" s="13">
        <v>0.379992973827508</v>
      </c>
      <c r="R208" s="19">
        <v>2163.3</v>
      </c>
      <c r="S208" s="14">
        <v>5693</v>
      </c>
      <c r="T208" s="13">
        <v>152.8</v>
      </c>
      <c r="U208" s="13">
        <v>77</v>
      </c>
      <c r="V208" s="13">
        <v>315.1</v>
      </c>
      <c r="W208" s="13">
        <v>26.1</v>
      </c>
      <c r="X208" s="13">
        <v>0.586570190666282</v>
      </c>
    </row>
    <row r="209" ht="17" spans="1:24">
      <c r="A209" s="13">
        <v>2018</v>
      </c>
      <c r="B209" s="13">
        <v>370000</v>
      </c>
      <c r="C209" s="13" t="s">
        <v>71</v>
      </c>
      <c r="D209" s="13">
        <v>0</v>
      </c>
      <c r="E209" s="13">
        <v>1</v>
      </c>
      <c r="F209" s="13">
        <v>0</v>
      </c>
      <c r="G209" s="13">
        <v>0</v>
      </c>
      <c r="H209" s="13">
        <v>56.071</v>
      </c>
      <c r="I209" s="13">
        <v>43.929</v>
      </c>
      <c r="J209" s="13">
        <v>16.498</v>
      </c>
      <c r="K209" s="13">
        <v>67.453</v>
      </c>
      <c r="L209" s="13">
        <v>7.546</v>
      </c>
      <c r="M209" s="13">
        <v>0.272994129158513</v>
      </c>
      <c r="N209" s="19">
        <v>1534.5</v>
      </c>
      <c r="O209" s="13">
        <v>0.333997509339975</v>
      </c>
      <c r="P209" s="19">
        <v>1877.4</v>
      </c>
      <c r="Q209" s="13">
        <v>0.393008361501512</v>
      </c>
      <c r="R209" s="19">
        <v>2209.1</v>
      </c>
      <c r="S209" s="14">
        <v>5621</v>
      </c>
      <c r="T209" s="13">
        <v>147.1</v>
      </c>
      <c r="U209" s="13">
        <v>72.2</v>
      </c>
      <c r="V209" s="13">
        <v>316.8</v>
      </c>
      <c r="W209" s="13">
        <v>25.3</v>
      </c>
      <c r="X209" s="13">
        <v>0.597268671310616</v>
      </c>
    </row>
    <row r="210" ht="17" spans="1:24">
      <c r="A210" s="13">
        <v>2019</v>
      </c>
      <c r="B210" s="13">
        <v>370000</v>
      </c>
      <c r="C210" s="13" t="s">
        <v>71</v>
      </c>
      <c r="D210" s="13">
        <v>0</v>
      </c>
      <c r="E210" s="13">
        <v>1</v>
      </c>
      <c r="F210" s="13">
        <v>0</v>
      </c>
      <c r="G210" s="13">
        <v>0</v>
      </c>
      <c r="H210" s="13">
        <v>57</v>
      </c>
      <c r="I210" s="13">
        <v>43</v>
      </c>
      <c r="J210" s="13">
        <v>16.5</v>
      </c>
      <c r="K210" s="13">
        <v>74.2</v>
      </c>
      <c r="L210" s="13">
        <v>9.2</v>
      </c>
      <c r="M210" s="13">
        <v>0.260007192950908</v>
      </c>
      <c r="N210" s="19">
        <v>1445.9</v>
      </c>
      <c r="O210" s="13">
        <v>0.332997662290955</v>
      </c>
      <c r="P210" s="19">
        <v>1851.8</v>
      </c>
      <c r="Q210" s="13">
        <v>0.406995144758137</v>
      </c>
      <c r="R210" s="19">
        <v>2263.3</v>
      </c>
      <c r="S210" s="14">
        <v>5561</v>
      </c>
      <c r="T210" s="13">
        <v>158.7</v>
      </c>
      <c r="U210" s="13">
        <v>68.5</v>
      </c>
      <c r="V210" s="13">
        <v>337.8</v>
      </c>
      <c r="W210" s="13">
        <v>26</v>
      </c>
      <c r="X210" s="13">
        <v>0.613247860210727</v>
      </c>
    </row>
    <row r="211" ht="17" spans="1:24">
      <c r="A211" s="13">
        <v>2020</v>
      </c>
      <c r="B211" s="13">
        <v>370000</v>
      </c>
      <c r="C211" s="13" t="s">
        <v>71</v>
      </c>
      <c r="D211" s="13">
        <v>0</v>
      </c>
      <c r="E211" s="13">
        <v>1</v>
      </c>
      <c r="F211" s="13">
        <v>0</v>
      </c>
      <c r="G211" s="13">
        <v>0</v>
      </c>
      <c r="H211" s="13">
        <v>55.9</v>
      </c>
      <c r="I211" s="13">
        <v>44.1</v>
      </c>
      <c r="J211" s="13">
        <v>18.7</v>
      </c>
      <c r="K211" s="13">
        <v>72.4</v>
      </c>
      <c r="L211" s="13">
        <v>8.9</v>
      </c>
      <c r="M211" s="13">
        <v>0.249183303085299</v>
      </c>
      <c r="N211" s="19">
        <v>1373</v>
      </c>
      <c r="O211" s="13">
        <v>0.333575317604356</v>
      </c>
      <c r="P211" s="19">
        <v>1838</v>
      </c>
      <c r="Q211" s="13">
        <v>0.417241379310345</v>
      </c>
      <c r="R211" s="19">
        <v>2299</v>
      </c>
      <c r="S211" s="14">
        <v>5510</v>
      </c>
      <c r="T211" s="13">
        <v>177.2</v>
      </c>
      <c r="U211" s="13">
        <v>66.2</v>
      </c>
      <c r="V211" s="13">
        <v>356.3</v>
      </c>
      <c r="W211" s="13">
        <v>27.6</v>
      </c>
      <c r="X211" s="13">
        <v>0.63847246671844</v>
      </c>
    </row>
    <row r="212" ht="17" spans="1:24">
      <c r="A212" s="13">
        <v>2021</v>
      </c>
      <c r="B212" s="13">
        <v>370000</v>
      </c>
      <c r="C212" s="13" t="s">
        <v>71</v>
      </c>
      <c r="D212" s="13">
        <v>0</v>
      </c>
      <c r="E212" s="13">
        <v>1</v>
      </c>
      <c r="F212" s="13">
        <v>0</v>
      </c>
      <c r="G212" s="13">
        <v>0</v>
      </c>
      <c r="H212" s="13">
        <v>55.555</v>
      </c>
      <c r="I212" s="13">
        <v>44.445</v>
      </c>
      <c r="J212" s="13">
        <v>16.691</v>
      </c>
      <c r="K212" s="13">
        <v>73.419</v>
      </c>
      <c r="L212" s="13">
        <v>9.892</v>
      </c>
      <c r="M212" s="13">
        <v>0.240365296803653</v>
      </c>
      <c r="N212" s="19">
        <v>1316</v>
      </c>
      <c r="O212" s="13">
        <v>0.337899543378995</v>
      </c>
      <c r="P212" s="19">
        <v>1850</v>
      </c>
      <c r="Q212" s="13">
        <v>0.421735159817352</v>
      </c>
      <c r="R212" s="19">
        <v>2309</v>
      </c>
      <c r="S212" s="14">
        <v>5475</v>
      </c>
      <c r="T212" s="13">
        <v>179.7</v>
      </c>
      <c r="U212" s="13">
        <v>67.4</v>
      </c>
      <c r="V212" s="13">
        <v>360.2</v>
      </c>
      <c r="W212" s="13">
        <v>28.5</v>
      </c>
      <c r="X212" s="13">
        <v>0.661789862681203</v>
      </c>
    </row>
    <row r="213" ht="17" spans="1:24">
      <c r="A213" s="13">
        <v>2022</v>
      </c>
      <c r="B213" s="13">
        <v>370000</v>
      </c>
      <c r="C213" s="13" t="s">
        <v>71</v>
      </c>
      <c r="D213" s="13">
        <v>0</v>
      </c>
      <c r="E213" s="13">
        <v>1</v>
      </c>
      <c r="F213" s="13">
        <v>0</v>
      </c>
      <c r="G213" s="13">
        <v>0</v>
      </c>
      <c r="H213" s="13">
        <v>56.341</v>
      </c>
      <c r="I213" s="13">
        <v>43.659</v>
      </c>
      <c r="J213" s="13">
        <v>18.469</v>
      </c>
      <c r="K213" s="13">
        <v>70.199</v>
      </c>
      <c r="L213" s="13">
        <v>11.332</v>
      </c>
      <c r="M213" s="13">
        <v>0.240539527913076</v>
      </c>
      <c r="N213" s="19">
        <v>1284</v>
      </c>
      <c r="O213" s="13">
        <v>0.337954289996253</v>
      </c>
      <c r="P213" s="19">
        <v>1804</v>
      </c>
      <c r="Q213" s="13">
        <v>0.421506182090671</v>
      </c>
      <c r="R213" s="19">
        <v>2250</v>
      </c>
      <c r="S213" s="14">
        <v>5338</v>
      </c>
      <c r="T213" s="13">
        <v>171.6</v>
      </c>
      <c r="U213" s="13">
        <v>66.7</v>
      </c>
      <c r="V213" s="13">
        <v>358.1</v>
      </c>
      <c r="W213" s="13">
        <v>28.7</v>
      </c>
      <c r="X213" s="13">
        <v>0.68285837872413</v>
      </c>
    </row>
    <row r="214" ht="17" spans="1:24">
      <c r="A214" s="13">
        <v>2013</v>
      </c>
      <c r="B214" s="13">
        <v>140000</v>
      </c>
      <c r="C214" s="13" t="s">
        <v>72</v>
      </c>
      <c r="D214" s="13">
        <v>0</v>
      </c>
      <c r="E214" s="13">
        <v>0</v>
      </c>
      <c r="F214" s="13">
        <v>1</v>
      </c>
      <c r="G214" s="13">
        <v>0</v>
      </c>
      <c r="H214" s="13">
        <v>57.8090000000002</v>
      </c>
      <c r="I214" s="13">
        <v>42.1909999999998</v>
      </c>
      <c r="J214" s="13">
        <v>11.22</v>
      </c>
      <c r="K214" s="13">
        <v>83.175</v>
      </c>
      <c r="L214" s="13">
        <v>5.606</v>
      </c>
      <c r="M214" s="13">
        <v>0.319137466307278</v>
      </c>
      <c r="N214" s="19">
        <v>592</v>
      </c>
      <c r="O214" s="13">
        <v>0.288948787061995</v>
      </c>
      <c r="P214" s="19">
        <v>536</v>
      </c>
      <c r="Q214" s="13">
        <v>0.391913746630728</v>
      </c>
      <c r="R214" s="19">
        <v>727</v>
      </c>
      <c r="S214" s="14">
        <v>1855</v>
      </c>
      <c r="T214" s="13">
        <v>59.5</v>
      </c>
      <c r="U214" s="13">
        <v>33</v>
      </c>
      <c r="V214" s="13">
        <v>140.1</v>
      </c>
      <c r="W214" s="13">
        <v>3.2</v>
      </c>
      <c r="X214" s="13">
        <v>0.899978015744227</v>
      </c>
    </row>
    <row r="215" ht="17" spans="1:24">
      <c r="A215" s="13">
        <v>2014</v>
      </c>
      <c r="B215" s="13">
        <v>140000</v>
      </c>
      <c r="C215" s="13" t="s">
        <v>72</v>
      </c>
      <c r="D215" s="13">
        <v>0</v>
      </c>
      <c r="E215" s="13">
        <v>0</v>
      </c>
      <c r="F215" s="13">
        <v>1</v>
      </c>
      <c r="G215" s="13">
        <v>0</v>
      </c>
      <c r="H215" s="13">
        <v>59.8</v>
      </c>
      <c r="I215" s="13">
        <v>40.2</v>
      </c>
      <c r="J215" s="13">
        <v>12.1</v>
      </c>
      <c r="K215" s="13">
        <v>81.8</v>
      </c>
      <c r="L215" s="13">
        <v>6</v>
      </c>
      <c r="M215" s="13">
        <v>0.323018458197611</v>
      </c>
      <c r="N215" s="19">
        <v>595</v>
      </c>
      <c r="O215" s="13">
        <v>0.262757871878393</v>
      </c>
      <c r="P215" s="19">
        <v>484</v>
      </c>
      <c r="Q215" s="13">
        <v>0.414223669923996</v>
      </c>
      <c r="R215" s="19">
        <v>763</v>
      </c>
      <c r="S215" s="14">
        <v>1842</v>
      </c>
      <c r="T215" s="13">
        <v>61</v>
      </c>
      <c r="U215" s="13">
        <v>30.3</v>
      </c>
      <c r="V215" s="13">
        <v>140.1</v>
      </c>
      <c r="W215" s="13">
        <v>3.6</v>
      </c>
      <c r="X215" s="13">
        <v>0.907291713475608</v>
      </c>
    </row>
    <row r="216" ht="17" spans="1:24">
      <c r="A216" s="13">
        <v>2015</v>
      </c>
      <c r="B216" s="13">
        <v>140000</v>
      </c>
      <c r="C216" s="13" t="s">
        <v>72</v>
      </c>
      <c r="D216" s="13">
        <v>0</v>
      </c>
      <c r="E216" s="13">
        <v>0</v>
      </c>
      <c r="F216" s="13">
        <v>1</v>
      </c>
      <c r="G216" s="13">
        <v>0</v>
      </c>
      <c r="H216" s="13">
        <v>61.791</v>
      </c>
      <c r="I216" s="13">
        <v>38.209</v>
      </c>
      <c r="J216" s="13">
        <v>12.887</v>
      </c>
      <c r="K216" s="13">
        <v>71.369</v>
      </c>
      <c r="L216" s="13">
        <v>9.928</v>
      </c>
      <c r="M216" s="13">
        <v>0.30103995621237</v>
      </c>
      <c r="N216" s="19">
        <v>550</v>
      </c>
      <c r="O216" s="13">
        <v>0.25615763546798</v>
      </c>
      <c r="P216" s="19">
        <v>468</v>
      </c>
      <c r="Q216" s="13">
        <v>0.44280240831965</v>
      </c>
      <c r="R216" s="19">
        <v>809</v>
      </c>
      <c r="S216" s="14">
        <v>1827</v>
      </c>
      <c r="T216" s="13">
        <v>62.8</v>
      </c>
      <c r="U216" s="13">
        <v>26.9</v>
      </c>
      <c r="V216" s="13">
        <v>139.3</v>
      </c>
      <c r="W216" s="13">
        <v>3.6</v>
      </c>
      <c r="X216" s="13">
        <v>0.900819814550935</v>
      </c>
    </row>
    <row r="217" ht="17" spans="1:24">
      <c r="A217" s="13">
        <v>2016</v>
      </c>
      <c r="B217" s="13">
        <v>140000</v>
      </c>
      <c r="C217" s="13" t="s">
        <v>72</v>
      </c>
      <c r="D217" s="13">
        <v>0</v>
      </c>
      <c r="E217" s="13">
        <v>0</v>
      </c>
      <c r="F217" s="13">
        <v>1</v>
      </c>
      <c r="G217" s="13">
        <v>0</v>
      </c>
      <c r="H217" s="13">
        <v>61.473</v>
      </c>
      <c r="I217" s="13">
        <v>38.527</v>
      </c>
      <c r="J217" s="13">
        <v>12.938</v>
      </c>
      <c r="K217" s="13">
        <v>70.796</v>
      </c>
      <c r="L217" s="13">
        <v>9.832</v>
      </c>
      <c r="M217" s="13">
        <v>0.284934497816594</v>
      </c>
      <c r="N217" s="19">
        <v>522</v>
      </c>
      <c r="O217" s="13">
        <v>0.256004366812227</v>
      </c>
      <c r="P217" s="19">
        <v>469</v>
      </c>
      <c r="Q217" s="13">
        <v>0.459061135371179</v>
      </c>
      <c r="R217" s="19">
        <v>841</v>
      </c>
      <c r="S217" s="14">
        <v>1832</v>
      </c>
      <c r="T217" s="13">
        <v>62.6</v>
      </c>
      <c r="U217" s="13">
        <v>26.2</v>
      </c>
      <c r="V217" s="13">
        <v>139.8</v>
      </c>
      <c r="W217" s="13">
        <v>3.5</v>
      </c>
      <c r="X217" s="13">
        <v>0.917972819372735</v>
      </c>
    </row>
    <row r="218" ht="17" spans="1:24">
      <c r="A218" s="13">
        <v>2017</v>
      </c>
      <c r="B218" s="13">
        <v>140000</v>
      </c>
      <c r="C218" s="13" t="s">
        <v>72</v>
      </c>
      <c r="D218" s="13">
        <v>0</v>
      </c>
      <c r="E218" s="13">
        <v>0</v>
      </c>
      <c r="F218" s="13">
        <v>1</v>
      </c>
      <c r="G218" s="13">
        <v>0</v>
      </c>
      <c r="H218" s="13">
        <v>62.07</v>
      </c>
      <c r="I218" s="13">
        <v>37.93</v>
      </c>
      <c r="J218" s="13">
        <v>12.838</v>
      </c>
      <c r="K218" s="13">
        <v>70.739</v>
      </c>
      <c r="L218" s="13">
        <v>9.634</v>
      </c>
      <c r="M218" s="13">
        <v>0.275938189845475</v>
      </c>
      <c r="N218" s="19">
        <v>500</v>
      </c>
      <c r="O218" s="13">
        <v>0.252759381898455</v>
      </c>
      <c r="P218" s="19">
        <v>458</v>
      </c>
      <c r="Q218" s="13">
        <v>0.47075055187638</v>
      </c>
      <c r="R218" s="19">
        <v>853</v>
      </c>
      <c r="S218" s="14">
        <v>1812</v>
      </c>
      <c r="T218" s="13">
        <v>62.3</v>
      </c>
      <c r="U218" s="13">
        <v>23.9</v>
      </c>
      <c r="V218" s="13">
        <v>141.8</v>
      </c>
      <c r="W218" s="13">
        <v>3.8</v>
      </c>
      <c r="X218" s="13">
        <v>0.545982882868246</v>
      </c>
    </row>
    <row r="219" ht="17" spans="1:24">
      <c r="A219" s="13">
        <v>2018</v>
      </c>
      <c r="B219" s="13">
        <v>140000</v>
      </c>
      <c r="C219" s="13" t="s">
        <v>72</v>
      </c>
      <c r="D219" s="13">
        <v>0</v>
      </c>
      <c r="E219" s="13">
        <v>0</v>
      </c>
      <c r="F219" s="13">
        <v>1</v>
      </c>
      <c r="G219" s="13">
        <v>0</v>
      </c>
      <c r="H219" s="13">
        <v>61.435</v>
      </c>
      <c r="I219" s="13">
        <v>38.565</v>
      </c>
      <c r="J219" s="13">
        <v>11.76</v>
      </c>
      <c r="K219" s="13">
        <v>71.391</v>
      </c>
      <c r="L219" s="13">
        <v>10.296</v>
      </c>
      <c r="M219" s="13">
        <v>0.267188373392957</v>
      </c>
      <c r="N219" s="19">
        <v>478</v>
      </c>
      <c r="O219" s="13">
        <v>0.244270542202348</v>
      </c>
      <c r="P219" s="19">
        <v>437</v>
      </c>
      <c r="Q219" s="13">
        <v>0.489100055897149</v>
      </c>
      <c r="R219" s="19">
        <v>875</v>
      </c>
      <c r="S219" s="14">
        <v>1789</v>
      </c>
      <c r="T219" s="13">
        <v>63</v>
      </c>
      <c r="U219" s="13">
        <v>24.8</v>
      </c>
      <c r="V219" s="13">
        <v>141.5</v>
      </c>
      <c r="W219" s="13">
        <v>3.6</v>
      </c>
      <c r="X219" s="13">
        <v>0.556748516162161</v>
      </c>
    </row>
    <row r="220" ht="17" spans="1:24">
      <c r="A220" s="13">
        <v>2019</v>
      </c>
      <c r="B220" s="13">
        <v>140000</v>
      </c>
      <c r="C220" s="13" t="s">
        <v>72</v>
      </c>
      <c r="D220" s="13">
        <v>0</v>
      </c>
      <c r="E220" s="13">
        <v>0</v>
      </c>
      <c r="F220" s="13">
        <v>1</v>
      </c>
      <c r="G220" s="13">
        <v>0</v>
      </c>
      <c r="H220" s="13">
        <v>59.3</v>
      </c>
      <c r="I220" s="13">
        <v>40.7</v>
      </c>
      <c r="J220" s="13">
        <v>12</v>
      </c>
      <c r="K220" s="13">
        <v>76.9</v>
      </c>
      <c r="L220" s="13">
        <v>11</v>
      </c>
      <c r="M220" s="13">
        <v>0.262202043132804</v>
      </c>
      <c r="N220" s="19">
        <v>462</v>
      </c>
      <c r="O220" s="13">
        <v>0.241203178206583</v>
      </c>
      <c r="P220" s="19">
        <v>425</v>
      </c>
      <c r="Q220" s="13">
        <v>0.497162315550511</v>
      </c>
      <c r="R220" s="19">
        <v>876</v>
      </c>
      <c r="S220" s="14">
        <v>1762</v>
      </c>
      <c r="T220" s="13">
        <v>75.8</v>
      </c>
      <c r="U220" s="13">
        <v>22.3</v>
      </c>
      <c r="V220" s="13">
        <v>153.7</v>
      </c>
      <c r="W220" s="13">
        <v>5.5</v>
      </c>
      <c r="X220" s="13">
        <v>0.563613138644287</v>
      </c>
    </row>
    <row r="221" ht="17" spans="1:24">
      <c r="A221" s="13">
        <v>2020</v>
      </c>
      <c r="B221" s="13">
        <v>140000</v>
      </c>
      <c r="C221" s="13" t="s">
        <v>72</v>
      </c>
      <c r="D221" s="13">
        <v>0</v>
      </c>
      <c r="E221" s="13">
        <v>0</v>
      </c>
      <c r="F221" s="13">
        <v>1</v>
      </c>
      <c r="G221" s="13">
        <v>0</v>
      </c>
      <c r="H221" s="13">
        <v>60.2</v>
      </c>
      <c r="I221" s="13">
        <v>39.8</v>
      </c>
      <c r="J221" s="13">
        <v>12.2</v>
      </c>
      <c r="K221" s="13">
        <v>76.3</v>
      </c>
      <c r="L221" s="13">
        <v>11.5</v>
      </c>
      <c r="M221" s="13">
        <v>0.243958573072497</v>
      </c>
      <c r="N221" s="19">
        <v>424</v>
      </c>
      <c r="O221" s="13">
        <v>0.252013808975834</v>
      </c>
      <c r="P221" s="19">
        <v>438</v>
      </c>
      <c r="Q221" s="13">
        <v>0.504027617951669</v>
      </c>
      <c r="R221" s="19">
        <v>876</v>
      </c>
      <c r="S221" s="14">
        <v>1738</v>
      </c>
      <c r="T221" s="13">
        <v>75.2</v>
      </c>
      <c r="U221" s="13">
        <v>23.1</v>
      </c>
      <c r="V221" s="13">
        <v>152.2</v>
      </c>
      <c r="W221" s="13">
        <v>5.7</v>
      </c>
      <c r="X221" s="13">
        <v>0.583632647022015</v>
      </c>
    </row>
    <row r="222" ht="17" spans="1:24">
      <c r="A222" s="13">
        <v>2021</v>
      </c>
      <c r="B222" s="13">
        <v>140000</v>
      </c>
      <c r="C222" s="13" t="s">
        <v>72</v>
      </c>
      <c r="D222" s="13">
        <v>0</v>
      </c>
      <c r="E222" s="13">
        <v>0</v>
      </c>
      <c r="F222" s="13">
        <v>1</v>
      </c>
      <c r="G222" s="13">
        <v>0</v>
      </c>
      <c r="H222" s="13">
        <v>60.395</v>
      </c>
      <c r="I222" s="13">
        <v>39.605</v>
      </c>
      <c r="J222" s="13">
        <v>11.295</v>
      </c>
      <c r="K222" s="13">
        <v>77.42</v>
      </c>
      <c r="L222" s="13">
        <v>11.285</v>
      </c>
      <c r="M222" s="13">
        <v>0.233819241982507</v>
      </c>
      <c r="N222" s="19">
        <v>401</v>
      </c>
      <c r="O222" s="13">
        <v>0.254810495626822</v>
      </c>
      <c r="P222" s="19">
        <v>437</v>
      </c>
      <c r="Q222" s="13">
        <v>0.511370262390671</v>
      </c>
      <c r="R222" s="19">
        <v>877</v>
      </c>
      <c r="S222" s="14">
        <v>1715</v>
      </c>
      <c r="T222" s="13">
        <v>74.1</v>
      </c>
      <c r="U222" s="13">
        <v>22.9</v>
      </c>
      <c r="V222" s="13">
        <v>154.5</v>
      </c>
      <c r="W222" s="13">
        <v>6</v>
      </c>
      <c r="X222" s="13">
        <v>0.604848427409078</v>
      </c>
    </row>
    <row r="223" ht="17" spans="1:24">
      <c r="A223" s="13">
        <v>2022</v>
      </c>
      <c r="B223" s="13">
        <v>140000</v>
      </c>
      <c r="C223" s="13" t="s">
        <v>72</v>
      </c>
      <c r="D223" s="13">
        <v>0</v>
      </c>
      <c r="E223" s="13">
        <v>0</v>
      </c>
      <c r="F223" s="13">
        <v>1</v>
      </c>
      <c r="G223" s="13">
        <v>0</v>
      </c>
      <c r="H223" s="13">
        <v>61.067</v>
      </c>
      <c r="I223" s="13">
        <v>38.933</v>
      </c>
      <c r="J223" s="13">
        <v>12.686</v>
      </c>
      <c r="K223" s="13">
        <v>74.785</v>
      </c>
      <c r="L223" s="13">
        <v>12.528</v>
      </c>
      <c r="M223" s="13">
        <v>0.247607655502392</v>
      </c>
      <c r="N223" s="19">
        <v>414</v>
      </c>
      <c r="O223" s="13">
        <v>0.257775119617225</v>
      </c>
      <c r="P223" s="19">
        <v>431</v>
      </c>
      <c r="Q223" s="13">
        <v>0.494617224880383</v>
      </c>
      <c r="R223" s="19">
        <v>827</v>
      </c>
      <c r="S223" s="14">
        <v>1672</v>
      </c>
      <c r="T223" s="13">
        <v>70.5</v>
      </c>
      <c r="U223" s="13">
        <v>23.1</v>
      </c>
      <c r="V223" s="13">
        <v>152</v>
      </c>
      <c r="W223" s="13">
        <v>6.2</v>
      </c>
      <c r="X223" s="13">
        <v>0.624998886721422</v>
      </c>
    </row>
    <row r="224" ht="17" spans="1:24">
      <c r="A224" s="13">
        <v>2013</v>
      </c>
      <c r="B224" s="13">
        <v>610000</v>
      </c>
      <c r="C224" s="13" t="s">
        <v>73</v>
      </c>
      <c r="D224" s="13">
        <v>1</v>
      </c>
      <c r="E224" s="13">
        <v>0</v>
      </c>
      <c r="F224" s="13">
        <v>0</v>
      </c>
      <c r="G224" s="13">
        <v>0</v>
      </c>
      <c r="H224" s="13">
        <v>52.5259999999998</v>
      </c>
      <c r="I224" s="13">
        <v>47.4740000000002</v>
      </c>
      <c r="J224" s="13">
        <v>12.432</v>
      </c>
      <c r="K224" s="13">
        <v>80.386</v>
      </c>
      <c r="L224" s="13">
        <v>7.182</v>
      </c>
      <c r="M224" s="13">
        <v>0.378468899521531</v>
      </c>
      <c r="N224" s="19">
        <v>791</v>
      </c>
      <c r="O224" s="13">
        <v>0.156459330143541</v>
      </c>
      <c r="P224" s="19">
        <v>327</v>
      </c>
      <c r="Q224" s="13">
        <v>0.230622009569378</v>
      </c>
      <c r="R224" s="19">
        <v>482</v>
      </c>
      <c r="S224" s="14">
        <v>2090</v>
      </c>
      <c r="T224" s="13">
        <v>73.8</v>
      </c>
      <c r="U224" s="13">
        <v>45.2</v>
      </c>
      <c r="V224" s="13">
        <v>146.5</v>
      </c>
      <c r="W224" s="13">
        <v>8.7</v>
      </c>
      <c r="X224" s="13">
        <v>0.746120078161861</v>
      </c>
    </row>
    <row r="225" ht="17" spans="1:24">
      <c r="A225" s="13">
        <v>2014</v>
      </c>
      <c r="B225" s="13">
        <v>610000</v>
      </c>
      <c r="C225" s="13" t="s">
        <v>73</v>
      </c>
      <c r="D225" s="13">
        <v>1</v>
      </c>
      <c r="E225" s="13">
        <v>0</v>
      </c>
      <c r="F225" s="13">
        <v>0</v>
      </c>
      <c r="G225" s="13">
        <v>0</v>
      </c>
      <c r="H225" s="13">
        <v>56.4</v>
      </c>
      <c r="I225" s="13">
        <v>43.6</v>
      </c>
      <c r="J225" s="13">
        <v>13.2</v>
      </c>
      <c r="K225" s="13">
        <v>78.4</v>
      </c>
      <c r="L225" s="13">
        <v>8.4</v>
      </c>
      <c r="M225" s="13">
        <v>0.378391242265588</v>
      </c>
      <c r="N225" s="19">
        <v>795</v>
      </c>
      <c r="O225" s="13">
        <v>0.162303664921466</v>
      </c>
      <c r="P225" s="19">
        <v>341</v>
      </c>
      <c r="Q225" s="13">
        <v>0.255592574964303</v>
      </c>
      <c r="R225" s="19">
        <v>537</v>
      </c>
      <c r="S225" s="14">
        <v>2101</v>
      </c>
      <c r="T225" s="13">
        <v>81.5</v>
      </c>
      <c r="U225" s="13">
        <v>44.4</v>
      </c>
      <c r="V225" s="13">
        <v>151.8</v>
      </c>
      <c r="W225" s="13">
        <v>10.7</v>
      </c>
      <c r="X225" s="13">
        <v>0.755944661810217</v>
      </c>
    </row>
    <row r="226" ht="17" spans="1:24">
      <c r="A226" s="13">
        <v>2015</v>
      </c>
      <c r="B226" s="13">
        <v>610000</v>
      </c>
      <c r="C226" s="13" t="s">
        <v>73</v>
      </c>
      <c r="D226" s="13">
        <v>1</v>
      </c>
      <c r="E226" s="13">
        <v>0</v>
      </c>
      <c r="F226" s="13">
        <v>0</v>
      </c>
      <c r="G226" s="13">
        <v>0</v>
      </c>
      <c r="H226" s="13">
        <v>60.274</v>
      </c>
      <c r="I226" s="13">
        <v>39.726</v>
      </c>
      <c r="J226" s="13">
        <v>17.337</v>
      </c>
      <c r="K226" s="13">
        <v>69.368</v>
      </c>
      <c r="L226" s="13">
        <v>7.579</v>
      </c>
      <c r="M226" s="13">
        <v>0.381110583768391</v>
      </c>
      <c r="N226" s="19">
        <v>803</v>
      </c>
      <c r="O226" s="13">
        <v>0.161841480778358</v>
      </c>
      <c r="P226" s="19">
        <v>341</v>
      </c>
      <c r="Q226" s="13">
        <v>0.297104888467015</v>
      </c>
      <c r="R226" s="19">
        <v>626</v>
      </c>
      <c r="S226" s="14">
        <v>2107</v>
      </c>
      <c r="T226" s="13">
        <v>85.4</v>
      </c>
      <c r="U226" s="13">
        <v>43.6</v>
      </c>
      <c r="V226" s="13">
        <v>151.6</v>
      </c>
      <c r="W226" s="13">
        <v>11.1</v>
      </c>
      <c r="X226" s="13">
        <v>0.770024639671951</v>
      </c>
    </row>
    <row r="227" ht="17" spans="1:24">
      <c r="A227" s="13">
        <v>2016</v>
      </c>
      <c r="B227" s="13">
        <v>610000</v>
      </c>
      <c r="C227" s="13" t="s">
        <v>73</v>
      </c>
      <c r="D227" s="13">
        <v>1</v>
      </c>
      <c r="E227" s="13">
        <v>0</v>
      </c>
      <c r="F227" s="13">
        <v>0</v>
      </c>
      <c r="G227" s="13">
        <v>0</v>
      </c>
      <c r="H227" s="13">
        <v>58.525</v>
      </c>
      <c r="I227" s="13">
        <v>41.475</v>
      </c>
      <c r="J227" s="13">
        <v>15.992</v>
      </c>
      <c r="K227" s="13">
        <v>70.295</v>
      </c>
      <c r="L227" s="13">
        <v>8.323</v>
      </c>
      <c r="M227" s="13">
        <v>0.381335859782094</v>
      </c>
      <c r="N227" s="19">
        <v>805</v>
      </c>
      <c r="O227" s="13">
        <v>0.162955945049739</v>
      </c>
      <c r="P227" s="19">
        <v>344</v>
      </c>
      <c r="Q227" s="13">
        <v>0.315490288962577</v>
      </c>
      <c r="R227" s="19">
        <v>666</v>
      </c>
      <c r="S227" s="14">
        <v>2111</v>
      </c>
      <c r="T227" s="13">
        <v>88.9</v>
      </c>
      <c r="U227" s="13">
        <v>43</v>
      </c>
      <c r="V227" s="13">
        <v>154</v>
      </c>
      <c r="W227" s="13">
        <v>11.5</v>
      </c>
      <c r="X227" s="13">
        <v>0.7953723997675</v>
      </c>
    </row>
    <row r="228" ht="17" spans="1:24">
      <c r="A228" s="13">
        <v>2017</v>
      </c>
      <c r="B228" s="13">
        <v>610000</v>
      </c>
      <c r="C228" s="13" t="s">
        <v>73</v>
      </c>
      <c r="D228" s="13">
        <v>1</v>
      </c>
      <c r="E228" s="13">
        <v>0</v>
      </c>
      <c r="F228" s="13">
        <v>0</v>
      </c>
      <c r="G228" s="13">
        <v>0</v>
      </c>
      <c r="H228" s="13">
        <v>58.055</v>
      </c>
      <c r="I228" s="13">
        <v>41.945</v>
      </c>
      <c r="J228" s="13">
        <v>15.343</v>
      </c>
      <c r="K228" s="13">
        <v>69.712</v>
      </c>
      <c r="L228" s="13">
        <v>8.897</v>
      </c>
      <c r="M228" s="13">
        <v>0.381335859782094</v>
      </c>
      <c r="N228" s="19">
        <v>805</v>
      </c>
      <c r="O228" s="13">
        <v>0.167693036475604</v>
      </c>
      <c r="P228" s="19">
        <v>354</v>
      </c>
      <c r="Q228" s="13">
        <v>0.336807200378967</v>
      </c>
      <c r="R228" s="19">
        <v>711</v>
      </c>
      <c r="S228" s="14">
        <v>2111</v>
      </c>
      <c r="T228" s="13">
        <v>89.7</v>
      </c>
      <c r="U228" s="13">
        <v>43.8</v>
      </c>
      <c r="V228" s="13">
        <v>154.8</v>
      </c>
      <c r="W228" s="13">
        <v>11.8</v>
      </c>
      <c r="X228" s="13">
        <v>0.850189404785407</v>
      </c>
    </row>
    <row r="229" ht="17" spans="1:24">
      <c r="A229" s="13">
        <v>2018</v>
      </c>
      <c r="B229" s="13">
        <v>610000</v>
      </c>
      <c r="C229" s="13" t="s">
        <v>73</v>
      </c>
      <c r="D229" s="13">
        <v>1</v>
      </c>
      <c r="E229" s="13">
        <v>0</v>
      </c>
      <c r="F229" s="13">
        <v>0</v>
      </c>
      <c r="G229" s="13">
        <v>0</v>
      </c>
      <c r="H229" s="13">
        <v>57.682</v>
      </c>
      <c r="I229" s="13">
        <v>42.318</v>
      </c>
      <c r="J229" s="13">
        <v>14.987</v>
      </c>
      <c r="K229" s="13">
        <v>69.88</v>
      </c>
      <c r="L229" s="13">
        <v>9.343</v>
      </c>
      <c r="M229" s="13">
        <v>0.380681818181818</v>
      </c>
      <c r="N229" s="19">
        <v>804</v>
      </c>
      <c r="O229" s="13">
        <v>0.159564393939394</v>
      </c>
      <c r="P229" s="19">
        <v>337</v>
      </c>
      <c r="Q229" s="13">
        <v>0.379734848484849</v>
      </c>
      <c r="R229" s="19">
        <v>802</v>
      </c>
      <c r="S229" s="14">
        <v>2112</v>
      </c>
      <c r="T229" s="13">
        <v>87.1</v>
      </c>
      <c r="U229" s="13">
        <v>39.5</v>
      </c>
      <c r="V229" s="13">
        <v>154</v>
      </c>
      <c r="W229" s="13">
        <v>11.9</v>
      </c>
      <c r="X229" s="13">
        <v>0.536425354787884</v>
      </c>
    </row>
    <row r="230" ht="17" spans="1:24">
      <c r="A230" s="13">
        <v>2019</v>
      </c>
      <c r="B230" s="13">
        <v>610000</v>
      </c>
      <c r="C230" s="13" t="s">
        <v>73</v>
      </c>
      <c r="D230" s="13">
        <v>1</v>
      </c>
      <c r="E230" s="13">
        <v>0</v>
      </c>
      <c r="F230" s="13">
        <v>0</v>
      </c>
      <c r="G230" s="13">
        <v>0</v>
      </c>
      <c r="H230" s="13">
        <v>57.7</v>
      </c>
      <c r="I230" s="13">
        <v>42.3</v>
      </c>
      <c r="J230" s="13">
        <v>14</v>
      </c>
      <c r="K230" s="13">
        <v>75.7</v>
      </c>
      <c r="L230" s="13">
        <v>10.3</v>
      </c>
      <c r="M230" s="13">
        <v>0.379848628192999</v>
      </c>
      <c r="N230" s="19">
        <v>803</v>
      </c>
      <c r="O230" s="13">
        <v>0.159413434247871</v>
      </c>
      <c r="P230" s="19">
        <v>337</v>
      </c>
      <c r="Q230" s="13">
        <v>0.457899716177862</v>
      </c>
      <c r="R230" s="19">
        <v>968</v>
      </c>
      <c r="S230" s="14">
        <v>2114</v>
      </c>
      <c r="T230" s="13">
        <v>92.2</v>
      </c>
      <c r="U230" s="13">
        <v>39.6</v>
      </c>
      <c r="V230" s="13">
        <v>167.9</v>
      </c>
      <c r="W230" s="13">
        <v>13.8</v>
      </c>
      <c r="X230" s="13">
        <v>0.559656915850755</v>
      </c>
    </row>
    <row r="231" ht="17" spans="1:24">
      <c r="A231" s="13">
        <v>2020</v>
      </c>
      <c r="B231" s="13">
        <v>610000</v>
      </c>
      <c r="C231" s="13" t="s">
        <v>73</v>
      </c>
      <c r="D231" s="13">
        <v>1</v>
      </c>
      <c r="E231" s="13">
        <v>0</v>
      </c>
      <c r="F231" s="13">
        <v>0</v>
      </c>
      <c r="G231" s="13">
        <v>0</v>
      </c>
      <c r="H231" s="13">
        <v>57.5</v>
      </c>
      <c r="I231" s="13">
        <v>42.5</v>
      </c>
      <c r="J231" s="13">
        <v>16.2</v>
      </c>
      <c r="K231" s="13">
        <v>73.3</v>
      </c>
      <c r="L231" s="13">
        <v>10.5</v>
      </c>
      <c r="M231" s="13">
        <v>0.300237529691211</v>
      </c>
      <c r="N231" s="19">
        <v>632</v>
      </c>
      <c r="O231" s="13">
        <v>0.210451306413302</v>
      </c>
      <c r="P231" s="19">
        <v>443</v>
      </c>
      <c r="Q231" s="13">
        <v>0.489311163895487</v>
      </c>
      <c r="R231" s="19">
        <v>1030</v>
      </c>
      <c r="S231" s="14">
        <v>2105</v>
      </c>
      <c r="T231" s="13">
        <v>94.8</v>
      </c>
      <c r="U231" s="13">
        <v>37.7</v>
      </c>
      <c r="V231" s="13">
        <v>169.5</v>
      </c>
      <c r="W231" s="13">
        <v>13.8</v>
      </c>
      <c r="X231" s="13">
        <v>0.583689193979571</v>
      </c>
    </row>
    <row r="232" ht="17" spans="1:24">
      <c r="A232" s="13">
        <v>2021</v>
      </c>
      <c r="B232" s="13">
        <v>610000</v>
      </c>
      <c r="C232" s="13" t="s">
        <v>73</v>
      </c>
      <c r="D232" s="13">
        <v>1</v>
      </c>
      <c r="E232" s="13">
        <v>0</v>
      </c>
      <c r="F232" s="13">
        <v>0</v>
      </c>
      <c r="G232" s="13">
        <v>0</v>
      </c>
      <c r="H232" s="13">
        <v>57.191</v>
      </c>
      <c r="I232" s="13">
        <v>42.809</v>
      </c>
      <c r="J232" s="13">
        <v>16.145</v>
      </c>
      <c r="K232" s="13">
        <v>72.689</v>
      </c>
      <c r="L232" s="13">
        <v>11.166</v>
      </c>
      <c r="M232" s="13">
        <v>0.29220468675275</v>
      </c>
      <c r="N232" s="19">
        <v>611</v>
      </c>
      <c r="O232" s="13">
        <v>0.212338593974175</v>
      </c>
      <c r="P232" s="19">
        <v>444</v>
      </c>
      <c r="Q232" s="13">
        <v>0.495456719273075</v>
      </c>
      <c r="R232" s="19">
        <v>1036</v>
      </c>
      <c r="S232" s="14">
        <v>2091</v>
      </c>
      <c r="T232" s="13">
        <v>86.1</v>
      </c>
      <c r="U232" s="13">
        <v>37</v>
      </c>
      <c r="V232" s="13">
        <v>168.6</v>
      </c>
      <c r="W232" s="13">
        <v>13.2</v>
      </c>
      <c r="X232" s="13">
        <v>0.60729726699309</v>
      </c>
    </row>
    <row r="233" ht="17" spans="1:24">
      <c r="A233" s="13">
        <v>2022</v>
      </c>
      <c r="B233" s="13">
        <v>610000</v>
      </c>
      <c r="C233" s="13" t="s">
        <v>73</v>
      </c>
      <c r="D233" s="13">
        <v>1</v>
      </c>
      <c r="E233" s="13">
        <v>0</v>
      </c>
      <c r="F233" s="13">
        <v>0</v>
      </c>
      <c r="G233" s="13">
        <v>0</v>
      </c>
      <c r="H233" s="13">
        <v>57.443</v>
      </c>
      <c r="I233" s="13">
        <v>42.557</v>
      </c>
      <c r="J233" s="13">
        <v>17.864</v>
      </c>
      <c r="K233" s="13">
        <v>70.116</v>
      </c>
      <c r="L233" s="13">
        <v>12.021</v>
      </c>
      <c r="M233" s="13">
        <v>0.314133591481123</v>
      </c>
      <c r="N233" s="19">
        <v>649</v>
      </c>
      <c r="O233" s="13">
        <v>0.208615682478219</v>
      </c>
      <c r="P233" s="19">
        <v>431</v>
      </c>
      <c r="Q233" s="13">
        <v>0.477250726040658</v>
      </c>
      <c r="R233" s="19">
        <v>986</v>
      </c>
      <c r="S233" s="14">
        <v>2066</v>
      </c>
      <c r="T233" s="13">
        <v>84.6</v>
      </c>
      <c r="U233" s="13">
        <v>36.8</v>
      </c>
      <c r="V233" s="13">
        <v>166.1</v>
      </c>
      <c r="W233" s="13">
        <v>13</v>
      </c>
      <c r="X233" s="13">
        <v>0.609911789534835</v>
      </c>
    </row>
    <row r="234" ht="17" spans="1:24">
      <c r="A234" s="13">
        <v>2013</v>
      </c>
      <c r="B234" s="13">
        <v>310000</v>
      </c>
      <c r="C234" s="13" t="s">
        <v>74</v>
      </c>
      <c r="D234" s="13">
        <v>0</v>
      </c>
      <c r="E234" s="13">
        <v>1</v>
      </c>
      <c r="F234" s="13">
        <v>0</v>
      </c>
      <c r="G234" s="13">
        <v>0</v>
      </c>
      <c r="H234" s="13">
        <v>58.352</v>
      </c>
      <c r="I234" s="13">
        <v>41.648</v>
      </c>
      <c r="J234" s="13">
        <v>6.186</v>
      </c>
      <c r="K234" s="13">
        <v>75.314</v>
      </c>
      <c r="L234" s="13">
        <v>18.499</v>
      </c>
      <c r="M234" s="13">
        <v>0.0407614190882314</v>
      </c>
      <c r="N234" s="19">
        <v>46.36</v>
      </c>
      <c r="O234" s="13">
        <v>0.392218754121423</v>
      </c>
      <c r="P234" s="19">
        <v>446.09</v>
      </c>
      <c r="Q234" s="13">
        <v>0.567019826790346</v>
      </c>
      <c r="R234" s="19">
        <v>644.9</v>
      </c>
      <c r="S234" s="14">
        <v>1137.35</v>
      </c>
      <c r="T234" s="13">
        <v>163.4</v>
      </c>
      <c r="U234" s="13">
        <v>99</v>
      </c>
      <c r="V234" s="13">
        <v>76.9</v>
      </c>
      <c r="W234" s="13">
        <v>24</v>
      </c>
      <c r="X234" s="13">
        <v>1.79167721252903</v>
      </c>
    </row>
    <row r="235" ht="17" spans="1:24">
      <c r="A235" s="13">
        <v>2014</v>
      </c>
      <c r="B235" s="13">
        <v>310000</v>
      </c>
      <c r="C235" s="13" t="s">
        <v>74</v>
      </c>
      <c r="D235" s="13">
        <v>0</v>
      </c>
      <c r="E235" s="13">
        <v>1</v>
      </c>
      <c r="F235" s="13">
        <v>0</v>
      </c>
      <c r="G235" s="13">
        <v>0</v>
      </c>
      <c r="H235" s="13">
        <v>58.6</v>
      </c>
      <c r="I235" s="13">
        <v>41.4</v>
      </c>
      <c r="J235" s="13">
        <v>4.4</v>
      </c>
      <c r="K235" s="13">
        <v>72.4</v>
      </c>
      <c r="L235" s="13">
        <v>23.2</v>
      </c>
      <c r="M235" s="13">
        <v>0.032812694507297</v>
      </c>
      <c r="N235" s="19">
        <v>44.81</v>
      </c>
      <c r="O235" s="13">
        <v>0.34919414482693</v>
      </c>
      <c r="P235" s="19">
        <v>476.87</v>
      </c>
      <c r="Q235" s="13">
        <v>0.617993160665773</v>
      </c>
      <c r="R235" s="19">
        <v>843.95</v>
      </c>
      <c r="S235" s="14">
        <v>1365.63</v>
      </c>
      <c r="T235" s="13">
        <v>180.6</v>
      </c>
      <c r="U235" s="13">
        <v>114.7</v>
      </c>
      <c r="V235" s="13">
        <v>77.5</v>
      </c>
      <c r="W235" s="13">
        <v>25.6</v>
      </c>
      <c r="X235" s="13">
        <v>1.79548354175101</v>
      </c>
    </row>
    <row r="236" ht="17" spans="1:24">
      <c r="A236" s="13">
        <v>2015</v>
      </c>
      <c r="B236" s="13">
        <v>310000</v>
      </c>
      <c r="C236" s="13" t="s">
        <v>74</v>
      </c>
      <c r="D236" s="13">
        <v>0</v>
      </c>
      <c r="E236" s="13">
        <v>1</v>
      </c>
      <c r="F236" s="13">
        <v>0</v>
      </c>
      <c r="G236" s="13">
        <v>0</v>
      </c>
      <c r="H236" s="13">
        <v>58.848</v>
      </c>
      <c r="I236" s="13">
        <v>41.152</v>
      </c>
      <c r="J236" s="13">
        <v>5.737</v>
      </c>
      <c r="K236" s="13">
        <v>59.324</v>
      </c>
      <c r="L236" s="13">
        <v>26.76</v>
      </c>
      <c r="M236" s="13">
        <v>0.0337933617821389</v>
      </c>
      <c r="N236" s="19">
        <v>46.01</v>
      </c>
      <c r="O236" s="13">
        <v>0.337669205514466</v>
      </c>
      <c r="P236" s="19">
        <v>459.74</v>
      </c>
      <c r="Q236" s="13">
        <v>0.628537432703395</v>
      </c>
      <c r="R236" s="19">
        <v>855.76</v>
      </c>
      <c r="S236" s="14">
        <v>1361.51</v>
      </c>
      <c r="T236" s="13">
        <v>185.1</v>
      </c>
      <c r="U236" s="13">
        <v>114.3</v>
      </c>
      <c r="V236" s="13">
        <v>76.6</v>
      </c>
      <c r="W236" s="13">
        <v>26.2</v>
      </c>
      <c r="X236" s="13">
        <v>1.79078218641583</v>
      </c>
    </row>
    <row r="237" ht="17" spans="1:24">
      <c r="A237" s="13">
        <v>2016</v>
      </c>
      <c r="B237" s="13">
        <v>310000</v>
      </c>
      <c r="C237" s="13" t="s">
        <v>74</v>
      </c>
      <c r="D237" s="13">
        <v>0</v>
      </c>
      <c r="E237" s="13">
        <v>1</v>
      </c>
      <c r="F237" s="13">
        <v>0</v>
      </c>
      <c r="G237" s="13">
        <v>0</v>
      </c>
      <c r="H237" s="13">
        <v>58.341</v>
      </c>
      <c r="I237" s="13">
        <v>41.659</v>
      </c>
      <c r="J237" s="13">
        <v>5.322</v>
      </c>
      <c r="K237" s="13">
        <v>58.392</v>
      </c>
      <c r="L237" s="13">
        <v>28.046</v>
      </c>
      <c r="M237" s="13">
        <v>0.0332908499604465</v>
      </c>
      <c r="N237" s="19">
        <v>45.45</v>
      </c>
      <c r="O237" s="13">
        <v>0.328513667926518</v>
      </c>
      <c r="P237" s="19">
        <v>448.5</v>
      </c>
      <c r="Q237" s="13">
        <v>0.638195482113035</v>
      </c>
      <c r="R237" s="19">
        <v>871.29</v>
      </c>
      <c r="S237" s="14">
        <v>1365.24</v>
      </c>
      <c r="T237" s="13">
        <v>188.8</v>
      </c>
      <c r="U237" s="13">
        <v>115</v>
      </c>
      <c r="V237" s="13">
        <v>77.7</v>
      </c>
      <c r="W237" s="13">
        <v>25.4</v>
      </c>
      <c r="X237" s="13">
        <v>1.76339045894173</v>
      </c>
    </row>
    <row r="238" ht="17" spans="1:24">
      <c r="A238" s="13">
        <v>2017</v>
      </c>
      <c r="B238" s="13">
        <v>310000</v>
      </c>
      <c r="C238" s="13" t="s">
        <v>74</v>
      </c>
      <c r="D238" s="13">
        <v>0</v>
      </c>
      <c r="E238" s="13">
        <v>1</v>
      </c>
      <c r="F238" s="13">
        <v>0</v>
      </c>
      <c r="G238" s="13">
        <v>0</v>
      </c>
      <c r="H238" s="13">
        <v>57.68</v>
      </c>
      <c r="I238" s="13">
        <v>42.32</v>
      </c>
      <c r="J238" s="13">
        <v>4.924</v>
      </c>
      <c r="K238" s="13">
        <v>57.413</v>
      </c>
      <c r="L238" s="13">
        <v>29.793</v>
      </c>
      <c r="M238" s="13">
        <v>0.0309182967253123</v>
      </c>
      <c r="N238" s="19">
        <v>42.44</v>
      </c>
      <c r="O238" s="13">
        <v>0.313634211197319</v>
      </c>
      <c r="P238" s="19">
        <v>430.51</v>
      </c>
      <c r="Q238" s="13">
        <v>0.655447492077369</v>
      </c>
      <c r="R238" s="19">
        <v>899.7</v>
      </c>
      <c r="S238" s="14">
        <v>1372.65</v>
      </c>
      <c r="T238" s="13">
        <v>196</v>
      </c>
      <c r="U238" s="13">
        <v>119.5</v>
      </c>
      <c r="V238" s="13">
        <v>79.8</v>
      </c>
      <c r="W238" s="13">
        <v>26.7</v>
      </c>
      <c r="X238" s="13">
        <v>1.7642256090377</v>
      </c>
    </row>
    <row r="239" ht="17" spans="1:24">
      <c r="A239" s="13">
        <v>2018</v>
      </c>
      <c r="B239" s="13">
        <v>310000</v>
      </c>
      <c r="C239" s="13" t="s">
        <v>74</v>
      </c>
      <c r="D239" s="13">
        <v>0</v>
      </c>
      <c r="E239" s="13">
        <v>1</v>
      </c>
      <c r="F239" s="13">
        <v>0</v>
      </c>
      <c r="G239" s="13">
        <v>0</v>
      </c>
      <c r="H239" s="13">
        <v>57.563</v>
      </c>
      <c r="I239" s="13">
        <v>42.437</v>
      </c>
      <c r="J239" s="13">
        <v>4.969</v>
      </c>
      <c r="K239" s="13">
        <v>56.463</v>
      </c>
      <c r="L239" s="13">
        <v>30.879</v>
      </c>
      <c r="M239" s="13">
        <v>0.0296802989110681</v>
      </c>
      <c r="N239" s="19">
        <v>40.83</v>
      </c>
      <c r="O239" s="13">
        <v>0.307357922742538</v>
      </c>
      <c r="P239" s="19">
        <v>422.82</v>
      </c>
      <c r="Q239" s="13">
        <v>0.662961778346394</v>
      </c>
      <c r="R239" s="19">
        <v>912.01</v>
      </c>
      <c r="S239" s="14">
        <v>1375.66</v>
      </c>
      <c r="T239" s="13">
        <v>204.4</v>
      </c>
      <c r="U239" s="13">
        <v>128</v>
      </c>
      <c r="V239" s="13">
        <v>82.5</v>
      </c>
      <c r="W239" s="13">
        <v>26.6</v>
      </c>
      <c r="X239" s="13">
        <v>1.76868693393198</v>
      </c>
    </row>
    <row r="240" ht="17" spans="1:24">
      <c r="A240" s="13">
        <v>2019</v>
      </c>
      <c r="B240" s="13">
        <v>310000</v>
      </c>
      <c r="C240" s="13" t="s">
        <v>74</v>
      </c>
      <c r="D240" s="13">
        <v>0</v>
      </c>
      <c r="E240" s="13">
        <v>1</v>
      </c>
      <c r="F240" s="13">
        <v>0</v>
      </c>
      <c r="G240" s="13">
        <v>0</v>
      </c>
      <c r="H240" s="13">
        <v>58.4</v>
      </c>
      <c r="I240" s="13">
        <v>41.6</v>
      </c>
      <c r="J240" s="13">
        <v>5.3</v>
      </c>
      <c r="K240" s="13">
        <v>63.3</v>
      </c>
      <c r="L240" s="13">
        <v>31.2</v>
      </c>
      <c r="M240" s="13">
        <v>0.029646853654992</v>
      </c>
      <c r="N240" s="19">
        <v>40.8</v>
      </c>
      <c r="O240" s="13">
        <v>0.243910768783607</v>
      </c>
      <c r="P240" s="19">
        <v>335.67</v>
      </c>
      <c r="Q240" s="13">
        <v>0.726442377561401</v>
      </c>
      <c r="R240" s="19">
        <v>999.73</v>
      </c>
      <c r="S240" s="14">
        <v>1376.2</v>
      </c>
      <c r="T240" s="13">
        <v>242.7</v>
      </c>
      <c r="U240" s="13">
        <v>147.3</v>
      </c>
      <c r="V240" s="13">
        <v>108.9</v>
      </c>
      <c r="W240" s="13">
        <v>30.1</v>
      </c>
      <c r="X240" s="13">
        <v>1.76853025399793</v>
      </c>
    </row>
    <row r="241" ht="17" spans="1:24">
      <c r="A241" s="13">
        <v>2020</v>
      </c>
      <c r="B241" s="13">
        <v>310000</v>
      </c>
      <c r="C241" s="13" t="s">
        <v>74</v>
      </c>
      <c r="D241" s="13">
        <v>0</v>
      </c>
      <c r="E241" s="13">
        <v>1</v>
      </c>
      <c r="F241" s="13">
        <v>0</v>
      </c>
      <c r="G241" s="13">
        <v>0</v>
      </c>
      <c r="H241" s="13">
        <v>57.8</v>
      </c>
      <c r="I241" s="13">
        <v>42.2</v>
      </c>
      <c r="J241" s="13">
        <v>5.3</v>
      </c>
      <c r="K241" s="13">
        <v>62.5</v>
      </c>
      <c r="L241" s="13">
        <v>32.2</v>
      </c>
      <c r="M241" s="13">
        <v>0.0196506550218341</v>
      </c>
      <c r="N241" s="19">
        <v>27</v>
      </c>
      <c r="O241" s="13">
        <v>0.326055312954876</v>
      </c>
      <c r="P241" s="19">
        <v>448</v>
      </c>
      <c r="Q241" s="13">
        <v>0.65429403202329</v>
      </c>
      <c r="R241" s="19">
        <v>899</v>
      </c>
      <c r="S241" s="14">
        <v>1374</v>
      </c>
      <c r="T241" s="13">
        <v>223.3</v>
      </c>
      <c r="U241" s="13">
        <v>132.4</v>
      </c>
      <c r="V241" s="13">
        <v>97.9</v>
      </c>
      <c r="W241" s="13">
        <v>28.5</v>
      </c>
      <c r="X241" s="13">
        <v>1.77178551712148</v>
      </c>
    </row>
    <row r="242" ht="17" spans="1:24">
      <c r="A242" s="13">
        <v>2021</v>
      </c>
      <c r="B242" s="13">
        <v>310000</v>
      </c>
      <c r="C242" s="13" t="s">
        <v>74</v>
      </c>
      <c r="D242" s="13">
        <v>0</v>
      </c>
      <c r="E242" s="13">
        <v>1</v>
      </c>
      <c r="F242" s="13">
        <v>0</v>
      </c>
      <c r="G242" s="13">
        <v>0</v>
      </c>
      <c r="H242" s="13">
        <v>58.368</v>
      </c>
      <c r="I242" s="13">
        <v>41.632</v>
      </c>
      <c r="J242" s="13">
        <v>5.085</v>
      </c>
      <c r="K242" s="13">
        <v>60.691</v>
      </c>
      <c r="L242" s="13">
        <v>34.224</v>
      </c>
      <c r="M242" s="13">
        <v>0.0183150183150183</v>
      </c>
      <c r="N242" s="19">
        <v>25</v>
      </c>
      <c r="O242" s="13">
        <v>0.326007326007326</v>
      </c>
      <c r="P242" s="19">
        <v>445</v>
      </c>
      <c r="Q242" s="13">
        <v>0.655677655677656</v>
      </c>
      <c r="R242" s="19">
        <v>895</v>
      </c>
      <c r="S242" s="14">
        <v>1365</v>
      </c>
      <c r="T242" s="13">
        <v>248</v>
      </c>
      <c r="U242" s="13">
        <v>137.7</v>
      </c>
      <c r="V242" s="13">
        <v>102.6</v>
      </c>
      <c r="W242" s="13">
        <v>28.2</v>
      </c>
      <c r="X242" s="13">
        <v>1.77244397365795</v>
      </c>
    </row>
    <row r="243" ht="17" spans="1:24">
      <c r="A243" s="13">
        <v>2022</v>
      </c>
      <c r="B243" s="13">
        <v>310000</v>
      </c>
      <c r="C243" s="13" t="s">
        <v>74</v>
      </c>
      <c r="D243" s="13">
        <v>0</v>
      </c>
      <c r="E243" s="13">
        <v>1</v>
      </c>
      <c r="F243" s="13">
        <v>0</v>
      </c>
      <c r="G243" s="13">
        <v>0</v>
      </c>
      <c r="H243" s="13">
        <v>58.222</v>
      </c>
      <c r="I243" s="13">
        <v>41.778</v>
      </c>
      <c r="J243" s="13">
        <v>5.87</v>
      </c>
      <c r="K243" s="13">
        <v>58.03</v>
      </c>
      <c r="L243" s="13">
        <v>36.101</v>
      </c>
      <c r="M243" s="13">
        <v>0.0155902004454343</v>
      </c>
      <c r="N243" s="19">
        <v>21</v>
      </c>
      <c r="O243" s="13">
        <v>0.325909428359317</v>
      </c>
      <c r="P243" s="19">
        <v>439</v>
      </c>
      <c r="Q243" s="13">
        <v>0.658500371195249</v>
      </c>
      <c r="R243" s="19">
        <v>887</v>
      </c>
      <c r="S243" s="14">
        <v>1347</v>
      </c>
      <c r="T243" s="13">
        <v>251.6</v>
      </c>
      <c r="U243" s="13">
        <v>134</v>
      </c>
      <c r="V243" s="13">
        <v>100.5</v>
      </c>
      <c r="W243" s="13">
        <v>27.4</v>
      </c>
      <c r="X243" s="13">
        <v>1.77391961002125</v>
      </c>
    </row>
    <row r="244" ht="17" spans="1:24">
      <c r="A244" s="13">
        <v>2013</v>
      </c>
      <c r="B244" s="13">
        <v>510000</v>
      </c>
      <c r="C244" s="13" t="s">
        <v>75</v>
      </c>
      <c r="D244" s="13">
        <v>1</v>
      </c>
      <c r="E244" s="13">
        <v>0</v>
      </c>
      <c r="F244" s="13">
        <v>0</v>
      </c>
      <c r="G244" s="13">
        <v>0</v>
      </c>
      <c r="H244" s="13">
        <v>50.875</v>
      </c>
      <c r="I244" s="13">
        <v>49.125</v>
      </c>
      <c r="J244" s="13">
        <v>28.491</v>
      </c>
      <c r="K244" s="13">
        <v>67.244</v>
      </c>
      <c r="L244" s="13">
        <v>4.265</v>
      </c>
      <c r="M244" s="13">
        <v>0.400086318515322</v>
      </c>
      <c r="N244" s="19">
        <v>1854</v>
      </c>
      <c r="O244" s="13">
        <v>0.250971083297367</v>
      </c>
      <c r="P244" s="19">
        <v>1163</v>
      </c>
      <c r="Q244" s="13">
        <v>0.348942598187311</v>
      </c>
      <c r="R244" s="19">
        <v>1617</v>
      </c>
      <c r="S244" s="14">
        <v>4634</v>
      </c>
      <c r="T244" s="13">
        <v>111.2</v>
      </c>
      <c r="U244" s="13">
        <v>53.3</v>
      </c>
      <c r="V244" s="13">
        <v>229.6</v>
      </c>
      <c r="W244" s="13">
        <v>15.7</v>
      </c>
      <c r="X244" s="13">
        <v>0.880021231256175</v>
      </c>
    </row>
    <row r="245" ht="17" spans="1:24">
      <c r="A245" s="13">
        <v>2014</v>
      </c>
      <c r="B245" s="13">
        <v>510000</v>
      </c>
      <c r="C245" s="13" t="s">
        <v>75</v>
      </c>
      <c r="D245" s="13">
        <v>1</v>
      </c>
      <c r="E245" s="13">
        <v>0</v>
      </c>
      <c r="F245" s="13">
        <v>0</v>
      </c>
      <c r="G245" s="13">
        <v>0</v>
      </c>
      <c r="H245" s="13">
        <v>53.8</v>
      </c>
      <c r="I245" s="13">
        <v>46.2</v>
      </c>
      <c r="J245" s="13">
        <v>28.5</v>
      </c>
      <c r="K245" s="13">
        <v>67.7</v>
      </c>
      <c r="L245" s="13">
        <v>3.9</v>
      </c>
      <c r="M245" s="13">
        <v>0.388960758947822</v>
      </c>
      <c r="N245" s="19">
        <v>1804</v>
      </c>
      <c r="O245" s="13">
        <v>0.249029754204398</v>
      </c>
      <c r="P245" s="19">
        <v>1155</v>
      </c>
      <c r="Q245" s="13">
        <v>0.362009486847779</v>
      </c>
      <c r="R245" s="19">
        <v>1679</v>
      </c>
      <c r="S245" s="14">
        <v>4638</v>
      </c>
      <c r="T245" s="13">
        <v>115.6</v>
      </c>
      <c r="U245" s="13">
        <v>51.9</v>
      </c>
      <c r="V245" s="13">
        <v>239.2</v>
      </c>
      <c r="W245" s="13">
        <v>17.7</v>
      </c>
      <c r="X245" s="13">
        <v>0.895009518523841</v>
      </c>
    </row>
    <row r="246" ht="17" spans="1:24">
      <c r="A246" s="13">
        <v>2015</v>
      </c>
      <c r="B246" s="13">
        <v>510000</v>
      </c>
      <c r="C246" s="13" t="s">
        <v>75</v>
      </c>
      <c r="D246" s="13">
        <v>1</v>
      </c>
      <c r="E246" s="13">
        <v>0</v>
      </c>
      <c r="F246" s="13">
        <v>0</v>
      </c>
      <c r="G246" s="13">
        <v>0</v>
      </c>
      <c r="H246" s="13">
        <v>56.725</v>
      </c>
      <c r="I246" s="13">
        <v>43.275</v>
      </c>
      <c r="J246" s="13">
        <v>34.033</v>
      </c>
      <c r="K246" s="13">
        <v>56.014</v>
      </c>
      <c r="L246" s="13">
        <v>5.005</v>
      </c>
      <c r="M246" s="13">
        <v>0.37798796216681</v>
      </c>
      <c r="N246" s="19">
        <v>1758.4</v>
      </c>
      <c r="O246" s="13">
        <v>0.246001719690456</v>
      </c>
      <c r="P246" s="19">
        <v>1144.4</v>
      </c>
      <c r="Q246" s="13">
        <v>0.376010318142734</v>
      </c>
      <c r="R246" s="19">
        <v>1749.2</v>
      </c>
      <c r="S246" s="14">
        <v>4652</v>
      </c>
      <c r="T246" s="13">
        <v>120.1</v>
      </c>
      <c r="U246" s="13">
        <v>49.5</v>
      </c>
      <c r="V246" s="13">
        <v>245.2</v>
      </c>
      <c r="W246" s="13">
        <v>18.6</v>
      </c>
      <c r="X246" s="13">
        <v>0.911053012850326</v>
      </c>
    </row>
    <row r="247" ht="17" spans="1:24">
      <c r="A247" s="13">
        <v>2016</v>
      </c>
      <c r="B247" s="13">
        <v>510000</v>
      </c>
      <c r="C247" s="13" t="s">
        <v>75</v>
      </c>
      <c r="D247" s="13">
        <v>1</v>
      </c>
      <c r="E247" s="13">
        <v>0</v>
      </c>
      <c r="F247" s="13">
        <v>0</v>
      </c>
      <c r="G247" s="13">
        <v>0</v>
      </c>
      <c r="H247" s="13">
        <v>54.709</v>
      </c>
      <c r="I247" s="13">
        <v>45.291</v>
      </c>
      <c r="J247" s="13">
        <v>33.246</v>
      </c>
      <c r="K247" s="13">
        <v>56.522</v>
      </c>
      <c r="L247" s="13">
        <v>5.444</v>
      </c>
      <c r="M247" s="13">
        <v>0.366974447068929</v>
      </c>
      <c r="N247" s="19">
        <v>1709</v>
      </c>
      <c r="O247" s="13">
        <v>0.243074940949109</v>
      </c>
      <c r="P247" s="19">
        <v>1132</v>
      </c>
      <c r="Q247" s="13">
        <v>0.389950611981963</v>
      </c>
      <c r="R247" s="19">
        <v>1816</v>
      </c>
      <c r="S247" s="14">
        <v>4657</v>
      </c>
      <c r="T247" s="13">
        <v>125.9</v>
      </c>
      <c r="U247" s="13">
        <v>48.5</v>
      </c>
      <c r="V247" s="13">
        <v>249</v>
      </c>
      <c r="W247" s="13">
        <v>19.8</v>
      </c>
      <c r="X247" s="13">
        <v>0.69902140966197</v>
      </c>
    </row>
    <row r="248" ht="17" spans="1:24">
      <c r="A248" s="13">
        <v>2017</v>
      </c>
      <c r="B248" s="13">
        <v>510000</v>
      </c>
      <c r="C248" s="13" t="s">
        <v>75</v>
      </c>
      <c r="D248" s="13">
        <v>1</v>
      </c>
      <c r="E248" s="13">
        <v>0</v>
      </c>
      <c r="F248" s="13">
        <v>0</v>
      </c>
      <c r="G248" s="13">
        <v>0</v>
      </c>
      <c r="H248" s="13">
        <v>54.346</v>
      </c>
      <c r="I248" s="13">
        <v>45.654</v>
      </c>
      <c r="J248" s="13">
        <v>32.811</v>
      </c>
      <c r="K248" s="13">
        <v>56.649</v>
      </c>
      <c r="L248" s="13">
        <v>5.48</v>
      </c>
      <c r="M248" s="13">
        <v>0.356010284979644</v>
      </c>
      <c r="N248" s="19">
        <v>1661.5</v>
      </c>
      <c r="O248" s="13">
        <v>0.239982858367259</v>
      </c>
      <c r="P248" s="19">
        <v>1120</v>
      </c>
      <c r="Q248" s="13">
        <v>0.404006856653096</v>
      </c>
      <c r="R248" s="19">
        <v>1885.5</v>
      </c>
      <c r="S248" s="14">
        <v>4667</v>
      </c>
      <c r="T248" s="13">
        <v>129.4</v>
      </c>
      <c r="U248" s="13">
        <v>48.5</v>
      </c>
      <c r="V248" s="13">
        <v>258.3</v>
      </c>
      <c r="W248" s="13">
        <v>21.5</v>
      </c>
      <c r="X248" s="13">
        <v>0.629477591983282</v>
      </c>
    </row>
    <row r="249" ht="17" spans="1:24">
      <c r="A249" s="13">
        <v>2018</v>
      </c>
      <c r="B249" s="13">
        <v>510000</v>
      </c>
      <c r="C249" s="13" t="s">
        <v>75</v>
      </c>
      <c r="D249" s="13">
        <v>1</v>
      </c>
      <c r="E249" s="13">
        <v>0</v>
      </c>
      <c r="F249" s="13">
        <v>0</v>
      </c>
      <c r="G249" s="13">
        <v>0</v>
      </c>
      <c r="H249" s="13">
        <v>54.233</v>
      </c>
      <c r="I249" s="13">
        <v>45.767</v>
      </c>
      <c r="J249" s="13">
        <v>33.705</v>
      </c>
      <c r="K249" s="13">
        <v>56.377</v>
      </c>
      <c r="L249" s="13">
        <v>5.459</v>
      </c>
      <c r="M249" s="13">
        <v>0.34498933901919</v>
      </c>
      <c r="N249" s="19">
        <v>1618</v>
      </c>
      <c r="O249" s="13">
        <v>0.237100213219616</v>
      </c>
      <c r="P249" s="19">
        <v>1112</v>
      </c>
      <c r="Q249" s="13">
        <v>0.417910447761194</v>
      </c>
      <c r="R249" s="19">
        <v>1960</v>
      </c>
      <c r="S249" s="14">
        <v>4690</v>
      </c>
      <c r="T249" s="13">
        <v>128</v>
      </c>
      <c r="U249" s="13">
        <v>44.4</v>
      </c>
      <c r="V249" s="13">
        <v>260.6</v>
      </c>
      <c r="W249" s="13">
        <v>21.9</v>
      </c>
      <c r="X249" s="13">
        <v>0.634232558482323</v>
      </c>
    </row>
    <row r="250" ht="17" spans="1:24">
      <c r="A250" s="13">
        <v>2019</v>
      </c>
      <c r="B250" s="13">
        <v>510000</v>
      </c>
      <c r="C250" s="13" t="s">
        <v>75</v>
      </c>
      <c r="D250" s="13">
        <v>1</v>
      </c>
      <c r="E250" s="13">
        <v>0</v>
      </c>
      <c r="F250" s="13">
        <v>0</v>
      </c>
      <c r="G250" s="13">
        <v>0</v>
      </c>
      <c r="H250" s="13">
        <v>53.9</v>
      </c>
      <c r="I250" s="13">
        <v>46.1</v>
      </c>
      <c r="J250" s="13">
        <v>29.2</v>
      </c>
      <c r="K250" s="13">
        <v>62.6</v>
      </c>
      <c r="L250" s="13">
        <v>8.1</v>
      </c>
      <c r="M250" s="13">
        <v>0.335065761561307</v>
      </c>
      <c r="N250" s="19">
        <v>1579.5</v>
      </c>
      <c r="O250" s="13">
        <v>0.232923207467119</v>
      </c>
      <c r="P250" s="19">
        <v>1098</v>
      </c>
      <c r="Q250" s="13">
        <v>0.432011030971574</v>
      </c>
      <c r="R250" s="19">
        <v>2036.5</v>
      </c>
      <c r="S250" s="14">
        <v>4714</v>
      </c>
      <c r="T250" s="13">
        <v>125.4</v>
      </c>
      <c r="U250" s="13">
        <v>48.9</v>
      </c>
      <c r="V250" s="13">
        <v>278.9</v>
      </c>
      <c r="W250" s="13">
        <v>25.2</v>
      </c>
      <c r="X250" s="13">
        <v>0.651276247897253</v>
      </c>
    </row>
    <row r="251" ht="17" spans="1:24">
      <c r="A251" s="13">
        <v>2020</v>
      </c>
      <c r="B251" s="13">
        <v>510000</v>
      </c>
      <c r="C251" s="13" t="s">
        <v>75</v>
      </c>
      <c r="D251" s="13">
        <v>1</v>
      </c>
      <c r="E251" s="13">
        <v>0</v>
      </c>
      <c r="F251" s="13">
        <v>0</v>
      </c>
      <c r="G251" s="13">
        <v>0</v>
      </c>
      <c r="H251" s="13">
        <v>54.1</v>
      </c>
      <c r="I251" s="13">
        <v>45.9</v>
      </c>
      <c r="J251" s="13">
        <v>30.3</v>
      </c>
      <c r="K251" s="13">
        <v>61.6</v>
      </c>
      <c r="L251" s="13">
        <v>8.1</v>
      </c>
      <c r="M251" s="13">
        <v>0.324973656480506</v>
      </c>
      <c r="N251" s="19">
        <v>1542</v>
      </c>
      <c r="O251" s="13">
        <v>0.231401475237092</v>
      </c>
      <c r="P251" s="19">
        <v>1098</v>
      </c>
      <c r="Q251" s="13">
        <v>0.443624868282403</v>
      </c>
      <c r="R251" s="19">
        <v>2105</v>
      </c>
      <c r="S251" s="14">
        <v>4745</v>
      </c>
      <c r="T251" s="13">
        <v>145.1</v>
      </c>
      <c r="U251" s="13">
        <v>57.9</v>
      </c>
      <c r="V251" s="13">
        <v>298.9</v>
      </c>
      <c r="W251" s="13">
        <v>29.7</v>
      </c>
      <c r="X251" s="13">
        <v>0.685799235002473</v>
      </c>
    </row>
    <row r="252" ht="17" spans="1:24">
      <c r="A252" s="13">
        <v>2021</v>
      </c>
      <c r="B252" s="13">
        <v>510000</v>
      </c>
      <c r="C252" s="13" t="s">
        <v>75</v>
      </c>
      <c r="D252" s="13">
        <v>1</v>
      </c>
      <c r="E252" s="13">
        <v>0</v>
      </c>
      <c r="F252" s="13">
        <v>0</v>
      </c>
      <c r="G252" s="13">
        <v>0</v>
      </c>
      <c r="H252" s="13">
        <v>55.598</v>
      </c>
      <c r="I252" s="13">
        <v>44.402</v>
      </c>
      <c r="J252" s="13">
        <v>29.921</v>
      </c>
      <c r="K252" s="13">
        <v>61.738</v>
      </c>
      <c r="L252" s="13">
        <v>8.341</v>
      </c>
      <c r="M252" s="13">
        <v>0.318595303575206</v>
      </c>
      <c r="N252" s="19">
        <v>1506</v>
      </c>
      <c r="O252" s="13">
        <v>0.23503279035329</v>
      </c>
      <c r="P252" s="19">
        <v>1111</v>
      </c>
      <c r="Q252" s="13">
        <v>0.446371906071504</v>
      </c>
      <c r="R252" s="19">
        <v>2110</v>
      </c>
      <c r="S252" s="14">
        <v>4727</v>
      </c>
      <c r="T252" s="13">
        <v>154.3</v>
      </c>
      <c r="U252" s="13">
        <v>62.1</v>
      </c>
      <c r="V252" s="13">
        <v>299.7</v>
      </c>
      <c r="W252" s="13">
        <v>31.9</v>
      </c>
      <c r="X252" s="13">
        <v>0.726421004748444</v>
      </c>
    </row>
    <row r="253" ht="17" spans="1:24">
      <c r="A253" s="13">
        <v>2022</v>
      </c>
      <c r="B253" s="13">
        <v>510000</v>
      </c>
      <c r="C253" s="13" t="s">
        <v>75</v>
      </c>
      <c r="D253" s="13">
        <v>1</v>
      </c>
      <c r="E253" s="13">
        <v>0</v>
      </c>
      <c r="F253" s="13">
        <v>0</v>
      </c>
      <c r="G253" s="13">
        <v>0</v>
      </c>
      <c r="H253" s="13">
        <v>55.228</v>
      </c>
      <c r="I253" s="13">
        <v>44.772</v>
      </c>
      <c r="J253" s="13">
        <v>32.775</v>
      </c>
      <c r="K253" s="13">
        <v>58.804</v>
      </c>
      <c r="L253" s="13">
        <v>8.421</v>
      </c>
      <c r="M253" s="13">
        <v>0.34041648958776</v>
      </c>
      <c r="N253" s="19">
        <v>1602</v>
      </c>
      <c r="O253" s="13">
        <v>0.228219294517637</v>
      </c>
      <c r="P253" s="19">
        <v>1074</v>
      </c>
      <c r="Q253" s="13">
        <v>0.431364215894603</v>
      </c>
      <c r="R253" s="19">
        <v>2030</v>
      </c>
      <c r="S253" s="14">
        <v>4706</v>
      </c>
      <c r="T253" s="13">
        <v>157.2</v>
      </c>
      <c r="U253" s="13">
        <v>64.2</v>
      </c>
      <c r="V253" s="13">
        <v>312</v>
      </c>
      <c r="W253" s="13">
        <v>30.9</v>
      </c>
      <c r="X253" s="13">
        <v>0.745260191097074</v>
      </c>
    </row>
    <row r="254" ht="17" spans="1:24">
      <c r="A254" s="13">
        <v>2013</v>
      </c>
      <c r="B254" s="13">
        <v>120000</v>
      </c>
      <c r="C254" s="13" t="s">
        <v>76</v>
      </c>
      <c r="D254" s="13">
        <v>0</v>
      </c>
      <c r="E254" s="13">
        <v>1</v>
      </c>
      <c r="F254" s="13">
        <v>0</v>
      </c>
      <c r="G254" s="13">
        <v>0</v>
      </c>
      <c r="H254" s="13">
        <v>64.1730000000007</v>
      </c>
      <c r="I254" s="13">
        <v>35.8269999999993</v>
      </c>
      <c r="J254" s="13">
        <v>8.055</v>
      </c>
      <c r="K254" s="13">
        <v>75.424</v>
      </c>
      <c r="L254" s="13">
        <v>16.522</v>
      </c>
      <c r="M254" s="13">
        <v>0.0787623066104079</v>
      </c>
      <c r="N254" s="19">
        <v>56</v>
      </c>
      <c r="O254" s="13">
        <v>0.424753867791842</v>
      </c>
      <c r="P254" s="19">
        <v>302</v>
      </c>
      <c r="Q254" s="13">
        <v>0.49648382559775</v>
      </c>
      <c r="R254" s="19">
        <v>353</v>
      </c>
      <c r="S254" s="14">
        <v>711</v>
      </c>
      <c r="T254" s="13">
        <v>42.5</v>
      </c>
      <c r="U254" s="13">
        <v>36.9</v>
      </c>
      <c r="V254" s="13">
        <v>47.8</v>
      </c>
      <c r="W254" s="13">
        <v>9.1</v>
      </c>
      <c r="X254" s="13">
        <v>1.33733084874434</v>
      </c>
    </row>
    <row r="255" ht="17" spans="1:24">
      <c r="A255" s="13">
        <v>2014</v>
      </c>
      <c r="B255" s="13">
        <v>120000</v>
      </c>
      <c r="C255" s="13" t="s">
        <v>76</v>
      </c>
      <c r="D255" s="13">
        <v>0</v>
      </c>
      <c r="E255" s="13">
        <v>1</v>
      </c>
      <c r="F255" s="13">
        <v>0</v>
      </c>
      <c r="G255" s="13">
        <v>0</v>
      </c>
      <c r="H255" s="13">
        <v>61.1</v>
      </c>
      <c r="I255" s="13">
        <v>38.9</v>
      </c>
      <c r="J255" s="13">
        <v>6.9</v>
      </c>
      <c r="K255" s="13">
        <v>77.3</v>
      </c>
      <c r="L255" s="13">
        <v>15.9</v>
      </c>
      <c r="M255" s="13">
        <v>0.0779944289693593</v>
      </c>
      <c r="N255" s="19">
        <v>56</v>
      </c>
      <c r="O255" s="13">
        <v>0.389972144846797</v>
      </c>
      <c r="P255" s="19">
        <v>280</v>
      </c>
      <c r="Q255" s="13">
        <v>0.532033426183844</v>
      </c>
      <c r="R255" s="19">
        <v>382</v>
      </c>
      <c r="S255" s="14">
        <v>718</v>
      </c>
      <c r="T255" s="13">
        <v>44.4</v>
      </c>
      <c r="U255" s="13">
        <v>36.4</v>
      </c>
      <c r="V255" s="13">
        <v>46.2</v>
      </c>
      <c r="W255" s="13">
        <v>6.7</v>
      </c>
      <c r="X255" s="13">
        <v>1.33499577282353</v>
      </c>
    </row>
    <row r="256" ht="17" spans="1:24">
      <c r="A256" s="13">
        <v>2015</v>
      </c>
      <c r="B256" s="13">
        <v>120000</v>
      </c>
      <c r="C256" s="13" t="s">
        <v>76</v>
      </c>
      <c r="D256" s="13">
        <v>0</v>
      </c>
      <c r="E256" s="13">
        <v>1</v>
      </c>
      <c r="F256" s="13">
        <v>0</v>
      </c>
      <c r="G256" s="13">
        <v>0</v>
      </c>
      <c r="H256" s="13">
        <v>58.027</v>
      </c>
      <c r="I256" s="13">
        <v>41.973</v>
      </c>
      <c r="J256" s="13">
        <v>8.868</v>
      </c>
      <c r="K256" s="13">
        <v>60.419</v>
      </c>
      <c r="L256" s="13">
        <v>19.613</v>
      </c>
      <c r="M256" s="13">
        <v>0.0738161559888579</v>
      </c>
      <c r="N256" s="19">
        <v>53</v>
      </c>
      <c r="O256" s="13">
        <v>0.356545961002786</v>
      </c>
      <c r="P256" s="19">
        <v>256</v>
      </c>
      <c r="Q256" s="13">
        <v>0.569637883008356</v>
      </c>
      <c r="R256" s="19">
        <v>409</v>
      </c>
      <c r="S256" s="14">
        <v>718</v>
      </c>
      <c r="T256" s="13">
        <v>51</v>
      </c>
      <c r="U256" s="13">
        <v>36.2</v>
      </c>
      <c r="V256" s="13">
        <v>48.3</v>
      </c>
      <c r="W256" s="13">
        <v>7.3</v>
      </c>
      <c r="X256" s="13">
        <v>1.31874089092279</v>
      </c>
    </row>
    <row r="257" ht="17" spans="1:24">
      <c r="A257" s="13">
        <v>2016</v>
      </c>
      <c r="B257" s="13">
        <v>120000</v>
      </c>
      <c r="C257" s="13" t="s">
        <v>76</v>
      </c>
      <c r="D257" s="13">
        <v>0</v>
      </c>
      <c r="E257" s="13">
        <v>1</v>
      </c>
      <c r="F257" s="13">
        <v>0</v>
      </c>
      <c r="G257" s="13">
        <v>0</v>
      </c>
      <c r="H257" s="13">
        <v>58.291</v>
      </c>
      <c r="I257" s="13">
        <v>41.709</v>
      </c>
      <c r="J257" s="13">
        <v>9.044</v>
      </c>
      <c r="K257" s="13">
        <v>59.51</v>
      </c>
      <c r="L257" s="13">
        <v>19.78</v>
      </c>
      <c r="M257" s="13">
        <v>0.0723404255319149</v>
      </c>
      <c r="N257" s="19">
        <v>51</v>
      </c>
      <c r="O257" s="13">
        <v>0.339007092198582</v>
      </c>
      <c r="P257" s="19">
        <v>239</v>
      </c>
      <c r="Q257" s="13">
        <v>0.588652482269504</v>
      </c>
      <c r="R257" s="19">
        <v>415</v>
      </c>
      <c r="S257" s="14">
        <v>705</v>
      </c>
      <c r="T257" s="13">
        <v>56.3</v>
      </c>
      <c r="U257" s="13">
        <v>34.8</v>
      </c>
      <c r="V257" s="13">
        <v>49.9</v>
      </c>
      <c r="W257" s="13">
        <v>8</v>
      </c>
      <c r="X257" s="13">
        <v>1.32830484737229</v>
      </c>
    </row>
    <row r="258" ht="17" spans="1:24">
      <c r="A258" s="13">
        <v>2017</v>
      </c>
      <c r="B258" s="13">
        <v>120000</v>
      </c>
      <c r="C258" s="13" t="s">
        <v>76</v>
      </c>
      <c r="D258" s="13">
        <v>0</v>
      </c>
      <c r="E258" s="13">
        <v>1</v>
      </c>
      <c r="F258" s="13">
        <v>0</v>
      </c>
      <c r="G258" s="13">
        <v>0</v>
      </c>
      <c r="H258" s="13">
        <v>57.557</v>
      </c>
      <c r="I258" s="13">
        <v>42.443</v>
      </c>
      <c r="J258" s="13">
        <v>7.544</v>
      </c>
      <c r="K258" s="13">
        <v>59.801</v>
      </c>
      <c r="L258" s="13">
        <v>20.973</v>
      </c>
      <c r="M258" s="13">
        <v>0.0701754385964912</v>
      </c>
      <c r="N258" s="19">
        <v>48</v>
      </c>
      <c r="O258" s="13">
        <v>0.324561403508772</v>
      </c>
      <c r="P258" s="19">
        <v>222</v>
      </c>
      <c r="Q258" s="13">
        <v>0.605263157894737</v>
      </c>
      <c r="R258" s="19">
        <v>414</v>
      </c>
      <c r="S258" s="14">
        <v>684</v>
      </c>
      <c r="T258" s="13">
        <v>63.6</v>
      </c>
      <c r="U258" s="13">
        <v>29.2</v>
      </c>
      <c r="V258" s="13">
        <v>50.7</v>
      </c>
      <c r="W258" s="13">
        <v>8.2</v>
      </c>
      <c r="X258" s="13">
        <v>1.31627444916022</v>
      </c>
    </row>
    <row r="259" ht="17" spans="1:24">
      <c r="A259" s="13">
        <v>2018</v>
      </c>
      <c r="B259" s="13">
        <v>120000</v>
      </c>
      <c r="C259" s="13" t="s">
        <v>76</v>
      </c>
      <c r="D259" s="13">
        <v>0</v>
      </c>
      <c r="E259" s="13">
        <v>1</v>
      </c>
      <c r="F259" s="13">
        <v>0</v>
      </c>
      <c r="G259" s="13">
        <v>0</v>
      </c>
      <c r="H259" s="13">
        <v>58.18</v>
      </c>
      <c r="I259" s="13">
        <v>41.82</v>
      </c>
      <c r="J259" s="13">
        <v>7.266</v>
      </c>
      <c r="K259" s="13">
        <v>55.632</v>
      </c>
      <c r="L259" s="13">
        <v>24.338</v>
      </c>
      <c r="M259" s="13">
        <v>0.0669642857142857</v>
      </c>
      <c r="N259" s="19">
        <v>45</v>
      </c>
      <c r="O259" s="13">
        <v>0.318452380952381</v>
      </c>
      <c r="P259" s="19">
        <v>214</v>
      </c>
      <c r="Q259" s="13">
        <v>0.614583333333333</v>
      </c>
      <c r="R259" s="19">
        <v>413</v>
      </c>
      <c r="S259" s="14">
        <v>672</v>
      </c>
      <c r="T259" s="13">
        <v>60.7</v>
      </c>
      <c r="U259" s="13">
        <v>31.8</v>
      </c>
      <c r="V259" s="13">
        <v>50.9</v>
      </c>
      <c r="W259" s="13">
        <v>10.4</v>
      </c>
      <c r="X259" s="13">
        <v>1.32426644412608</v>
      </c>
    </row>
    <row r="260" ht="17" spans="1:24">
      <c r="A260" s="13">
        <v>2019</v>
      </c>
      <c r="B260" s="13">
        <v>120000</v>
      </c>
      <c r="C260" s="13" t="s">
        <v>76</v>
      </c>
      <c r="D260" s="13">
        <v>0</v>
      </c>
      <c r="E260" s="13">
        <v>1</v>
      </c>
      <c r="F260" s="13">
        <v>0</v>
      </c>
      <c r="G260" s="13">
        <v>0</v>
      </c>
      <c r="H260" s="13">
        <v>65</v>
      </c>
      <c r="I260" s="13">
        <v>35</v>
      </c>
      <c r="J260" s="13">
        <v>6.4</v>
      </c>
      <c r="K260" s="13">
        <v>68.2</v>
      </c>
      <c r="L260" s="13">
        <v>25.5</v>
      </c>
      <c r="M260" s="13">
        <v>0.0652503793626707</v>
      </c>
      <c r="N260" s="19">
        <v>43</v>
      </c>
      <c r="O260" s="13">
        <v>0.303490136570561</v>
      </c>
      <c r="P260" s="19">
        <v>200</v>
      </c>
      <c r="Q260" s="13">
        <v>0.631259484066768</v>
      </c>
      <c r="R260" s="19">
        <v>416</v>
      </c>
      <c r="S260" s="14">
        <v>659</v>
      </c>
      <c r="T260" s="13">
        <v>67.7</v>
      </c>
      <c r="U260" s="13">
        <v>34.9</v>
      </c>
      <c r="V260" s="13">
        <v>53.2</v>
      </c>
      <c r="W260" s="13">
        <v>10.8</v>
      </c>
      <c r="X260" s="13">
        <v>1.33205011750797</v>
      </c>
    </row>
    <row r="261" ht="17" spans="1:24">
      <c r="A261" s="13">
        <v>2020</v>
      </c>
      <c r="B261" s="13">
        <v>120000</v>
      </c>
      <c r="C261" s="13" t="s">
        <v>76</v>
      </c>
      <c r="D261" s="13">
        <v>0</v>
      </c>
      <c r="E261" s="13">
        <v>1</v>
      </c>
      <c r="F261" s="13">
        <v>0</v>
      </c>
      <c r="G261" s="13">
        <v>0</v>
      </c>
      <c r="H261" s="13">
        <v>64.9</v>
      </c>
      <c r="I261" s="13">
        <v>35.1</v>
      </c>
      <c r="J261" s="13">
        <v>5.9</v>
      </c>
      <c r="K261" s="13">
        <v>69.1</v>
      </c>
      <c r="L261" s="13">
        <v>25.2</v>
      </c>
      <c r="M261" s="13">
        <v>0.0556414219474498</v>
      </c>
      <c r="N261" s="19">
        <v>36</v>
      </c>
      <c r="O261" s="13">
        <v>0.341576506955178</v>
      </c>
      <c r="P261" s="19">
        <v>221</v>
      </c>
      <c r="Q261" s="13">
        <v>0.602782071097372</v>
      </c>
      <c r="R261" s="19">
        <v>390</v>
      </c>
      <c r="S261" s="14">
        <v>647</v>
      </c>
      <c r="T261" s="13">
        <v>64.7</v>
      </c>
      <c r="U261" s="13">
        <v>31.8</v>
      </c>
      <c r="V261" s="13">
        <v>51.6</v>
      </c>
      <c r="W261" s="13">
        <v>9.2</v>
      </c>
      <c r="X261" s="13">
        <v>1.34268486701962</v>
      </c>
    </row>
    <row r="262" ht="17" spans="1:24">
      <c r="A262" s="13">
        <v>2021</v>
      </c>
      <c r="B262" s="13">
        <v>120000</v>
      </c>
      <c r="C262" s="13" t="s">
        <v>76</v>
      </c>
      <c r="D262" s="13">
        <v>0</v>
      </c>
      <c r="E262" s="13">
        <v>1</v>
      </c>
      <c r="F262" s="13">
        <v>0</v>
      </c>
      <c r="G262" s="13">
        <v>0</v>
      </c>
      <c r="H262" s="13">
        <v>59.281</v>
      </c>
      <c r="I262" s="13">
        <v>40.719</v>
      </c>
      <c r="J262" s="13">
        <v>5.775</v>
      </c>
      <c r="K262" s="13">
        <v>66.098</v>
      </c>
      <c r="L262" s="13">
        <v>28.128</v>
      </c>
      <c r="M262" s="13">
        <v>0.0530421216848674</v>
      </c>
      <c r="N262" s="19">
        <v>34</v>
      </c>
      <c r="O262" s="13">
        <v>0.341653666146646</v>
      </c>
      <c r="P262" s="19">
        <v>219</v>
      </c>
      <c r="Q262" s="13">
        <v>0.605304212168487</v>
      </c>
      <c r="R262" s="19">
        <v>388</v>
      </c>
      <c r="S262" s="14">
        <v>641</v>
      </c>
      <c r="T262" s="13">
        <v>64</v>
      </c>
      <c r="U262" s="13">
        <v>31</v>
      </c>
      <c r="V262" s="13">
        <v>56.9</v>
      </c>
      <c r="W262" s="13">
        <v>9.8</v>
      </c>
      <c r="X262" s="13">
        <v>1.35915949818886</v>
      </c>
    </row>
    <row r="263" ht="17" spans="1:24">
      <c r="A263" s="13">
        <v>2022</v>
      </c>
      <c r="B263" s="13">
        <v>120000</v>
      </c>
      <c r="C263" s="13" t="s">
        <v>76</v>
      </c>
      <c r="D263" s="13">
        <v>0</v>
      </c>
      <c r="E263" s="13">
        <v>1</v>
      </c>
      <c r="F263" s="13">
        <v>0</v>
      </c>
      <c r="G263" s="13">
        <v>0</v>
      </c>
      <c r="H263" s="13">
        <v>59.764</v>
      </c>
      <c r="I263" s="13">
        <v>40.236</v>
      </c>
      <c r="J263" s="13">
        <v>6.498</v>
      </c>
      <c r="K263" s="13">
        <v>62.772</v>
      </c>
      <c r="L263" s="13">
        <v>30.73</v>
      </c>
      <c r="M263" s="13">
        <v>0.0531400966183575</v>
      </c>
      <c r="N263" s="19">
        <v>33</v>
      </c>
      <c r="O263" s="13">
        <v>0.344605475040258</v>
      </c>
      <c r="P263" s="19">
        <v>214</v>
      </c>
      <c r="Q263" s="13">
        <v>0.602254428341385</v>
      </c>
      <c r="R263" s="19">
        <v>374</v>
      </c>
      <c r="S263" s="14">
        <v>621</v>
      </c>
      <c r="T263" s="13">
        <v>59.6</v>
      </c>
      <c r="U263" s="13">
        <v>27</v>
      </c>
      <c r="V263" s="13">
        <v>56</v>
      </c>
      <c r="W263" s="13">
        <v>9.5</v>
      </c>
      <c r="X263" s="13">
        <v>1.36966584566315</v>
      </c>
    </row>
    <row r="264" ht="34" spans="1:24">
      <c r="A264" s="13">
        <v>2013</v>
      </c>
      <c r="B264" s="13">
        <v>540000</v>
      </c>
      <c r="C264" s="13" t="s">
        <v>77</v>
      </c>
      <c r="D264" s="13">
        <v>1</v>
      </c>
      <c r="E264" s="13">
        <v>0</v>
      </c>
      <c r="F264" s="13">
        <v>0</v>
      </c>
      <c r="G264" s="13">
        <v>0</v>
      </c>
      <c r="H264" s="13">
        <v>49.5119999999997</v>
      </c>
      <c r="I264" s="13">
        <v>50.4880000000003</v>
      </c>
      <c r="J264" s="13">
        <v>64.997</v>
      </c>
      <c r="K264" s="13">
        <v>32.413</v>
      </c>
      <c r="L264" s="13">
        <v>2.58100000000002</v>
      </c>
      <c r="M264" s="13">
        <v>0.451028571428571</v>
      </c>
      <c r="N264" s="19">
        <v>78.93</v>
      </c>
      <c r="O264" s="13">
        <v>0.141028571428571</v>
      </c>
      <c r="P264" s="19">
        <v>24.68</v>
      </c>
      <c r="Q264" s="13">
        <v>0.408</v>
      </c>
      <c r="R264" s="19">
        <v>71.4</v>
      </c>
      <c r="S264" s="14">
        <v>175</v>
      </c>
      <c r="T264" s="13">
        <v>3.8</v>
      </c>
      <c r="U264" s="13">
        <v>2.3</v>
      </c>
      <c r="V264" s="13">
        <v>19.5</v>
      </c>
      <c r="W264" s="13">
        <v>0.1</v>
      </c>
      <c r="X264" s="13">
        <v>0.648266337196099</v>
      </c>
    </row>
    <row r="265" ht="34" spans="1:24">
      <c r="A265" s="13">
        <v>2014</v>
      </c>
      <c r="B265" s="13">
        <v>540000</v>
      </c>
      <c r="C265" s="13" t="s">
        <v>77</v>
      </c>
      <c r="D265" s="13">
        <v>1</v>
      </c>
      <c r="E265" s="13">
        <v>0</v>
      </c>
      <c r="F265" s="13">
        <v>0</v>
      </c>
      <c r="G265" s="13">
        <v>0</v>
      </c>
      <c r="H265" s="13">
        <v>53.4</v>
      </c>
      <c r="I265" s="13">
        <v>46.6</v>
      </c>
      <c r="J265" s="13">
        <v>66.2</v>
      </c>
      <c r="K265" s="13">
        <v>30.8</v>
      </c>
      <c r="L265" s="13">
        <v>3.07000000000002</v>
      </c>
      <c r="M265" s="13">
        <v>0.436988636363636</v>
      </c>
      <c r="N265" s="19">
        <v>76.91</v>
      </c>
      <c r="O265" s="13">
        <v>0.146988636363636</v>
      </c>
      <c r="P265" s="19">
        <v>25.87</v>
      </c>
      <c r="Q265" s="13">
        <v>0.416022727272727</v>
      </c>
      <c r="R265" s="19">
        <v>73.22</v>
      </c>
      <c r="S265" s="14">
        <v>176</v>
      </c>
      <c r="T265" s="13">
        <v>3.9</v>
      </c>
      <c r="U265" s="13">
        <v>2.4</v>
      </c>
      <c r="V265" s="13">
        <v>20.4</v>
      </c>
      <c r="W265" s="13">
        <v>0.1</v>
      </c>
      <c r="X265" s="13">
        <v>0.657645125398481</v>
      </c>
    </row>
    <row r="266" ht="34" spans="1:24">
      <c r="A266" s="13">
        <v>2015</v>
      </c>
      <c r="B266" s="13">
        <v>540000</v>
      </c>
      <c r="C266" s="13" t="s">
        <v>77</v>
      </c>
      <c r="D266" s="13">
        <v>1</v>
      </c>
      <c r="E266" s="13">
        <v>0</v>
      </c>
      <c r="F266" s="13">
        <v>0</v>
      </c>
      <c r="G266" s="13">
        <v>0</v>
      </c>
      <c r="H266" s="13">
        <v>57.288</v>
      </c>
      <c r="I266" s="13">
        <v>42.712</v>
      </c>
      <c r="J266" s="13">
        <v>71.232</v>
      </c>
      <c r="K266" s="13">
        <v>22.454</v>
      </c>
      <c r="L266" s="13">
        <v>4.194</v>
      </c>
      <c r="M266" s="13">
        <v>0.411988950276243</v>
      </c>
      <c r="N266" s="19">
        <v>74.57</v>
      </c>
      <c r="O266" s="13">
        <v>0.132983425414365</v>
      </c>
      <c r="P266" s="19">
        <v>24.07</v>
      </c>
      <c r="Q266" s="13">
        <v>0.455027624309392</v>
      </c>
      <c r="R266" s="19">
        <v>82.36</v>
      </c>
      <c r="S266" s="14">
        <v>181</v>
      </c>
      <c r="T266" s="13">
        <v>3.8</v>
      </c>
      <c r="U266" s="13">
        <v>2.6</v>
      </c>
      <c r="V266" s="13">
        <v>21</v>
      </c>
      <c r="W266" s="13">
        <v>0.2</v>
      </c>
      <c r="X266" s="13">
        <v>0.648500631195462</v>
      </c>
    </row>
    <row r="267" ht="34" spans="1:24">
      <c r="A267" s="13">
        <v>2016</v>
      </c>
      <c r="B267" s="13">
        <v>540000</v>
      </c>
      <c r="C267" s="13" t="s">
        <v>77</v>
      </c>
      <c r="D267" s="13">
        <v>1</v>
      </c>
      <c r="E267" s="13">
        <v>0</v>
      </c>
      <c r="F267" s="13">
        <v>0</v>
      </c>
      <c r="G267" s="13">
        <v>0</v>
      </c>
      <c r="H267" s="13">
        <v>59.494</v>
      </c>
      <c r="I267" s="13">
        <v>40.506</v>
      </c>
      <c r="J267" s="13">
        <v>69.644</v>
      </c>
      <c r="K267" s="13">
        <v>22.257</v>
      </c>
      <c r="L267" s="13">
        <v>5.79</v>
      </c>
      <c r="M267" s="13">
        <v>0.377243243243243</v>
      </c>
      <c r="N267" s="19">
        <v>69.79</v>
      </c>
      <c r="O267" s="13">
        <v>0.164216216216216</v>
      </c>
      <c r="P267" s="19">
        <v>30.38</v>
      </c>
      <c r="Q267" s="13">
        <v>0.458540540540541</v>
      </c>
      <c r="R267" s="19">
        <v>84.83</v>
      </c>
      <c r="S267" s="14">
        <v>185</v>
      </c>
      <c r="T267" s="13">
        <v>3.9</v>
      </c>
      <c r="U267" s="13">
        <v>2.4</v>
      </c>
      <c r="V267" s="13">
        <v>21</v>
      </c>
      <c r="W267" s="13">
        <v>0.2</v>
      </c>
      <c r="X267" s="13">
        <v>0.680715401930577</v>
      </c>
    </row>
    <row r="268" ht="34" spans="1:24">
      <c r="A268" s="13">
        <v>2017</v>
      </c>
      <c r="B268" s="13">
        <v>540000</v>
      </c>
      <c r="C268" s="13" t="s">
        <v>77</v>
      </c>
      <c r="D268" s="13">
        <v>1</v>
      </c>
      <c r="E268" s="13">
        <v>0</v>
      </c>
      <c r="F268" s="13">
        <v>0</v>
      </c>
      <c r="G268" s="13">
        <v>0</v>
      </c>
      <c r="H268" s="13">
        <v>61.46</v>
      </c>
      <c r="I268" s="13">
        <v>38.54</v>
      </c>
      <c r="J268" s="13">
        <v>70.093</v>
      </c>
      <c r="K268" s="13">
        <v>22.159</v>
      </c>
      <c r="L268" s="13">
        <v>5.777</v>
      </c>
      <c r="M268" s="13">
        <v>0.372994652406417</v>
      </c>
      <c r="N268" s="19">
        <v>69.75</v>
      </c>
      <c r="O268" s="13">
        <v>0.177005347593583</v>
      </c>
      <c r="P268" s="19">
        <v>33.1</v>
      </c>
      <c r="Q268" s="13">
        <v>0.45</v>
      </c>
      <c r="R268" s="19">
        <v>84.15</v>
      </c>
      <c r="S268" s="14">
        <v>187</v>
      </c>
      <c r="T268" s="13">
        <v>4.2</v>
      </c>
      <c r="U268" s="13">
        <v>2.4</v>
      </c>
      <c r="V268" s="13">
        <v>21.7</v>
      </c>
      <c r="W268" s="13">
        <v>0.2</v>
      </c>
      <c r="X268" s="13">
        <v>0.761868063408342</v>
      </c>
    </row>
    <row r="269" ht="34" spans="1:24">
      <c r="A269" s="13">
        <v>2018</v>
      </c>
      <c r="B269" s="13">
        <v>540000</v>
      </c>
      <c r="C269" s="13" t="s">
        <v>77</v>
      </c>
      <c r="D269" s="13">
        <v>1</v>
      </c>
      <c r="E269" s="13">
        <v>0</v>
      </c>
      <c r="F269" s="13">
        <v>0</v>
      </c>
      <c r="G269" s="13">
        <v>0</v>
      </c>
      <c r="H269" s="13">
        <v>58.59</v>
      </c>
      <c r="I269" s="13">
        <v>41.41</v>
      </c>
      <c r="J269" s="13">
        <v>65.963</v>
      </c>
      <c r="K269" s="13">
        <v>24.958</v>
      </c>
      <c r="L269" s="13">
        <v>7.521</v>
      </c>
      <c r="M269" s="13">
        <v>0.365294117647059</v>
      </c>
      <c r="N269" s="19">
        <v>68.31</v>
      </c>
      <c r="O269" s="13">
        <v>0.196951871657754</v>
      </c>
      <c r="P269" s="19">
        <v>36.83</v>
      </c>
      <c r="Q269" s="13">
        <v>0.437807486631016</v>
      </c>
      <c r="R269" s="19">
        <v>81.87</v>
      </c>
      <c r="S269" s="14">
        <v>187</v>
      </c>
      <c r="T269" s="13">
        <v>3.9</v>
      </c>
      <c r="U269" s="13">
        <v>2.5</v>
      </c>
      <c r="V269" s="13">
        <v>25.2</v>
      </c>
      <c r="W269" s="13">
        <v>0.2</v>
      </c>
      <c r="X269" s="13">
        <v>0.345889493854103</v>
      </c>
    </row>
    <row r="270" ht="34" spans="1:24">
      <c r="A270" s="13">
        <v>2019</v>
      </c>
      <c r="B270" s="13">
        <v>540000</v>
      </c>
      <c r="C270" s="13" t="s">
        <v>77</v>
      </c>
      <c r="D270" s="13">
        <v>1</v>
      </c>
      <c r="E270" s="13">
        <v>0</v>
      </c>
      <c r="F270" s="13">
        <v>0</v>
      </c>
      <c r="G270" s="13">
        <v>0</v>
      </c>
      <c r="H270" s="13">
        <v>52.5</v>
      </c>
      <c r="I270" s="13">
        <v>47.5</v>
      </c>
      <c r="J270" s="13">
        <v>68.6</v>
      </c>
      <c r="K270" s="13">
        <v>23.7</v>
      </c>
      <c r="L270" s="13">
        <v>7.6</v>
      </c>
      <c r="M270" s="13">
        <v>0.356526315789474</v>
      </c>
      <c r="N270" s="19">
        <v>67.74</v>
      </c>
      <c r="O270" s="13">
        <v>0.217368421052632</v>
      </c>
      <c r="P270" s="19">
        <v>41.3</v>
      </c>
      <c r="Q270" s="13">
        <v>0.426105263157895</v>
      </c>
      <c r="R270" s="19">
        <v>80.96</v>
      </c>
      <c r="S270" s="14">
        <v>190</v>
      </c>
      <c r="T270" s="13">
        <v>7.6</v>
      </c>
      <c r="U270" s="13">
        <v>3.8</v>
      </c>
      <c r="V270" s="13">
        <v>25.1</v>
      </c>
      <c r="W270" s="13">
        <v>0.5</v>
      </c>
      <c r="X270" s="13">
        <v>0.362447716049831</v>
      </c>
    </row>
    <row r="271" ht="34" spans="1:24">
      <c r="A271" s="13">
        <v>2020</v>
      </c>
      <c r="B271" s="13">
        <v>540000</v>
      </c>
      <c r="C271" s="13" t="s">
        <v>77</v>
      </c>
      <c r="D271" s="13">
        <v>1</v>
      </c>
      <c r="E271" s="13">
        <v>0</v>
      </c>
      <c r="F271" s="13">
        <v>0</v>
      </c>
      <c r="G271" s="13">
        <v>0</v>
      </c>
      <c r="H271" s="13">
        <v>53.3</v>
      </c>
      <c r="I271" s="13">
        <v>46.7</v>
      </c>
      <c r="J271" s="13">
        <v>70.4</v>
      </c>
      <c r="K271" s="13">
        <v>22.3</v>
      </c>
      <c r="L271" s="13">
        <v>7.4</v>
      </c>
      <c r="M271" s="13">
        <v>0.357512953367876</v>
      </c>
      <c r="N271" s="19">
        <v>69</v>
      </c>
      <c r="O271" s="13">
        <v>0.155440414507772</v>
      </c>
      <c r="P271" s="19">
        <v>30</v>
      </c>
      <c r="Q271" s="13">
        <v>0.487046632124352</v>
      </c>
      <c r="R271" s="19">
        <v>94</v>
      </c>
      <c r="S271" s="14">
        <v>193</v>
      </c>
      <c r="T271" s="13">
        <v>7.1</v>
      </c>
      <c r="U271" s="13">
        <v>4.2</v>
      </c>
      <c r="V271" s="13">
        <v>22.4</v>
      </c>
      <c r="W271" s="13">
        <v>0.6</v>
      </c>
      <c r="X271" s="13">
        <v>0.38503355385777</v>
      </c>
    </row>
    <row r="272" ht="34" spans="1:24">
      <c r="A272" s="13">
        <v>2021</v>
      </c>
      <c r="B272" s="13">
        <v>540000</v>
      </c>
      <c r="C272" s="13" t="s">
        <v>77</v>
      </c>
      <c r="D272" s="13">
        <v>1</v>
      </c>
      <c r="E272" s="13">
        <v>0</v>
      </c>
      <c r="F272" s="13">
        <v>0</v>
      </c>
      <c r="G272" s="13">
        <v>0</v>
      </c>
      <c r="H272" s="13">
        <v>58.593</v>
      </c>
      <c r="I272" s="13">
        <v>41.407</v>
      </c>
      <c r="J272" s="13">
        <v>58.131</v>
      </c>
      <c r="K272" s="13">
        <v>31.317</v>
      </c>
      <c r="L272" s="13">
        <v>10.551</v>
      </c>
      <c r="M272" s="13">
        <v>0.355670103092784</v>
      </c>
      <c r="N272" s="19">
        <v>69</v>
      </c>
      <c r="O272" s="13">
        <v>0.154639175257732</v>
      </c>
      <c r="P272" s="19">
        <v>30</v>
      </c>
      <c r="Q272" s="13">
        <v>0.489690721649485</v>
      </c>
      <c r="R272" s="19">
        <v>95</v>
      </c>
      <c r="S272" s="14">
        <v>194</v>
      </c>
      <c r="T272" s="13">
        <v>8.6</v>
      </c>
      <c r="U272" s="13">
        <v>4.3</v>
      </c>
      <c r="V272" s="13">
        <v>23.5</v>
      </c>
      <c r="W272" s="13">
        <v>0.8</v>
      </c>
      <c r="X272" s="13">
        <v>0.412963663688352</v>
      </c>
    </row>
    <row r="273" ht="34" spans="1:24">
      <c r="A273" s="13">
        <v>2022</v>
      </c>
      <c r="B273" s="13">
        <v>540000</v>
      </c>
      <c r="C273" s="13" t="s">
        <v>77</v>
      </c>
      <c r="D273" s="13">
        <v>1</v>
      </c>
      <c r="E273" s="13">
        <v>0</v>
      </c>
      <c r="F273" s="13">
        <v>0</v>
      </c>
      <c r="G273" s="13">
        <v>0</v>
      </c>
      <c r="H273" s="13">
        <v>55.718</v>
      </c>
      <c r="I273" s="13">
        <v>44.282</v>
      </c>
      <c r="J273" s="13">
        <v>63.947</v>
      </c>
      <c r="K273" s="13">
        <v>26.134</v>
      </c>
      <c r="L273" s="13">
        <v>9.919</v>
      </c>
      <c r="M273" s="13">
        <v>0.369791666666667</v>
      </c>
      <c r="N273" s="19">
        <v>71</v>
      </c>
      <c r="O273" s="13">
        <v>0.151041666666667</v>
      </c>
      <c r="P273" s="19">
        <v>29</v>
      </c>
      <c r="Q273" s="13">
        <v>0.479166666666667</v>
      </c>
      <c r="R273" s="19">
        <v>92</v>
      </c>
      <c r="S273" s="14">
        <v>192</v>
      </c>
      <c r="T273" s="13">
        <v>8.1</v>
      </c>
      <c r="U273" s="13">
        <v>3.7</v>
      </c>
      <c r="V273" s="13">
        <v>23.3</v>
      </c>
      <c r="W273" s="13">
        <v>0.7</v>
      </c>
      <c r="X273" s="13">
        <v>0.431698227491663</v>
      </c>
    </row>
    <row r="274" ht="51" spans="1:24">
      <c r="A274" s="13">
        <v>2013</v>
      </c>
      <c r="B274" s="13">
        <v>650000</v>
      </c>
      <c r="C274" s="13" t="s">
        <v>78</v>
      </c>
      <c r="D274" s="13">
        <v>1</v>
      </c>
      <c r="E274" s="13">
        <v>0</v>
      </c>
      <c r="F274" s="13">
        <v>0</v>
      </c>
      <c r="G274" s="13">
        <v>0</v>
      </c>
      <c r="H274" s="13">
        <v>53.1459999999997</v>
      </c>
      <c r="I274" s="13">
        <v>46.8540000000003</v>
      </c>
      <c r="J274" s="13">
        <v>25.69</v>
      </c>
      <c r="K274" s="13">
        <v>67.461</v>
      </c>
      <c r="L274" s="13">
        <v>6.849</v>
      </c>
      <c r="M274" s="13">
        <v>0.461746031746032</v>
      </c>
      <c r="N274" s="19">
        <v>581.8</v>
      </c>
      <c r="O274" s="13">
        <v>0.163039682539683</v>
      </c>
      <c r="P274" s="19">
        <v>205.43</v>
      </c>
      <c r="Q274" s="13">
        <v>0.326555555555556</v>
      </c>
      <c r="R274" s="19">
        <v>411.46</v>
      </c>
      <c r="S274" s="14">
        <v>1260</v>
      </c>
      <c r="T274" s="13">
        <v>41.5</v>
      </c>
      <c r="U274" s="13">
        <v>14.8</v>
      </c>
      <c r="V274" s="13">
        <v>106.4</v>
      </c>
      <c r="W274" s="13">
        <v>4</v>
      </c>
      <c r="X274" s="13">
        <v>1.02340506191533</v>
      </c>
    </row>
    <row r="275" ht="51" spans="1:24">
      <c r="A275" s="13">
        <v>2014</v>
      </c>
      <c r="B275" s="13">
        <v>650000</v>
      </c>
      <c r="C275" s="13" t="s">
        <v>78</v>
      </c>
      <c r="D275" s="13">
        <v>1</v>
      </c>
      <c r="E275" s="13">
        <v>0</v>
      </c>
      <c r="F275" s="13">
        <v>0</v>
      </c>
      <c r="G275" s="13">
        <v>0</v>
      </c>
      <c r="H275" s="13">
        <v>55.6</v>
      </c>
      <c r="I275" s="13">
        <v>44.4</v>
      </c>
      <c r="J275" s="13">
        <v>24.2</v>
      </c>
      <c r="K275" s="13">
        <v>69.8</v>
      </c>
      <c r="L275" s="13">
        <v>6</v>
      </c>
      <c r="M275" s="13">
        <v>0.453833992094862</v>
      </c>
      <c r="N275" s="19">
        <v>574.1</v>
      </c>
      <c r="O275" s="13">
        <v>0.159699604743083</v>
      </c>
      <c r="P275" s="19">
        <v>202.02</v>
      </c>
      <c r="Q275" s="13">
        <v>0.346822134387352</v>
      </c>
      <c r="R275" s="19">
        <v>438.73</v>
      </c>
      <c r="S275" s="14">
        <v>1265</v>
      </c>
      <c r="T275" s="13">
        <v>43.1</v>
      </c>
      <c r="U275" s="13">
        <v>14.4</v>
      </c>
      <c r="V275" s="13">
        <v>111.6</v>
      </c>
      <c r="W275" s="13">
        <v>4.5</v>
      </c>
      <c r="X275" s="13">
        <v>1.03639346207418</v>
      </c>
    </row>
    <row r="276" ht="51" spans="1:24">
      <c r="A276" s="13">
        <v>2015</v>
      </c>
      <c r="B276" s="13">
        <v>650000</v>
      </c>
      <c r="C276" s="13" t="s">
        <v>78</v>
      </c>
      <c r="D276" s="13">
        <v>1</v>
      </c>
      <c r="E276" s="13">
        <v>0</v>
      </c>
      <c r="F276" s="13">
        <v>0</v>
      </c>
      <c r="G276" s="13">
        <v>0</v>
      </c>
      <c r="H276" s="13">
        <v>58.054</v>
      </c>
      <c r="I276" s="13">
        <v>41.946</v>
      </c>
      <c r="J276" s="13">
        <v>19.092</v>
      </c>
      <c r="K276" s="13">
        <v>63.927</v>
      </c>
      <c r="L276" s="13">
        <v>10.654</v>
      </c>
      <c r="M276" s="13">
        <v>0.440828173374613</v>
      </c>
      <c r="N276" s="19">
        <v>569.55</v>
      </c>
      <c r="O276" s="13">
        <v>0.15155572755418</v>
      </c>
      <c r="P276" s="19">
        <v>195.81</v>
      </c>
      <c r="Q276" s="13">
        <v>0.37702786377709</v>
      </c>
      <c r="R276" s="19">
        <v>487.12</v>
      </c>
      <c r="S276" s="14">
        <v>1292</v>
      </c>
      <c r="T276" s="13">
        <v>43.5</v>
      </c>
      <c r="U276" s="13">
        <v>14.3</v>
      </c>
      <c r="V276" s="13">
        <v>116.2</v>
      </c>
      <c r="W276" s="13">
        <v>5.1</v>
      </c>
      <c r="X276" s="13">
        <v>1.04540240586178</v>
      </c>
    </row>
    <row r="277" ht="51" spans="1:24">
      <c r="A277" s="13">
        <v>2016</v>
      </c>
      <c r="B277" s="13">
        <v>650000</v>
      </c>
      <c r="C277" s="13" t="s">
        <v>78</v>
      </c>
      <c r="D277" s="13">
        <v>1</v>
      </c>
      <c r="E277" s="13">
        <v>0</v>
      </c>
      <c r="F277" s="13">
        <v>0</v>
      </c>
      <c r="G277" s="13">
        <v>0</v>
      </c>
      <c r="H277" s="13">
        <v>56.696</v>
      </c>
      <c r="I277" s="13">
        <v>43.304</v>
      </c>
      <c r="J277" s="13">
        <v>19.563</v>
      </c>
      <c r="K277" s="13">
        <v>63.28</v>
      </c>
      <c r="L277" s="13">
        <v>11.233</v>
      </c>
      <c r="M277" s="13">
        <v>0.43475</v>
      </c>
      <c r="N277" s="19">
        <v>573.87</v>
      </c>
      <c r="O277" s="13">
        <v>0.143606060606061</v>
      </c>
      <c r="P277" s="19">
        <v>189.56</v>
      </c>
      <c r="Q277" s="13">
        <v>0.403469696969697</v>
      </c>
      <c r="R277" s="19">
        <v>532.58</v>
      </c>
      <c r="S277" s="14">
        <v>1320</v>
      </c>
      <c r="T277" s="13">
        <v>43.3</v>
      </c>
      <c r="U277" s="13">
        <v>14.9</v>
      </c>
      <c r="V277" s="13">
        <v>121.5</v>
      </c>
      <c r="W277" s="13">
        <v>5.4</v>
      </c>
      <c r="X277" s="13">
        <v>1.09040607050494</v>
      </c>
    </row>
    <row r="278" ht="51" spans="1:24">
      <c r="A278" s="13">
        <v>2017</v>
      </c>
      <c r="B278" s="13">
        <v>650000</v>
      </c>
      <c r="C278" s="13" t="s">
        <v>78</v>
      </c>
      <c r="D278" s="13">
        <v>1</v>
      </c>
      <c r="E278" s="13">
        <v>0</v>
      </c>
      <c r="F278" s="13">
        <v>0</v>
      </c>
      <c r="G278" s="13">
        <v>0</v>
      </c>
      <c r="H278" s="13">
        <v>56.974</v>
      </c>
      <c r="I278" s="13">
        <v>43.026</v>
      </c>
      <c r="J278" s="13">
        <v>17.701</v>
      </c>
      <c r="K278" s="13">
        <v>63.717</v>
      </c>
      <c r="L278" s="13">
        <v>11.462</v>
      </c>
      <c r="M278" s="13">
        <v>0.408832335329341</v>
      </c>
      <c r="N278" s="19">
        <v>546.2</v>
      </c>
      <c r="O278" s="13">
        <v>0.144199101796407</v>
      </c>
      <c r="P278" s="19">
        <v>192.65</v>
      </c>
      <c r="Q278" s="13">
        <v>0.437455089820359</v>
      </c>
      <c r="R278" s="19">
        <v>584.44</v>
      </c>
      <c r="S278" s="14">
        <v>1336</v>
      </c>
      <c r="T278" s="13">
        <v>44.2</v>
      </c>
      <c r="U278" s="13">
        <v>15.1</v>
      </c>
      <c r="V278" s="13">
        <v>132.6</v>
      </c>
      <c r="W278" s="13">
        <v>5.6</v>
      </c>
      <c r="X278" s="13">
        <v>1.02974355518722</v>
      </c>
    </row>
    <row r="279" ht="51" spans="1:24">
      <c r="A279" s="13">
        <v>2018</v>
      </c>
      <c r="B279" s="13">
        <v>650000</v>
      </c>
      <c r="C279" s="13" t="s">
        <v>78</v>
      </c>
      <c r="D279" s="13">
        <v>1</v>
      </c>
      <c r="E279" s="13">
        <v>0</v>
      </c>
      <c r="F279" s="13">
        <v>0</v>
      </c>
      <c r="G279" s="13">
        <v>0</v>
      </c>
      <c r="H279" s="13">
        <v>56.195</v>
      </c>
      <c r="I279" s="13">
        <v>43.805</v>
      </c>
      <c r="J279" s="13">
        <v>17.087</v>
      </c>
      <c r="K279" s="13">
        <v>63.834</v>
      </c>
      <c r="L279" s="13">
        <v>12.139</v>
      </c>
      <c r="M279" s="13">
        <v>0.405424492862509</v>
      </c>
      <c r="N279" s="19">
        <v>539.62</v>
      </c>
      <c r="O279" s="13">
        <v>0.135980465815177</v>
      </c>
      <c r="P279" s="19">
        <v>180.99</v>
      </c>
      <c r="Q279" s="13">
        <v>0.449286250939143</v>
      </c>
      <c r="R279" s="19">
        <v>598</v>
      </c>
      <c r="S279" s="14">
        <v>1331</v>
      </c>
      <c r="T279" s="13">
        <v>45.8</v>
      </c>
      <c r="U279" s="13">
        <v>14.3</v>
      </c>
      <c r="V279" s="13">
        <v>151.3</v>
      </c>
      <c r="W279" s="13">
        <v>5.2</v>
      </c>
      <c r="X279" s="13">
        <v>0.708337584460135</v>
      </c>
    </row>
    <row r="280" ht="51" spans="1:24">
      <c r="A280" s="13">
        <v>2019</v>
      </c>
      <c r="B280" s="13">
        <v>650000</v>
      </c>
      <c r="C280" s="13" t="s">
        <v>78</v>
      </c>
      <c r="D280" s="13">
        <v>1</v>
      </c>
      <c r="E280" s="13">
        <v>0</v>
      </c>
      <c r="F280" s="13">
        <v>0</v>
      </c>
      <c r="G280" s="13">
        <v>0</v>
      </c>
      <c r="H280" s="13">
        <v>52.8</v>
      </c>
      <c r="I280" s="13">
        <v>47.2</v>
      </c>
      <c r="J280" s="13">
        <v>17.2</v>
      </c>
      <c r="K280" s="13">
        <v>71.1</v>
      </c>
      <c r="L280" s="13">
        <v>11.7</v>
      </c>
      <c r="M280" s="13">
        <v>0.364229337304542</v>
      </c>
      <c r="N280" s="19">
        <v>489.16</v>
      </c>
      <c r="O280" s="13">
        <v>0.140759493670886</v>
      </c>
      <c r="P280" s="19">
        <v>189.04</v>
      </c>
      <c r="Q280" s="13">
        <v>0.490260610573343</v>
      </c>
      <c r="R280" s="19">
        <v>658.42</v>
      </c>
      <c r="S280" s="14">
        <v>1343</v>
      </c>
      <c r="T280" s="13">
        <v>49</v>
      </c>
      <c r="U280" s="13">
        <v>16</v>
      </c>
      <c r="V280" s="13">
        <v>167.5</v>
      </c>
      <c r="W280" s="13">
        <v>6</v>
      </c>
      <c r="X280" s="13">
        <v>0.76726062693067</v>
      </c>
    </row>
    <row r="281" ht="51" spans="1:24">
      <c r="A281" s="13">
        <v>2020</v>
      </c>
      <c r="B281" s="13">
        <v>650000</v>
      </c>
      <c r="C281" s="13" t="s">
        <v>78</v>
      </c>
      <c r="D281" s="13">
        <v>1</v>
      </c>
      <c r="E281" s="13">
        <v>0</v>
      </c>
      <c r="F281" s="13">
        <v>0</v>
      </c>
      <c r="G281" s="13">
        <v>0</v>
      </c>
      <c r="H281" s="13">
        <v>53.7</v>
      </c>
      <c r="I281" s="13">
        <v>46.3</v>
      </c>
      <c r="J281" s="13">
        <v>17.9</v>
      </c>
      <c r="K281" s="13">
        <v>70.4</v>
      </c>
      <c r="L281" s="13">
        <v>11.7</v>
      </c>
      <c r="M281" s="13">
        <v>0.339233038348083</v>
      </c>
      <c r="N281" s="19">
        <v>460</v>
      </c>
      <c r="O281" s="13">
        <v>0.140855457227139</v>
      </c>
      <c r="P281" s="19">
        <v>191</v>
      </c>
      <c r="Q281" s="13">
        <v>0.519911504424779</v>
      </c>
      <c r="R281" s="19">
        <v>705</v>
      </c>
      <c r="S281" s="14">
        <v>1356</v>
      </c>
      <c r="T281" s="13">
        <v>54</v>
      </c>
      <c r="U281" s="13">
        <v>15.8</v>
      </c>
      <c r="V281" s="13">
        <v>165.6</v>
      </c>
      <c r="W281" s="13">
        <v>6.4</v>
      </c>
      <c r="X281" s="13">
        <v>0.778946716082106</v>
      </c>
    </row>
    <row r="282" ht="51" spans="1:24">
      <c r="A282" s="13">
        <v>2021</v>
      </c>
      <c r="B282" s="13">
        <v>650000</v>
      </c>
      <c r="C282" s="13" t="s">
        <v>78</v>
      </c>
      <c r="D282" s="13">
        <v>1</v>
      </c>
      <c r="E282" s="13">
        <v>0</v>
      </c>
      <c r="F282" s="13">
        <v>0</v>
      </c>
      <c r="G282" s="13">
        <v>0</v>
      </c>
      <c r="H282" s="13">
        <v>56.676</v>
      </c>
      <c r="I282" s="13">
        <v>43.324</v>
      </c>
      <c r="J282" s="13">
        <v>17.872</v>
      </c>
      <c r="K282" s="13">
        <v>71.95</v>
      </c>
      <c r="L282" s="13">
        <v>10.178</v>
      </c>
      <c r="M282" s="13">
        <v>0.334558823529412</v>
      </c>
      <c r="N282" s="19">
        <v>455</v>
      </c>
      <c r="O282" s="13">
        <v>0.143382352941176</v>
      </c>
      <c r="P282" s="19">
        <v>195</v>
      </c>
      <c r="Q282" s="13">
        <v>0.522058823529412</v>
      </c>
      <c r="R282" s="19">
        <v>710</v>
      </c>
      <c r="S282" s="14">
        <v>1360</v>
      </c>
      <c r="T282" s="13">
        <v>50.6</v>
      </c>
      <c r="U282" s="13">
        <v>17.1</v>
      </c>
      <c r="V282" s="13">
        <v>170.7</v>
      </c>
      <c r="W282" s="13">
        <v>6.7</v>
      </c>
      <c r="X282" s="13">
        <v>0.793043549920527</v>
      </c>
    </row>
    <row r="283" ht="51" spans="1:24">
      <c r="A283" s="13">
        <v>2022</v>
      </c>
      <c r="B283" s="13">
        <v>650000</v>
      </c>
      <c r="C283" s="13" t="s">
        <v>78</v>
      </c>
      <c r="D283" s="13">
        <v>1</v>
      </c>
      <c r="E283" s="13">
        <v>0</v>
      </c>
      <c r="F283" s="13">
        <v>0</v>
      </c>
      <c r="G283" s="13">
        <v>0</v>
      </c>
      <c r="H283" s="13">
        <v>56.119</v>
      </c>
      <c r="I283" s="13">
        <v>43.881</v>
      </c>
      <c r="J283" s="13">
        <v>22.808</v>
      </c>
      <c r="K283" s="13">
        <v>66.027</v>
      </c>
      <c r="L283" s="13">
        <v>11.165</v>
      </c>
      <c r="M283" s="13">
        <v>0.377847604084839</v>
      </c>
      <c r="N283" s="19">
        <v>481</v>
      </c>
      <c r="O283" s="13">
        <v>0.126472898664572</v>
      </c>
      <c r="P283" s="19">
        <v>161</v>
      </c>
      <c r="Q283" s="13">
        <v>0.495679497250589</v>
      </c>
      <c r="R283" s="19">
        <v>631</v>
      </c>
      <c r="S283" s="14">
        <v>1273</v>
      </c>
      <c r="T283" s="13">
        <v>49.2</v>
      </c>
      <c r="U283" s="13">
        <v>15.9</v>
      </c>
      <c r="V283" s="13">
        <v>166.5</v>
      </c>
      <c r="W283" s="13">
        <v>6.3</v>
      </c>
      <c r="X283" s="13">
        <v>0.799541919990633</v>
      </c>
    </row>
    <row r="284" ht="17" spans="1:24">
      <c r="A284" s="13">
        <v>2013</v>
      </c>
      <c r="B284" s="13">
        <v>530000</v>
      </c>
      <c r="C284" s="13" t="s">
        <v>79</v>
      </c>
      <c r="D284" s="13">
        <v>1</v>
      </c>
      <c r="E284" s="13">
        <v>0</v>
      </c>
      <c r="F284" s="13">
        <v>0</v>
      </c>
      <c r="G284" s="13">
        <v>0</v>
      </c>
      <c r="H284" s="13">
        <v>54.216</v>
      </c>
      <c r="I284" s="13">
        <v>45.784</v>
      </c>
      <c r="J284" s="13">
        <v>41.616</v>
      </c>
      <c r="K284" s="13">
        <v>54.142</v>
      </c>
      <c r="L284" s="13">
        <v>4.242</v>
      </c>
      <c r="M284" s="13">
        <v>0.55</v>
      </c>
      <c r="N284" s="19">
        <v>1559.25</v>
      </c>
      <c r="O284" s="13">
        <v>0.137</v>
      </c>
      <c r="P284" s="19">
        <v>388.395</v>
      </c>
      <c r="Q284" s="13">
        <v>0.313</v>
      </c>
      <c r="R284" s="19">
        <v>887.355</v>
      </c>
      <c r="S284" s="14">
        <v>2835</v>
      </c>
      <c r="T284" s="13">
        <v>51.9</v>
      </c>
      <c r="U284" s="13">
        <v>40</v>
      </c>
      <c r="V284" s="13">
        <v>138.2</v>
      </c>
      <c r="W284" s="13">
        <v>10.1</v>
      </c>
      <c r="X284" s="13">
        <v>0.560836478832271</v>
      </c>
    </row>
    <row r="285" ht="17" spans="1:24">
      <c r="A285" s="13">
        <v>2014</v>
      </c>
      <c r="B285" s="13">
        <v>530000</v>
      </c>
      <c r="C285" s="13" t="s">
        <v>79</v>
      </c>
      <c r="D285" s="13">
        <v>1</v>
      </c>
      <c r="E285" s="13">
        <v>0</v>
      </c>
      <c r="F285" s="13">
        <v>0</v>
      </c>
      <c r="G285" s="13">
        <v>0</v>
      </c>
      <c r="H285" s="13">
        <v>54.3</v>
      </c>
      <c r="I285" s="13">
        <v>45.7</v>
      </c>
      <c r="J285" s="13">
        <v>44.1</v>
      </c>
      <c r="K285" s="13">
        <v>51.2</v>
      </c>
      <c r="L285" s="13">
        <v>4.6</v>
      </c>
      <c r="M285" s="13">
        <v>0.53</v>
      </c>
      <c r="N285" s="19">
        <v>1515.27</v>
      </c>
      <c r="O285" s="13">
        <v>0.139</v>
      </c>
      <c r="P285" s="19">
        <v>397.401</v>
      </c>
      <c r="Q285" s="13">
        <v>0.331</v>
      </c>
      <c r="R285" s="19">
        <v>946.329</v>
      </c>
      <c r="S285" s="14">
        <v>2859</v>
      </c>
      <c r="T285" s="13">
        <v>51.8</v>
      </c>
      <c r="U285" s="13">
        <v>39.5</v>
      </c>
      <c r="V285" s="13">
        <v>143.2</v>
      </c>
      <c r="W285" s="13">
        <v>11.1</v>
      </c>
      <c r="X285" s="13">
        <v>0.562781051504536</v>
      </c>
    </row>
    <row r="286" ht="17" spans="1:24">
      <c r="A286" s="13">
        <v>2015</v>
      </c>
      <c r="B286" s="13">
        <v>530000</v>
      </c>
      <c r="C286" s="13" t="s">
        <v>79</v>
      </c>
      <c r="D286" s="13">
        <v>1</v>
      </c>
      <c r="E286" s="13">
        <v>0</v>
      </c>
      <c r="F286" s="13">
        <v>0</v>
      </c>
      <c r="G286" s="13">
        <v>0</v>
      </c>
      <c r="H286" s="13">
        <v>54.384</v>
      </c>
      <c r="I286" s="13">
        <v>45.616</v>
      </c>
      <c r="J286" s="13">
        <v>40.421</v>
      </c>
      <c r="K286" s="13">
        <v>50.318</v>
      </c>
      <c r="L286" s="13">
        <v>4.968</v>
      </c>
      <c r="M286" s="13">
        <v>0.5237</v>
      </c>
      <c r="N286" s="19">
        <v>1478.4051</v>
      </c>
      <c r="O286" s="13">
        <v>0.142</v>
      </c>
      <c r="P286" s="19">
        <v>400.866</v>
      </c>
      <c r="Q286" s="13">
        <v>0.3343</v>
      </c>
      <c r="R286" s="19">
        <v>943.7289</v>
      </c>
      <c r="S286" s="14">
        <v>2823</v>
      </c>
      <c r="T286" s="13">
        <v>51.5</v>
      </c>
      <c r="U286" s="13">
        <v>38.3</v>
      </c>
      <c r="V286" s="13">
        <v>146</v>
      </c>
      <c r="W286" s="13">
        <v>10.9</v>
      </c>
      <c r="X286" s="13">
        <v>0.565381654277141</v>
      </c>
    </row>
    <row r="287" ht="17" spans="1:24">
      <c r="A287" s="13">
        <v>2016</v>
      </c>
      <c r="B287" s="13">
        <v>530000</v>
      </c>
      <c r="C287" s="13" t="s">
        <v>79</v>
      </c>
      <c r="D287" s="13">
        <v>1</v>
      </c>
      <c r="E287" s="13">
        <v>0</v>
      </c>
      <c r="F287" s="13">
        <v>0</v>
      </c>
      <c r="G287" s="13">
        <v>0</v>
      </c>
      <c r="H287" s="13">
        <v>54.361</v>
      </c>
      <c r="I287" s="13">
        <v>45.639</v>
      </c>
      <c r="J287" s="13">
        <v>39.488</v>
      </c>
      <c r="K287" s="13">
        <v>51.712</v>
      </c>
      <c r="L287" s="13">
        <v>4.67</v>
      </c>
      <c r="M287" s="13">
        <v>0.5163</v>
      </c>
      <c r="N287" s="19">
        <v>1474.0365</v>
      </c>
      <c r="O287" s="13">
        <v>0.1457</v>
      </c>
      <c r="P287" s="19">
        <v>415.9735</v>
      </c>
      <c r="Q287" s="13">
        <v>0.338</v>
      </c>
      <c r="R287" s="19">
        <v>964.99</v>
      </c>
      <c r="S287" s="14">
        <v>2855</v>
      </c>
      <c r="T287" s="13">
        <v>53.2</v>
      </c>
      <c r="U287" s="13">
        <v>38.2</v>
      </c>
      <c r="V287" s="13">
        <v>147.9</v>
      </c>
      <c r="W287" s="13">
        <v>11.2</v>
      </c>
      <c r="X287" s="13">
        <v>0.616666033675431</v>
      </c>
    </row>
    <row r="288" ht="17" spans="1:24">
      <c r="A288" s="13">
        <v>2017</v>
      </c>
      <c r="B288" s="13">
        <v>530000</v>
      </c>
      <c r="C288" s="13" t="s">
        <v>79</v>
      </c>
      <c r="D288" s="13">
        <v>1</v>
      </c>
      <c r="E288" s="13">
        <v>0</v>
      </c>
      <c r="F288" s="13">
        <v>0</v>
      </c>
      <c r="G288" s="13">
        <v>0</v>
      </c>
      <c r="H288" s="13">
        <v>54.502</v>
      </c>
      <c r="I288" s="13">
        <v>45.498</v>
      </c>
      <c r="J288" s="13">
        <v>37.269</v>
      </c>
      <c r="K288" s="13">
        <v>53.489</v>
      </c>
      <c r="L288" s="13">
        <v>4.871</v>
      </c>
      <c r="M288" s="13">
        <v>0.4875</v>
      </c>
      <c r="N288" s="19">
        <v>1380.1125</v>
      </c>
      <c r="O288" s="13">
        <v>0.1544</v>
      </c>
      <c r="P288" s="19">
        <v>437.1064</v>
      </c>
      <c r="Q288" s="13">
        <v>0.3581</v>
      </c>
      <c r="R288" s="19">
        <v>1013.7811</v>
      </c>
      <c r="S288" s="14">
        <v>2831</v>
      </c>
      <c r="T288" s="13">
        <v>55.2</v>
      </c>
      <c r="U288" s="13">
        <v>37.4</v>
      </c>
      <c r="V288" s="13">
        <v>151</v>
      </c>
      <c r="W288" s="13">
        <v>12.4</v>
      </c>
      <c r="X288" s="13">
        <v>0.317568140495364</v>
      </c>
    </row>
    <row r="289" ht="17" spans="1:24">
      <c r="A289" s="13">
        <v>2018</v>
      </c>
      <c r="B289" s="13">
        <v>530000</v>
      </c>
      <c r="C289" s="13" t="s">
        <v>79</v>
      </c>
      <c r="D289" s="13">
        <v>1</v>
      </c>
      <c r="E289" s="13">
        <v>0</v>
      </c>
      <c r="F289" s="13">
        <v>0</v>
      </c>
      <c r="G289" s="13">
        <v>0</v>
      </c>
      <c r="H289" s="13">
        <v>54.171</v>
      </c>
      <c r="I289" s="13">
        <v>45.829</v>
      </c>
      <c r="J289" s="13">
        <v>35.775</v>
      </c>
      <c r="K289" s="13">
        <v>54.788</v>
      </c>
      <c r="L289" s="13">
        <v>4.889</v>
      </c>
      <c r="M289" s="13">
        <v>0.459</v>
      </c>
      <c r="N289" s="19">
        <v>1295.298</v>
      </c>
      <c r="O289" s="13">
        <v>0.163</v>
      </c>
      <c r="P289" s="19">
        <v>459.986</v>
      </c>
      <c r="Q289" s="13">
        <v>0.378</v>
      </c>
      <c r="R289" s="19">
        <v>1066.716</v>
      </c>
      <c r="S289" s="14">
        <v>2822</v>
      </c>
      <c r="T289" s="13">
        <v>54.7</v>
      </c>
      <c r="U289" s="13">
        <v>37.9</v>
      </c>
      <c r="V289" s="13">
        <v>157.4</v>
      </c>
      <c r="W289" s="13">
        <v>13.9</v>
      </c>
      <c r="X289" s="13">
        <v>0.31909818783299</v>
      </c>
    </row>
    <row r="290" ht="17" spans="1:24">
      <c r="A290" s="13">
        <v>2019</v>
      </c>
      <c r="B290" s="13">
        <v>530000</v>
      </c>
      <c r="C290" s="13" t="s">
        <v>79</v>
      </c>
      <c r="D290" s="13">
        <v>1</v>
      </c>
      <c r="E290" s="13">
        <v>0</v>
      </c>
      <c r="F290" s="13">
        <v>0</v>
      </c>
      <c r="G290" s="13">
        <v>0</v>
      </c>
      <c r="H290" s="13">
        <v>54.3</v>
      </c>
      <c r="I290" s="13">
        <v>45.7</v>
      </c>
      <c r="J290" s="13">
        <v>35.8</v>
      </c>
      <c r="K290" s="13">
        <v>57.2</v>
      </c>
      <c r="L290" s="13">
        <v>6.9</v>
      </c>
      <c r="M290" s="13">
        <v>0.448260881934566</v>
      </c>
      <c r="N290" s="19">
        <v>1260.5096</v>
      </c>
      <c r="O290" s="13">
        <v>0.167123744665718</v>
      </c>
      <c r="P290" s="19">
        <v>469.95197</v>
      </c>
      <c r="Q290" s="13">
        <v>0.38461539829303</v>
      </c>
      <c r="R290" s="19">
        <v>1081.5385</v>
      </c>
      <c r="S290" s="14">
        <v>2812</v>
      </c>
      <c r="T290" s="13">
        <v>54.8</v>
      </c>
      <c r="U290" s="13">
        <v>26.6</v>
      </c>
      <c r="V290" s="13">
        <v>172.5</v>
      </c>
      <c r="W290" s="13">
        <v>10.4</v>
      </c>
      <c r="X290" s="13">
        <v>0.32886143730614</v>
      </c>
    </row>
    <row r="291" ht="17" spans="1:24">
      <c r="A291" s="13">
        <v>2020</v>
      </c>
      <c r="B291" s="13">
        <v>530000</v>
      </c>
      <c r="C291" s="13" t="s">
        <v>79</v>
      </c>
      <c r="D291" s="13">
        <v>1</v>
      </c>
      <c r="E291" s="13">
        <v>0</v>
      </c>
      <c r="F291" s="13">
        <v>0</v>
      </c>
      <c r="G291" s="13">
        <v>0</v>
      </c>
      <c r="H291" s="13">
        <v>53.9</v>
      </c>
      <c r="I291" s="13">
        <v>46.1</v>
      </c>
      <c r="J291" s="13">
        <v>35.5</v>
      </c>
      <c r="K291" s="13">
        <v>57.5</v>
      </c>
      <c r="L291" s="13">
        <v>7</v>
      </c>
      <c r="M291" s="13">
        <v>0.436920883820385</v>
      </c>
      <c r="N291" s="19">
        <v>1226</v>
      </c>
      <c r="O291" s="13">
        <v>0.17712045616536</v>
      </c>
      <c r="P291" s="19">
        <v>497</v>
      </c>
      <c r="Q291" s="13">
        <v>0.385958660014255</v>
      </c>
      <c r="R291" s="19">
        <v>1083</v>
      </c>
      <c r="S291" s="14">
        <v>2806</v>
      </c>
      <c r="T291" s="13">
        <v>54.7</v>
      </c>
      <c r="U291" s="13">
        <v>24.6</v>
      </c>
      <c r="V291" s="13">
        <v>175.1</v>
      </c>
      <c r="W291" s="13">
        <v>10.2</v>
      </c>
      <c r="X291" s="13">
        <v>0.342232968610584</v>
      </c>
    </row>
    <row r="292" ht="17" spans="1:24">
      <c r="A292" s="13">
        <v>2021</v>
      </c>
      <c r="B292" s="13">
        <v>530000</v>
      </c>
      <c r="C292" s="13" t="s">
        <v>79</v>
      </c>
      <c r="D292" s="13">
        <v>1</v>
      </c>
      <c r="E292" s="13">
        <v>0</v>
      </c>
      <c r="F292" s="13">
        <v>0</v>
      </c>
      <c r="G292" s="13">
        <v>0</v>
      </c>
      <c r="H292" s="13">
        <v>55.412</v>
      </c>
      <c r="I292" s="13">
        <v>44.588</v>
      </c>
      <c r="J292" s="13">
        <v>35.853</v>
      </c>
      <c r="K292" s="13">
        <v>56.145</v>
      </c>
      <c r="L292" s="13">
        <v>8.002</v>
      </c>
      <c r="M292" s="13">
        <v>0.427901946647441</v>
      </c>
      <c r="N292" s="19">
        <v>1187</v>
      </c>
      <c r="O292" s="13">
        <v>0.179884643114636</v>
      </c>
      <c r="P292" s="19">
        <v>499</v>
      </c>
      <c r="Q292" s="13">
        <v>0.392213410237924</v>
      </c>
      <c r="R292" s="19">
        <v>1088</v>
      </c>
      <c r="S292" s="14">
        <v>2774</v>
      </c>
      <c r="T292" s="13">
        <v>54.5</v>
      </c>
      <c r="U292" s="13">
        <v>25.7</v>
      </c>
      <c r="V292" s="13">
        <v>179.9</v>
      </c>
      <c r="W292" s="13">
        <v>9.5</v>
      </c>
      <c r="X292" s="13">
        <v>0.356954140628433</v>
      </c>
    </row>
    <row r="293" ht="17" spans="1:24">
      <c r="A293" s="13">
        <v>2022</v>
      </c>
      <c r="B293" s="13">
        <v>530000</v>
      </c>
      <c r="C293" s="13" t="s">
        <v>79</v>
      </c>
      <c r="D293" s="13">
        <v>1</v>
      </c>
      <c r="E293" s="13">
        <v>0</v>
      </c>
      <c r="F293" s="13">
        <v>0</v>
      </c>
      <c r="G293" s="13">
        <v>0</v>
      </c>
      <c r="H293" s="13">
        <v>54.67</v>
      </c>
      <c r="I293" s="13">
        <v>45.33</v>
      </c>
      <c r="J293" s="13">
        <v>40.423</v>
      </c>
      <c r="K293" s="13">
        <v>51.385</v>
      </c>
      <c r="L293" s="13">
        <v>8.191</v>
      </c>
      <c r="M293" s="13">
        <v>0.447897623400366</v>
      </c>
      <c r="N293" s="19">
        <v>1225</v>
      </c>
      <c r="O293" s="13">
        <v>0.174771480804388</v>
      </c>
      <c r="P293" s="19">
        <v>478</v>
      </c>
      <c r="Q293" s="13">
        <v>0.377330895795247</v>
      </c>
      <c r="R293" s="19">
        <v>1032</v>
      </c>
      <c r="S293" s="14">
        <v>2735</v>
      </c>
      <c r="T293" s="13">
        <v>53.9</v>
      </c>
      <c r="U293" s="13">
        <v>24.6</v>
      </c>
      <c r="V293" s="13">
        <v>182.7</v>
      </c>
      <c r="W293" s="13">
        <v>9.2</v>
      </c>
      <c r="X293" s="13">
        <v>0.373603512807585</v>
      </c>
    </row>
    <row r="294" ht="17" spans="1:24">
      <c r="A294" s="13">
        <v>2013</v>
      </c>
      <c r="B294" s="13">
        <v>330000</v>
      </c>
      <c r="C294" s="13" t="s">
        <v>80</v>
      </c>
      <c r="D294" s="13">
        <v>0</v>
      </c>
      <c r="E294" s="13">
        <v>1</v>
      </c>
      <c r="F294" s="13">
        <v>0</v>
      </c>
      <c r="G294" s="13">
        <v>0</v>
      </c>
      <c r="H294" s="13">
        <v>54.6750000000002</v>
      </c>
      <c r="I294" s="13">
        <v>45.3249999999998</v>
      </c>
      <c r="J294" s="13">
        <v>21.803</v>
      </c>
      <c r="K294" s="13">
        <v>69.938</v>
      </c>
      <c r="L294" s="13">
        <v>8.259</v>
      </c>
      <c r="M294" s="13">
        <v>0.134161816065192</v>
      </c>
      <c r="N294" s="19">
        <v>460.98</v>
      </c>
      <c r="O294" s="13">
        <v>0.452162398137369</v>
      </c>
      <c r="P294" s="19">
        <v>1553.63</v>
      </c>
      <c r="Q294" s="13">
        <v>0.413675785797439</v>
      </c>
      <c r="R294" s="19">
        <v>1421.39</v>
      </c>
      <c r="S294" s="14">
        <v>3436</v>
      </c>
      <c r="T294" s="13">
        <v>127.9</v>
      </c>
      <c r="U294" s="13">
        <v>64.3</v>
      </c>
      <c r="V294" s="13">
        <v>185.1</v>
      </c>
      <c r="W294" s="13">
        <v>17.9</v>
      </c>
      <c r="X294" s="13">
        <v>1.0712394279794</v>
      </c>
    </row>
    <row r="295" ht="17" spans="1:24">
      <c r="A295" s="13">
        <v>2014</v>
      </c>
      <c r="B295" s="13">
        <v>330000</v>
      </c>
      <c r="C295" s="13" t="s">
        <v>80</v>
      </c>
      <c r="D295" s="13">
        <v>0</v>
      </c>
      <c r="E295" s="13">
        <v>1</v>
      </c>
      <c r="F295" s="13">
        <v>0</v>
      </c>
      <c r="G295" s="13">
        <v>0</v>
      </c>
      <c r="H295" s="13">
        <v>56</v>
      </c>
      <c r="I295" s="13">
        <v>44</v>
      </c>
      <c r="J295" s="13">
        <v>22</v>
      </c>
      <c r="K295" s="13">
        <v>68.3</v>
      </c>
      <c r="L295" s="13">
        <v>9.7</v>
      </c>
      <c r="M295" s="13">
        <v>0.123012431338537</v>
      </c>
      <c r="N295" s="19">
        <v>425.5</v>
      </c>
      <c r="O295" s="13">
        <v>0.453674472390864</v>
      </c>
      <c r="P295" s="19">
        <v>1569.26</v>
      </c>
      <c r="Q295" s="13">
        <v>0.423313096270598</v>
      </c>
      <c r="R295" s="19">
        <v>1464.24</v>
      </c>
      <c r="S295" s="14">
        <v>3459</v>
      </c>
      <c r="T295" s="13">
        <v>131.6</v>
      </c>
      <c r="U295" s="13">
        <v>65.3</v>
      </c>
      <c r="V295" s="13">
        <v>191.1</v>
      </c>
      <c r="W295" s="13">
        <v>19.7</v>
      </c>
      <c r="X295" s="13">
        <v>1.04694254576836</v>
      </c>
    </row>
    <row r="296" ht="17" spans="1:24">
      <c r="A296" s="13">
        <v>2015</v>
      </c>
      <c r="B296" s="13">
        <v>330000</v>
      </c>
      <c r="C296" s="13" t="s">
        <v>80</v>
      </c>
      <c r="D296" s="13">
        <v>0</v>
      </c>
      <c r="E296" s="13">
        <v>1</v>
      </c>
      <c r="F296" s="13">
        <v>0</v>
      </c>
      <c r="G296" s="13">
        <v>0</v>
      </c>
      <c r="H296" s="13">
        <v>57.325</v>
      </c>
      <c r="I296" s="13">
        <v>42.675</v>
      </c>
      <c r="J296" s="13">
        <v>19.185</v>
      </c>
      <c r="K296" s="13">
        <v>63.676</v>
      </c>
      <c r="L296" s="13">
        <v>12.341</v>
      </c>
      <c r="M296" s="13">
        <v>0.110601997146933</v>
      </c>
      <c r="N296" s="19">
        <v>387.66</v>
      </c>
      <c r="O296" s="13">
        <v>0.453275320970043</v>
      </c>
      <c r="P296" s="19">
        <v>1588.73</v>
      </c>
      <c r="Q296" s="13">
        <v>0.436122681883024</v>
      </c>
      <c r="R296" s="19">
        <v>1528.61</v>
      </c>
      <c r="S296" s="14">
        <v>3505</v>
      </c>
      <c r="T296" s="13">
        <v>135.4</v>
      </c>
      <c r="U296" s="13">
        <v>65.5</v>
      </c>
      <c r="V296" s="13">
        <v>196.3</v>
      </c>
      <c r="W296" s="13">
        <v>20.1</v>
      </c>
      <c r="X296" s="13">
        <v>1.06214996603125</v>
      </c>
    </row>
    <row r="297" ht="17" spans="1:24">
      <c r="A297" s="13">
        <v>2016</v>
      </c>
      <c r="B297" s="13">
        <v>330000</v>
      </c>
      <c r="C297" s="13" t="s">
        <v>80</v>
      </c>
      <c r="D297" s="13">
        <v>0</v>
      </c>
      <c r="E297" s="13">
        <v>1</v>
      </c>
      <c r="F297" s="13">
        <v>0</v>
      </c>
      <c r="G297" s="13">
        <v>0</v>
      </c>
      <c r="H297" s="13">
        <v>57.226</v>
      </c>
      <c r="I297" s="13">
        <v>42.774</v>
      </c>
      <c r="J297" s="13">
        <v>18.072</v>
      </c>
      <c r="K297" s="13">
        <v>64.048</v>
      </c>
      <c r="L297" s="13">
        <v>12.741</v>
      </c>
      <c r="M297" s="13">
        <v>0.0989977477477477</v>
      </c>
      <c r="N297" s="19">
        <v>351.64</v>
      </c>
      <c r="O297" s="13">
        <v>0.45303490990991</v>
      </c>
      <c r="P297" s="19">
        <v>1609.18</v>
      </c>
      <c r="Q297" s="13">
        <v>0.447967342342342</v>
      </c>
      <c r="R297" s="19">
        <v>1591.18</v>
      </c>
      <c r="S297" s="14">
        <v>3552</v>
      </c>
      <c r="T297" s="13">
        <v>144.1</v>
      </c>
      <c r="U297" s="13">
        <v>60.2</v>
      </c>
      <c r="V297" s="13">
        <v>196.8</v>
      </c>
      <c r="W297" s="13">
        <v>20.9</v>
      </c>
      <c r="X297" s="13">
        <v>1.07433514931607</v>
      </c>
    </row>
    <row r="298" ht="17" spans="1:24">
      <c r="A298" s="13">
        <v>2017</v>
      </c>
      <c r="B298" s="13">
        <v>330000</v>
      </c>
      <c r="C298" s="13" t="s">
        <v>80</v>
      </c>
      <c r="D298" s="13">
        <v>0</v>
      </c>
      <c r="E298" s="13">
        <v>1</v>
      </c>
      <c r="F298" s="13">
        <v>0</v>
      </c>
      <c r="G298" s="13">
        <v>0</v>
      </c>
      <c r="H298" s="13">
        <v>56.997</v>
      </c>
      <c r="I298" s="13">
        <v>43.003</v>
      </c>
      <c r="J298" s="13">
        <v>16.825</v>
      </c>
      <c r="K298" s="13">
        <v>63.892</v>
      </c>
      <c r="L298" s="13">
        <v>13.895</v>
      </c>
      <c r="M298" s="13">
        <v>0.0883531691115417</v>
      </c>
      <c r="N298" s="19">
        <v>319.22</v>
      </c>
      <c r="O298" s="13">
        <v>0.451054525325215</v>
      </c>
      <c r="P298" s="19">
        <v>1629.66</v>
      </c>
      <c r="Q298" s="13">
        <v>0.460592305563244</v>
      </c>
      <c r="R298" s="19">
        <v>1664.12</v>
      </c>
      <c r="S298" s="14">
        <v>3613</v>
      </c>
      <c r="T298" s="13">
        <v>152.5</v>
      </c>
      <c r="U298" s="13">
        <v>61.6</v>
      </c>
      <c r="V298" s="13">
        <v>202.3</v>
      </c>
      <c r="W298" s="13">
        <v>21.6</v>
      </c>
      <c r="X298" s="13">
        <v>1.09635310973128</v>
      </c>
    </row>
    <row r="299" ht="17" spans="1:24">
      <c r="A299" s="13">
        <v>2018</v>
      </c>
      <c r="B299" s="13">
        <v>330000</v>
      </c>
      <c r="C299" s="13" t="s">
        <v>80</v>
      </c>
      <c r="D299" s="13">
        <v>0</v>
      </c>
      <c r="E299" s="13">
        <v>1</v>
      </c>
      <c r="F299" s="13">
        <v>0</v>
      </c>
      <c r="G299" s="13">
        <v>0</v>
      </c>
      <c r="H299" s="13">
        <v>56.857</v>
      </c>
      <c r="I299" s="13">
        <v>43.143</v>
      </c>
      <c r="J299" s="13">
        <v>16.978</v>
      </c>
      <c r="K299" s="13">
        <v>63.467</v>
      </c>
      <c r="L299" s="13">
        <v>13.974</v>
      </c>
      <c r="M299" s="13">
        <v>0.0753535627201301</v>
      </c>
      <c r="N299" s="19">
        <v>278.13</v>
      </c>
      <c r="O299" s="13">
        <v>0.446775941479274</v>
      </c>
      <c r="P299" s="19">
        <v>1649.05</v>
      </c>
      <c r="Q299" s="13">
        <v>0.477870495800596</v>
      </c>
      <c r="R299" s="19">
        <v>1763.82</v>
      </c>
      <c r="S299" s="14">
        <v>3691</v>
      </c>
      <c r="T299" s="13">
        <v>142.6</v>
      </c>
      <c r="U299" s="13">
        <v>60.1</v>
      </c>
      <c r="V299" s="13">
        <v>206</v>
      </c>
      <c r="W299" s="13">
        <v>22.4</v>
      </c>
      <c r="X299" s="13">
        <v>1.13063437843355</v>
      </c>
    </row>
    <row r="300" ht="17" spans="1:24">
      <c r="A300" s="13">
        <v>2019</v>
      </c>
      <c r="B300" s="13">
        <v>330000</v>
      </c>
      <c r="C300" s="13" t="s">
        <v>80</v>
      </c>
      <c r="D300" s="13">
        <v>0</v>
      </c>
      <c r="E300" s="13">
        <v>1</v>
      </c>
      <c r="F300" s="13">
        <v>0</v>
      </c>
      <c r="G300" s="13">
        <v>0</v>
      </c>
      <c r="H300" s="13">
        <v>56.8</v>
      </c>
      <c r="I300" s="13">
        <v>43.2</v>
      </c>
      <c r="J300" s="13">
        <v>16.4</v>
      </c>
      <c r="K300" s="13">
        <v>68.5</v>
      </c>
      <c r="L300" s="13">
        <v>15.1</v>
      </c>
      <c r="M300" s="13">
        <v>0.064813046937152</v>
      </c>
      <c r="N300" s="19">
        <v>244.41</v>
      </c>
      <c r="O300" s="13">
        <v>0.443670114028109</v>
      </c>
      <c r="P300" s="19">
        <v>1673.08</v>
      </c>
      <c r="Q300" s="13">
        <v>0.491516839034739</v>
      </c>
      <c r="R300" s="19">
        <v>1853.51</v>
      </c>
      <c r="S300" s="14">
        <v>3771</v>
      </c>
      <c r="T300" s="13">
        <v>156.8</v>
      </c>
      <c r="U300" s="13">
        <v>66</v>
      </c>
      <c r="V300" s="13">
        <v>226.6</v>
      </c>
      <c r="W300" s="13">
        <v>26.8</v>
      </c>
      <c r="X300" s="13">
        <v>1.16082085374707</v>
      </c>
    </row>
    <row r="301" ht="17" spans="1:24">
      <c r="A301" s="13">
        <v>2020</v>
      </c>
      <c r="B301" s="13">
        <v>330000</v>
      </c>
      <c r="C301" s="13" t="s">
        <v>80</v>
      </c>
      <c r="D301" s="13">
        <v>0</v>
      </c>
      <c r="E301" s="13">
        <v>1</v>
      </c>
      <c r="F301" s="13">
        <v>0</v>
      </c>
      <c r="G301" s="13">
        <v>0</v>
      </c>
      <c r="H301" s="13">
        <v>57.4</v>
      </c>
      <c r="I301" s="13">
        <v>42.6</v>
      </c>
      <c r="J301" s="13">
        <v>17.3</v>
      </c>
      <c r="K301" s="13">
        <v>67.9</v>
      </c>
      <c r="L301" s="13">
        <v>14.7</v>
      </c>
      <c r="M301" s="13">
        <v>0.0539279232564169</v>
      </c>
      <c r="N301" s="19">
        <v>208</v>
      </c>
      <c r="O301" s="13">
        <v>0.438682914182007</v>
      </c>
      <c r="P301" s="19">
        <v>1692</v>
      </c>
      <c r="Q301" s="13">
        <v>0.507389162561576</v>
      </c>
      <c r="R301" s="19">
        <v>1957</v>
      </c>
      <c r="S301" s="14">
        <v>3857</v>
      </c>
      <c r="T301" s="13">
        <v>168.8</v>
      </c>
      <c r="U301" s="13">
        <v>68.2</v>
      </c>
      <c r="V301" s="13">
        <v>238.6</v>
      </c>
      <c r="W301" s="13">
        <v>28.8</v>
      </c>
      <c r="X301" s="13">
        <v>1.20155054525211</v>
      </c>
    </row>
    <row r="302" ht="17" spans="1:24">
      <c r="A302" s="13">
        <v>2021</v>
      </c>
      <c r="B302" s="13">
        <v>330000</v>
      </c>
      <c r="C302" s="13" t="s">
        <v>80</v>
      </c>
      <c r="D302" s="13">
        <v>0</v>
      </c>
      <c r="E302" s="13">
        <v>1</v>
      </c>
      <c r="F302" s="13">
        <v>0</v>
      </c>
      <c r="G302" s="13">
        <v>0</v>
      </c>
      <c r="H302" s="13">
        <v>58.065</v>
      </c>
      <c r="I302" s="13">
        <v>41.935</v>
      </c>
      <c r="J302" s="13">
        <v>17.069</v>
      </c>
      <c r="K302" s="13">
        <v>69.227</v>
      </c>
      <c r="L302" s="13">
        <v>13.705</v>
      </c>
      <c r="M302" s="13">
        <v>0.0528611752630228</v>
      </c>
      <c r="N302" s="19">
        <v>206</v>
      </c>
      <c r="O302" s="13">
        <v>0.443161406209905</v>
      </c>
      <c r="P302" s="19">
        <v>1727</v>
      </c>
      <c r="Q302" s="13">
        <v>0.503977418527072</v>
      </c>
      <c r="R302" s="19">
        <v>1964</v>
      </c>
      <c r="S302" s="14">
        <v>3897</v>
      </c>
      <c r="T302" s="13">
        <v>180.1</v>
      </c>
      <c r="U302" s="13">
        <v>71.8</v>
      </c>
      <c r="V302" s="13">
        <v>237</v>
      </c>
      <c r="W302" s="13">
        <v>29.9</v>
      </c>
      <c r="X302" s="13">
        <v>1.2452250806234</v>
      </c>
    </row>
    <row r="303" ht="17" spans="1:24">
      <c r="A303" s="13">
        <v>2022</v>
      </c>
      <c r="B303" s="13">
        <v>330000</v>
      </c>
      <c r="C303" s="13" t="s">
        <v>80</v>
      </c>
      <c r="D303" s="13">
        <v>0</v>
      </c>
      <c r="E303" s="13">
        <v>1</v>
      </c>
      <c r="F303" s="13">
        <v>0</v>
      </c>
      <c r="G303" s="13">
        <v>0</v>
      </c>
      <c r="H303" s="13">
        <v>57.942</v>
      </c>
      <c r="I303" s="13">
        <v>42.058</v>
      </c>
      <c r="J303" s="13">
        <v>20.063</v>
      </c>
      <c r="K303" s="13">
        <v>66.048</v>
      </c>
      <c r="L303" s="13">
        <v>13.889</v>
      </c>
      <c r="M303" s="13">
        <v>0.0522522522522523</v>
      </c>
      <c r="N303" s="19">
        <v>203</v>
      </c>
      <c r="O303" s="13">
        <v>0.444272844272844</v>
      </c>
      <c r="P303" s="19">
        <v>1726</v>
      </c>
      <c r="Q303" s="13">
        <v>0.503474903474903</v>
      </c>
      <c r="R303" s="19">
        <v>1956</v>
      </c>
      <c r="S303" s="14">
        <v>3885</v>
      </c>
      <c r="T303" s="13">
        <v>207.2</v>
      </c>
      <c r="U303" s="13">
        <v>69.9</v>
      </c>
      <c r="V303" s="13">
        <v>239.9</v>
      </c>
      <c r="W303" s="13">
        <v>30.2</v>
      </c>
      <c r="X303" s="13">
        <v>1.28035730309013</v>
      </c>
    </row>
    <row r="304" ht="17" spans="1:24">
      <c r="A304" s="13">
        <v>2013</v>
      </c>
      <c r="B304" s="13">
        <v>500000</v>
      </c>
      <c r="C304" s="13" t="s">
        <v>81</v>
      </c>
      <c r="D304" s="13">
        <v>1</v>
      </c>
      <c r="E304" s="13">
        <v>0</v>
      </c>
      <c r="F304" s="13">
        <v>0</v>
      </c>
      <c r="G304" s="13">
        <v>0</v>
      </c>
      <c r="H304" s="13">
        <v>54.1530000000002</v>
      </c>
      <c r="I304" s="13">
        <v>45.8469999999998</v>
      </c>
      <c r="J304" s="13">
        <v>31.078</v>
      </c>
      <c r="K304" s="13">
        <v>63.379</v>
      </c>
      <c r="L304" s="13">
        <v>5.543</v>
      </c>
      <c r="M304" s="13">
        <v>0.305852263249912</v>
      </c>
      <c r="N304" s="19">
        <v>495.08</v>
      </c>
      <c r="O304" s="13">
        <v>0.279367883906122</v>
      </c>
      <c r="P304" s="19">
        <v>452.21</v>
      </c>
      <c r="Q304" s="13">
        <v>0.414778740833637</v>
      </c>
      <c r="R304" s="19">
        <v>671.3982</v>
      </c>
      <c r="S304" s="14">
        <v>1618.69</v>
      </c>
      <c r="T304" s="13">
        <v>61.4</v>
      </c>
      <c r="U304" s="13">
        <v>33.1</v>
      </c>
      <c r="V304" s="13">
        <v>89.2</v>
      </c>
      <c r="W304" s="13">
        <v>10.1</v>
      </c>
      <c r="X304" s="13">
        <v>0.574546818679622</v>
      </c>
    </row>
    <row r="305" ht="17" spans="1:24">
      <c r="A305" s="13">
        <v>2014</v>
      </c>
      <c r="B305" s="13">
        <v>500000</v>
      </c>
      <c r="C305" s="13" t="s">
        <v>81</v>
      </c>
      <c r="D305" s="13">
        <v>1</v>
      </c>
      <c r="E305" s="13">
        <v>0</v>
      </c>
      <c r="F305" s="13">
        <v>0</v>
      </c>
      <c r="G305" s="13">
        <v>0</v>
      </c>
      <c r="H305" s="13">
        <v>55.8</v>
      </c>
      <c r="I305" s="13">
        <v>44.2</v>
      </c>
      <c r="J305" s="13">
        <v>31.3</v>
      </c>
      <c r="K305" s="13">
        <v>62.9</v>
      </c>
      <c r="L305" s="13">
        <v>5.8</v>
      </c>
      <c r="M305" s="13">
        <v>0.28415802759601</v>
      </c>
      <c r="N305" s="19">
        <v>463.78</v>
      </c>
      <c r="O305" s="13">
        <v>0.284586917628606</v>
      </c>
      <c r="P305" s="19">
        <v>464.48</v>
      </c>
      <c r="Q305" s="13">
        <v>0.431255054775384</v>
      </c>
      <c r="R305" s="19">
        <v>703.86</v>
      </c>
      <c r="S305" s="14">
        <v>1632.12</v>
      </c>
      <c r="T305" s="13">
        <v>65</v>
      </c>
      <c r="U305" s="13">
        <v>33.7</v>
      </c>
      <c r="V305" s="13">
        <v>93.2</v>
      </c>
      <c r="W305" s="13">
        <v>12.4</v>
      </c>
      <c r="X305" s="13">
        <v>0.602753904571564</v>
      </c>
    </row>
    <row r="306" ht="17" spans="1:24">
      <c r="A306" s="13">
        <v>2015</v>
      </c>
      <c r="B306" s="13">
        <v>500000</v>
      </c>
      <c r="C306" s="13" t="s">
        <v>81</v>
      </c>
      <c r="D306" s="13">
        <v>1</v>
      </c>
      <c r="E306" s="13">
        <v>0</v>
      </c>
      <c r="F306" s="13">
        <v>0</v>
      </c>
      <c r="G306" s="13">
        <v>0</v>
      </c>
      <c r="H306" s="13">
        <v>57.447</v>
      </c>
      <c r="I306" s="13">
        <v>42.553</v>
      </c>
      <c r="J306" s="13">
        <v>27.664</v>
      </c>
      <c r="K306" s="13">
        <v>58.171</v>
      </c>
      <c r="L306" s="13">
        <v>8.406</v>
      </c>
      <c r="M306" s="13">
        <v>0.267268014641164</v>
      </c>
      <c r="N306" s="19">
        <v>440.3</v>
      </c>
      <c r="O306" s="13">
        <v>0.287542263310287</v>
      </c>
      <c r="P306" s="19">
        <v>473.7</v>
      </c>
      <c r="Q306" s="13">
        <v>0.445189722048549</v>
      </c>
      <c r="R306" s="19">
        <v>733.41</v>
      </c>
      <c r="S306" s="14">
        <v>1647.41</v>
      </c>
      <c r="T306" s="13">
        <v>65.3</v>
      </c>
      <c r="U306" s="13">
        <v>32.8</v>
      </c>
      <c r="V306" s="13">
        <v>98.2</v>
      </c>
      <c r="W306" s="13">
        <v>12.5</v>
      </c>
      <c r="X306" s="13">
        <v>0.613398863517899</v>
      </c>
    </row>
    <row r="307" ht="17" spans="1:24">
      <c r="A307" s="13">
        <v>2016</v>
      </c>
      <c r="B307" s="13">
        <v>500000</v>
      </c>
      <c r="C307" s="13" t="s">
        <v>81</v>
      </c>
      <c r="D307" s="13">
        <v>1</v>
      </c>
      <c r="E307" s="13">
        <v>0</v>
      </c>
      <c r="F307" s="13">
        <v>0</v>
      </c>
      <c r="G307" s="13">
        <v>0</v>
      </c>
      <c r="H307" s="13">
        <v>55.605</v>
      </c>
      <c r="I307" s="13">
        <v>44.395</v>
      </c>
      <c r="J307" s="13">
        <v>29.808</v>
      </c>
      <c r="K307" s="13">
        <v>56.159</v>
      </c>
      <c r="L307" s="13">
        <v>8.562</v>
      </c>
      <c r="M307" s="13">
        <v>0.252779921848618</v>
      </c>
      <c r="N307" s="19">
        <v>419.19</v>
      </c>
      <c r="O307" s="13">
        <v>0.287435476868156</v>
      </c>
      <c r="P307" s="19">
        <v>476.66</v>
      </c>
      <c r="Q307" s="13">
        <v>0.459784601283226</v>
      </c>
      <c r="R307" s="19">
        <v>762.47</v>
      </c>
      <c r="S307" s="14">
        <v>1658.32</v>
      </c>
      <c r="T307" s="13">
        <v>65.8</v>
      </c>
      <c r="U307" s="13">
        <v>31.5</v>
      </c>
      <c r="V307" s="13">
        <v>100</v>
      </c>
      <c r="W307" s="13">
        <v>13</v>
      </c>
      <c r="X307" s="13">
        <v>0.646002401595723</v>
      </c>
    </row>
    <row r="308" ht="17" spans="1:24">
      <c r="A308" s="13">
        <v>2017</v>
      </c>
      <c r="B308" s="13">
        <v>500000</v>
      </c>
      <c r="C308" s="13" t="s">
        <v>81</v>
      </c>
      <c r="D308" s="13">
        <v>1</v>
      </c>
      <c r="E308" s="13">
        <v>0</v>
      </c>
      <c r="F308" s="13">
        <v>0</v>
      </c>
      <c r="G308" s="13">
        <v>0</v>
      </c>
      <c r="H308" s="13">
        <v>56.427</v>
      </c>
      <c r="I308" s="13">
        <v>43.573</v>
      </c>
      <c r="J308" s="13">
        <v>29.142</v>
      </c>
      <c r="K308" s="13">
        <v>56.534</v>
      </c>
      <c r="L308" s="13">
        <v>8.671</v>
      </c>
      <c r="M308" s="13">
        <v>0.242814871062417</v>
      </c>
      <c r="N308" s="19">
        <v>402.91</v>
      </c>
      <c r="O308" s="13">
        <v>0.278232780700644</v>
      </c>
      <c r="P308" s="19">
        <v>461.68</v>
      </c>
      <c r="Q308" s="13">
        <v>0.478952348236939</v>
      </c>
      <c r="R308" s="19">
        <v>794.74</v>
      </c>
      <c r="S308" s="14">
        <v>1659.33</v>
      </c>
      <c r="T308" s="13">
        <v>67.7</v>
      </c>
      <c r="U308" s="13">
        <v>30.2</v>
      </c>
      <c r="V308" s="13">
        <v>101.4</v>
      </c>
      <c r="W308" s="13">
        <v>13.9</v>
      </c>
      <c r="X308" s="13">
        <v>0.668546968892623</v>
      </c>
    </row>
    <row r="309" ht="17" spans="1:24">
      <c r="A309" s="13">
        <v>2018</v>
      </c>
      <c r="B309" s="13">
        <v>500000</v>
      </c>
      <c r="C309" s="13" t="s">
        <v>81</v>
      </c>
      <c r="D309" s="13">
        <v>1</v>
      </c>
      <c r="E309" s="13">
        <v>0</v>
      </c>
      <c r="F309" s="13">
        <v>0</v>
      </c>
      <c r="G309" s="13">
        <v>0</v>
      </c>
      <c r="H309" s="13">
        <v>55.764</v>
      </c>
      <c r="I309" s="13">
        <v>44.236</v>
      </c>
      <c r="J309" s="13">
        <v>24.67</v>
      </c>
      <c r="K309" s="13">
        <v>61.795</v>
      </c>
      <c r="L309" s="13">
        <v>8.781</v>
      </c>
      <c r="M309" s="13">
        <v>0.234856273636238</v>
      </c>
      <c r="N309" s="19">
        <v>390.62</v>
      </c>
      <c r="O309" s="13">
        <v>0.266084666582493</v>
      </c>
      <c r="P309" s="19">
        <v>442.56</v>
      </c>
      <c r="Q309" s="13">
        <v>0.499059059781269</v>
      </c>
      <c r="R309" s="19">
        <v>830.05</v>
      </c>
      <c r="S309" s="14">
        <v>1663.23</v>
      </c>
      <c r="T309" s="13">
        <v>64</v>
      </c>
      <c r="U309" s="13">
        <v>29.7</v>
      </c>
      <c r="V309" s="13">
        <v>102.9</v>
      </c>
      <c r="W309" s="13">
        <v>14.6</v>
      </c>
      <c r="X309" s="13">
        <v>0.691966383805212</v>
      </c>
    </row>
    <row r="310" ht="17" spans="1:24">
      <c r="A310" s="13">
        <v>2019</v>
      </c>
      <c r="B310" s="13">
        <v>500000</v>
      </c>
      <c r="C310" s="13" t="s">
        <v>81</v>
      </c>
      <c r="D310" s="13">
        <v>1</v>
      </c>
      <c r="E310" s="13">
        <v>0</v>
      </c>
      <c r="F310" s="13">
        <v>0</v>
      </c>
      <c r="G310" s="13">
        <v>0</v>
      </c>
      <c r="H310" s="13">
        <v>55.2</v>
      </c>
      <c r="I310" s="13">
        <v>44.8</v>
      </c>
      <c r="J310" s="13">
        <v>21.2</v>
      </c>
      <c r="K310" s="13">
        <v>67.6</v>
      </c>
      <c r="L310" s="13">
        <v>11.1</v>
      </c>
      <c r="M310" s="13">
        <v>0.228683099942452</v>
      </c>
      <c r="N310" s="19">
        <v>381.48</v>
      </c>
      <c r="O310" s="13">
        <v>0.260202858239018</v>
      </c>
      <c r="P310" s="19">
        <v>434.06</v>
      </c>
      <c r="Q310" s="13">
        <v>0.511114041818531</v>
      </c>
      <c r="R310" s="19">
        <v>852.62</v>
      </c>
      <c r="S310" s="14">
        <v>1668.16</v>
      </c>
      <c r="T310" s="13">
        <v>68.7</v>
      </c>
      <c r="U310" s="13">
        <v>30.5</v>
      </c>
      <c r="V310" s="13">
        <v>108.3</v>
      </c>
      <c r="W310" s="13">
        <v>13.7</v>
      </c>
      <c r="X310" s="13">
        <v>0.712584956432053</v>
      </c>
    </row>
    <row r="311" ht="17" spans="1:24">
      <c r="A311" s="13">
        <v>2020</v>
      </c>
      <c r="B311" s="13">
        <v>500000</v>
      </c>
      <c r="C311" s="13" t="s">
        <v>81</v>
      </c>
      <c r="D311" s="13">
        <v>1</v>
      </c>
      <c r="E311" s="13">
        <v>0</v>
      </c>
      <c r="F311" s="13">
        <v>0</v>
      </c>
      <c r="G311" s="13">
        <v>0</v>
      </c>
      <c r="H311" s="13">
        <v>55.5</v>
      </c>
      <c r="I311" s="13">
        <v>44.5</v>
      </c>
      <c r="J311" s="13">
        <v>23.2</v>
      </c>
      <c r="K311" s="13">
        <v>66</v>
      </c>
      <c r="L311" s="13">
        <v>11</v>
      </c>
      <c r="M311" s="13">
        <v>0.225536992840095</v>
      </c>
      <c r="N311" s="19">
        <v>378</v>
      </c>
      <c r="O311" s="13">
        <v>0.251193317422434</v>
      </c>
      <c r="P311" s="19">
        <v>421</v>
      </c>
      <c r="Q311" s="13">
        <v>0.52326968973747</v>
      </c>
      <c r="R311" s="19">
        <v>877</v>
      </c>
      <c r="S311" s="14">
        <v>1676</v>
      </c>
      <c r="T311" s="13">
        <v>75.2</v>
      </c>
      <c r="U311" s="13">
        <v>26.7</v>
      </c>
      <c r="V311" s="13">
        <v>106</v>
      </c>
      <c r="W311" s="13">
        <v>14.9</v>
      </c>
      <c r="X311" s="13">
        <v>0.742514389952424</v>
      </c>
    </row>
    <row r="312" ht="17" spans="1:24">
      <c r="A312" s="13">
        <v>2021</v>
      </c>
      <c r="B312" s="13">
        <v>500000</v>
      </c>
      <c r="C312" s="13" t="s">
        <v>81</v>
      </c>
      <c r="D312" s="13">
        <v>1</v>
      </c>
      <c r="E312" s="13">
        <v>0</v>
      </c>
      <c r="F312" s="13">
        <v>0</v>
      </c>
      <c r="G312" s="13">
        <v>0</v>
      </c>
      <c r="H312" s="13">
        <v>56.145</v>
      </c>
      <c r="I312" s="13">
        <v>43.855</v>
      </c>
      <c r="J312" s="13">
        <v>23.587</v>
      </c>
      <c r="K312" s="13">
        <v>64.903</v>
      </c>
      <c r="L312" s="13">
        <v>11.51</v>
      </c>
      <c r="M312" s="13">
        <v>0.219424460431655</v>
      </c>
      <c r="N312" s="19">
        <v>366</v>
      </c>
      <c r="O312" s="13">
        <v>0.25599520383693</v>
      </c>
      <c r="P312" s="19">
        <v>427</v>
      </c>
      <c r="Q312" s="13">
        <v>0.524580335731415</v>
      </c>
      <c r="R312" s="19">
        <v>875</v>
      </c>
      <c r="S312" s="14">
        <v>1668</v>
      </c>
      <c r="T312" s="13">
        <v>70.5</v>
      </c>
      <c r="U312" s="13">
        <v>25.3</v>
      </c>
      <c r="V312" s="13">
        <v>106.6</v>
      </c>
      <c r="W312" s="13">
        <v>15.4</v>
      </c>
      <c r="X312" s="13">
        <v>0.786961411343068</v>
      </c>
    </row>
    <row r="313" ht="17" spans="1:24">
      <c r="A313" s="13">
        <v>2022</v>
      </c>
      <c r="B313" s="13">
        <v>500000</v>
      </c>
      <c r="C313" s="13" t="s">
        <v>81</v>
      </c>
      <c r="D313" s="13">
        <v>1</v>
      </c>
      <c r="E313" s="13">
        <v>0</v>
      </c>
      <c r="F313" s="13">
        <v>0</v>
      </c>
      <c r="G313" s="13">
        <v>0</v>
      </c>
      <c r="H313" s="13">
        <v>55.906</v>
      </c>
      <c r="I313" s="13">
        <v>44.094</v>
      </c>
      <c r="J313" s="13">
        <v>26.293</v>
      </c>
      <c r="K313" s="13">
        <v>61.638</v>
      </c>
      <c r="L313" s="13">
        <v>12.069</v>
      </c>
      <c r="M313" s="13">
        <v>0.23661800486618</v>
      </c>
      <c r="N313" s="19">
        <v>389</v>
      </c>
      <c r="O313" s="13">
        <v>0.251824817518248</v>
      </c>
      <c r="P313" s="19">
        <v>414</v>
      </c>
      <c r="Q313" s="13">
        <v>0.511557177615572</v>
      </c>
      <c r="R313" s="19">
        <v>841</v>
      </c>
      <c r="S313" s="14">
        <v>1644</v>
      </c>
      <c r="T313" s="13">
        <v>69.1</v>
      </c>
      <c r="U313" s="13">
        <v>22.7</v>
      </c>
      <c r="V313" s="13">
        <v>106.8</v>
      </c>
      <c r="W313" s="13">
        <v>15</v>
      </c>
      <c r="X313" s="13">
        <v>0.808774032791253</v>
      </c>
    </row>
  </sheetData>
  <mergeCells count="5">
    <mergeCell ref="D1:G1"/>
    <mergeCell ref="H1:I1"/>
    <mergeCell ref="J1:L1"/>
    <mergeCell ref="M1:S1"/>
    <mergeCell ref="T1:W1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zoomScale="112" zoomScaleNormal="112" topLeftCell="A7" workbookViewId="0">
      <selection activeCell="B25" sqref="B25"/>
    </sheetView>
  </sheetViews>
  <sheetFormatPr defaultColWidth="9.23076923076923" defaultRowHeight="16.8" outlineLevelCol="4"/>
  <cols>
    <col min="1" max="1" width="46.7788461538462" style="1" customWidth="1"/>
    <col min="2" max="2" width="36.3173076923077" style="1" customWidth="1"/>
    <col min="3" max="3" width="19.3173076923077" style="1" customWidth="1"/>
    <col min="4" max="4" width="13.875" style="1" customWidth="1"/>
    <col min="5" max="16384" width="9.23076923076923" style="1"/>
  </cols>
  <sheetData>
    <row r="1" s="1" customFormat="1" ht="17" spans="1:4">
      <c r="A1" s="2" t="s">
        <v>120</v>
      </c>
      <c r="B1" s="2" t="s">
        <v>121</v>
      </c>
      <c r="C1" s="2" t="s">
        <v>122</v>
      </c>
      <c r="D1" s="2" t="s">
        <v>123</v>
      </c>
    </row>
    <row r="2" s="1" customFormat="1" ht="17" spans="1:4">
      <c r="A2" s="3" t="s">
        <v>1</v>
      </c>
      <c r="B2" s="3" t="s">
        <v>13</v>
      </c>
      <c r="C2" s="4" t="s">
        <v>103</v>
      </c>
      <c r="D2" s="5" t="s">
        <v>124</v>
      </c>
    </row>
    <row r="3" s="1" customFormat="1" ht="17" spans="1:4">
      <c r="A3" s="3"/>
      <c r="B3" s="3" t="s">
        <v>14</v>
      </c>
      <c r="C3" s="4" t="s">
        <v>104</v>
      </c>
      <c r="D3" s="5"/>
    </row>
    <row r="4" s="1" customFormat="1" ht="17" spans="1:4">
      <c r="A4" s="3" t="s">
        <v>96</v>
      </c>
      <c r="B4" s="3" t="s">
        <v>88</v>
      </c>
      <c r="C4" s="4" t="s">
        <v>105</v>
      </c>
      <c r="D4" s="5"/>
    </row>
    <row r="5" s="1" customFormat="1" ht="17" spans="1:4">
      <c r="A5" s="3"/>
      <c r="B5" s="3" t="s">
        <v>89</v>
      </c>
      <c r="C5" s="4" t="s">
        <v>106</v>
      </c>
      <c r="D5" s="5"/>
    </row>
    <row r="6" s="1" customFormat="1" ht="17" spans="1:4">
      <c r="A6" s="3"/>
      <c r="B6" s="3" t="s">
        <v>90</v>
      </c>
      <c r="C6" s="4" t="s">
        <v>107</v>
      </c>
      <c r="D6" s="5"/>
    </row>
    <row r="7" s="1" customFormat="1" ht="34" spans="1:4">
      <c r="A7" s="3" t="s">
        <v>3</v>
      </c>
      <c r="B7" s="3" t="s">
        <v>125</v>
      </c>
      <c r="C7" s="4" t="s">
        <v>109</v>
      </c>
      <c r="D7" s="5"/>
    </row>
    <row r="8" s="1" customFormat="1" ht="17" spans="1:4">
      <c r="A8" s="3"/>
      <c r="B8" s="3" t="s">
        <v>91</v>
      </c>
      <c r="C8" s="4" t="s">
        <v>108</v>
      </c>
      <c r="D8" s="5"/>
    </row>
    <row r="9" s="1" customFormat="1" ht="34" spans="1:4">
      <c r="A9" s="3"/>
      <c r="B9" s="3" t="s">
        <v>126</v>
      </c>
      <c r="C9" s="4" t="s">
        <v>111</v>
      </c>
      <c r="D9" s="5"/>
    </row>
    <row r="10" s="1" customFormat="1" ht="17" spans="1:4">
      <c r="A10" s="3"/>
      <c r="B10" s="3" t="s">
        <v>92</v>
      </c>
      <c r="C10" s="4" t="s">
        <v>110</v>
      </c>
      <c r="D10" s="5"/>
    </row>
    <row r="11" s="1" customFormat="1" ht="34" spans="1:4">
      <c r="A11" s="3"/>
      <c r="B11" s="3" t="s">
        <v>127</v>
      </c>
      <c r="C11" s="4" t="s">
        <v>113</v>
      </c>
      <c r="D11" s="5"/>
    </row>
    <row r="12" s="1" customFormat="1" ht="17" spans="1:4">
      <c r="A12" s="3"/>
      <c r="B12" s="3" t="s">
        <v>93</v>
      </c>
      <c r="C12" s="4" t="s">
        <v>112</v>
      </c>
      <c r="D12" s="5"/>
    </row>
    <row r="13" s="1" customFormat="1" ht="17" spans="1:4">
      <c r="A13" s="3"/>
      <c r="B13" s="3" t="s">
        <v>128</v>
      </c>
      <c r="C13" s="4" t="s">
        <v>114</v>
      </c>
      <c r="D13" s="5"/>
    </row>
    <row r="14" s="1" customFormat="1" ht="34" spans="1:4">
      <c r="A14" s="3" t="s">
        <v>97</v>
      </c>
      <c r="B14" s="3" t="s">
        <v>98</v>
      </c>
      <c r="C14" s="4" t="s">
        <v>115</v>
      </c>
      <c r="D14" s="5"/>
    </row>
    <row r="15" s="1" customFormat="1" ht="34" spans="1:4">
      <c r="A15" s="3"/>
      <c r="B15" s="3" t="s">
        <v>99</v>
      </c>
      <c r="C15" s="4" t="s">
        <v>116</v>
      </c>
      <c r="D15" s="5"/>
    </row>
    <row r="16" s="1" customFormat="1" ht="34" spans="1:4">
      <c r="A16" s="3"/>
      <c r="B16" s="3" t="s">
        <v>100</v>
      </c>
      <c r="C16" s="4" t="s">
        <v>117</v>
      </c>
      <c r="D16" s="5"/>
    </row>
    <row r="17" s="1" customFormat="1" ht="34" spans="1:4">
      <c r="A17" s="3"/>
      <c r="B17" s="3" t="s">
        <v>101</v>
      </c>
      <c r="C17" s="4" t="s">
        <v>118</v>
      </c>
      <c r="D17" s="5"/>
    </row>
    <row r="18" s="1" customFormat="1" ht="34" spans="1:4">
      <c r="A18" s="3" t="s">
        <v>129</v>
      </c>
      <c r="B18" s="3" t="s">
        <v>102</v>
      </c>
      <c r="C18" s="4" t="s">
        <v>130</v>
      </c>
      <c r="D18" s="5"/>
    </row>
    <row r="19" s="1" customFormat="1" ht="28" spans="1:4">
      <c r="A19" s="6" t="s">
        <v>131</v>
      </c>
      <c r="B19" s="7" t="s">
        <v>27</v>
      </c>
      <c r="C19" s="8" t="s">
        <v>132</v>
      </c>
      <c r="D19" s="5"/>
    </row>
    <row r="20" s="1" customFormat="1" ht="28" spans="1:4">
      <c r="A20" s="6"/>
      <c r="B20" s="7" t="s">
        <v>28</v>
      </c>
      <c r="C20" s="8" t="s">
        <v>133</v>
      </c>
      <c r="D20" s="5"/>
    </row>
    <row r="21" s="1" customFormat="1" ht="28" spans="1:4">
      <c r="A21" s="6"/>
      <c r="B21" s="7" t="s">
        <v>29</v>
      </c>
      <c r="C21" s="8" t="s">
        <v>134</v>
      </c>
      <c r="D21" s="5"/>
    </row>
    <row r="22" s="1" customFormat="1" ht="28" spans="1:4">
      <c r="A22" s="6"/>
      <c r="B22" s="7" t="s">
        <v>30</v>
      </c>
      <c r="C22" s="8" t="s">
        <v>135</v>
      </c>
      <c r="D22" s="5"/>
    </row>
    <row r="23" s="1" customFormat="1" spans="1:5">
      <c r="A23" s="9"/>
      <c r="B23" s="10"/>
      <c r="C23" s="11"/>
      <c r="D23" s="12"/>
      <c r="E23" s="10"/>
    </row>
    <row r="24" s="1" customFormat="1" spans="1:1">
      <c r="A24" s="9"/>
    </row>
    <row r="25" s="1" customFormat="1" spans="1:1">
      <c r="A25" s="9"/>
    </row>
    <row r="26" s="1" customFormat="1" spans="1:1">
      <c r="A26" s="9"/>
    </row>
    <row r="27" s="1" customFormat="1" spans="1:1">
      <c r="A27" s="9"/>
    </row>
    <row r="28" s="1" customFormat="1" spans="1:1">
      <c r="A28" s="9"/>
    </row>
    <row r="29" s="1" customFormat="1" spans="1:1">
      <c r="A29" s="9"/>
    </row>
    <row r="30" s="1" customFormat="1" spans="1:1">
      <c r="A30" s="9"/>
    </row>
    <row r="31" s="1" customFormat="1" spans="1:1">
      <c r="A31" s="9"/>
    </row>
    <row r="32" s="1" customFormat="1" spans="1:1">
      <c r="A32" s="9"/>
    </row>
  </sheetData>
  <mergeCells count="6">
    <mergeCell ref="A2:A3"/>
    <mergeCell ref="A4:A6"/>
    <mergeCell ref="A7:A13"/>
    <mergeCell ref="A14:A17"/>
    <mergeCell ref="A19:A22"/>
    <mergeCell ref="D2:D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original data</vt:lpstr>
      <vt:lpstr>linear interpoation</vt:lpstr>
      <vt:lpstr>dependent variables</vt:lpstr>
      <vt:lpstr>variables explanation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鋭</cp:lastModifiedBy>
  <dcterms:created xsi:type="dcterms:W3CDTF">2025-04-23T00:56:00Z</dcterms:created>
  <dcterms:modified xsi:type="dcterms:W3CDTF">2025-04-22T04:26:11Z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E5492311CE282416A91302689DC135CD_41</vt:lpwstr>
  </property>
  <property fmtid="{D5CDD505-2E9C-101B-9397-08002B2CF9AE}" pid="3" name="KSOProductBuildVer">
    <vt:lpwstr>2052-7.3.1.8967</vt:lpwstr>
  </property>
</Properties>
</file>